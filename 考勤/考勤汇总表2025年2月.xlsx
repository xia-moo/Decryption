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tabRatio="769" activeTab="2"/>
  </bookViews>
  <sheets>
    <sheet name="考勤记录" sheetId="6" r:id="rId1"/>
    <sheet name="餐补次数" sheetId="4" r:id="rId2"/>
    <sheet name="出勤汇总" sheetId="3" r:id="rId3"/>
    <sheet name="打印版" sheetId="13" r:id="rId4"/>
  </sheets>
  <definedNames>
    <definedName name="_xlnm._FilterDatabase" localSheetId="0" hidden="1">考勤记录!$A$1:$J$3486</definedName>
    <definedName name="_xlnm._FilterDatabase" localSheetId="1" hidden="1">餐补次数!$F$1:$I$87</definedName>
    <definedName name="_xlnm._FilterDatabase" localSheetId="2" hidden="1">出勤汇总!$A$1:$AF$127</definedName>
    <definedName name="_xlnm._FilterDatabase" localSheetId="3" hidden="1">打印版!$A$1:$R$129</definedName>
    <definedName name="_xlnm.Print_Area" localSheetId="0">考勤记录!$A$1:$J$3271</definedName>
    <definedName name="_xlnm.Print_Titles" localSheetId="0">考勤记录!$1:$1</definedName>
    <definedName name="_xlnm.Print_Area" localSheetId="3">打印版!$A$1:$R$131</definedName>
    <definedName name="_xlnm.Print_Titles" localSheetId="3">打印版!$1:$2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<sst xmlns="http://schemas.openxmlformats.org/spreadsheetml/2006/main" count="30890" uniqueCount="1011">
  <si>
    <t>考勤异常报表</t>
  </si>
  <si>
    <t>人员姓名</t>
  </si>
  <si>
    <t>所属群组</t>
  </si>
  <si>
    <t>日 期</t>
  </si>
  <si>
    <t>星期</t>
  </si>
  <si>
    <t>班次名称</t>
  </si>
  <si>
    <t>上班刷卡</t>
  </si>
  <si>
    <t>打卡状态</t>
  </si>
  <si>
    <t>下班刷卡</t>
  </si>
  <si>
    <t>备注</t>
  </si>
  <si>
    <t>何威迪</t>
  </si>
  <si>
    <t>副总经理兼海外气表产品规划管理部及多元智能产品规划管理部产品总监</t>
  </si>
  <si>
    <t xml:space="preserve"> 星期六</t>
  </si>
  <si>
    <t>休息</t>
  </si>
  <si>
    <t/>
  </si>
  <si>
    <t>星期日</t>
  </si>
  <si>
    <t>星期一</t>
  </si>
  <si>
    <t>星期二</t>
  </si>
  <si>
    <t>星期三</t>
  </si>
  <si>
    <t>工作日</t>
  </si>
  <si>
    <t>08:32</t>
  </si>
  <si>
    <t>正常</t>
  </si>
  <si>
    <t>19:03</t>
  </si>
  <si>
    <t>星期四</t>
  </si>
  <si>
    <t>20:17</t>
  </si>
  <si>
    <t>星期五</t>
  </si>
  <si>
    <t>18:22</t>
  </si>
  <si>
    <t>星期六</t>
  </si>
  <si>
    <t>08:25</t>
  </si>
  <si>
    <t>18:45</t>
  </si>
  <si>
    <t>08:26</t>
  </si>
  <si>
    <t>20:11</t>
  </si>
  <si>
    <t>18:36</t>
  </si>
  <si>
    <t>08:28</t>
  </si>
  <si>
    <t>18:23</t>
  </si>
  <si>
    <t>20:05</t>
  </si>
  <si>
    <t>08:30</t>
  </si>
  <si>
    <t>18:35</t>
  </si>
  <si>
    <t>08:45</t>
  </si>
  <si>
    <t>16:26</t>
  </si>
  <si>
    <t>08:19</t>
  </si>
  <si>
    <t>20:10</t>
  </si>
  <si>
    <t>18:13</t>
  </si>
  <si>
    <t>08:33</t>
  </si>
  <si>
    <t>19:02</t>
  </si>
  <si>
    <t>20:01</t>
  </si>
  <si>
    <t>08:31</t>
  </si>
  <si>
    <t>08:51</t>
  </si>
  <si>
    <t>11:27</t>
  </si>
  <si>
    <t>08:09</t>
  </si>
  <si>
    <t>20:00</t>
  </si>
  <si>
    <t>08:29</t>
  </si>
  <si>
    <t>18:25</t>
  </si>
  <si>
    <t>17:35</t>
  </si>
  <si>
    <t>20:13</t>
  </si>
  <si>
    <t>18:27</t>
  </si>
  <si>
    <t>李季</t>
  </si>
  <si>
    <t>副总经理兼国内水表产品规划管理部产品总监</t>
  </si>
  <si>
    <t>07:43</t>
  </si>
  <si>
    <t>18:41</t>
  </si>
  <si>
    <t>07:37</t>
  </si>
  <si>
    <t>18:49</t>
  </si>
  <si>
    <t>07:48</t>
  </si>
  <si>
    <t>07:57</t>
  </si>
  <si>
    <t>07:38</t>
  </si>
  <si>
    <t>18:39</t>
  </si>
  <si>
    <t>18:37</t>
  </si>
  <si>
    <t>07:39</t>
  </si>
  <si>
    <t>缺卡</t>
  </si>
  <si>
    <t>忘打卡</t>
  </si>
  <si>
    <t>07:40</t>
  </si>
  <si>
    <t>18:09</t>
  </si>
  <si>
    <t>07:42</t>
  </si>
  <si>
    <t>20:04</t>
  </si>
  <si>
    <t>07:49</t>
  </si>
  <si>
    <t>19:07</t>
  </si>
  <si>
    <t>07:41</t>
  </si>
  <si>
    <t>07:56</t>
  </si>
  <si>
    <t>20:03</t>
  </si>
  <si>
    <t>18:30</t>
  </si>
  <si>
    <t>18:02</t>
  </si>
  <si>
    <t>07:30</t>
  </si>
  <si>
    <t>19:22</t>
  </si>
  <si>
    <t>07:44</t>
  </si>
  <si>
    <t>07:55</t>
  </si>
  <si>
    <t>李文华</t>
  </si>
  <si>
    <t>副总经理兼（国内）膜式气表产品规划管理部及（国内）超声气表产品规划管理部产品总监</t>
  </si>
  <si>
    <t>20:35</t>
  </si>
  <si>
    <t>18:43</t>
  </si>
  <si>
    <t>19:00</t>
  </si>
  <si>
    <t>08:35</t>
  </si>
  <si>
    <t>20:23</t>
  </si>
  <si>
    <t>18:03</t>
  </si>
  <si>
    <t>出差</t>
  </si>
  <si>
    <t>08:14</t>
  </si>
  <si>
    <t>20:18</t>
  </si>
  <si>
    <t>19:20</t>
  </si>
  <si>
    <t>19:46</t>
  </si>
  <si>
    <t>08:12</t>
  </si>
  <si>
    <t>21:01</t>
  </si>
  <si>
    <t>09:02</t>
  </si>
  <si>
    <t>11:38</t>
  </si>
  <si>
    <t>08:44</t>
  </si>
  <si>
    <t>迟到</t>
  </si>
  <si>
    <t>刘晓峰</t>
  </si>
  <si>
    <t>总经理助理兼海外水表产品规划管理部产品总监</t>
  </si>
  <si>
    <t>19:11</t>
  </si>
  <si>
    <t>08:08</t>
  </si>
  <si>
    <t>08:16</t>
  </si>
  <si>
    <t>19:24</t>
  </si>
  <si>
    <t>08:13</t>
  </si>
  <si>
    <t>21:04</t>
  </si>
  <si>
    <t>19:29</t>
  </si>
  <si>
    <t>次日 02:17</t>
  </si>
  <si>
    <t>19:09</t>
  </si>
  <si>
    <t>13:16</t>
  </si>
  <si>
    <t>20:09</t>
  </si>
  <si>
    <t>08:15</t>
  </si>
  <si>
    <t>20:36</t>
  </si>
  <si>
    <t>23:09</t>
  </si>
  <si>
    <t>王扩军</t>
  </si>
  <si>
    <t>总经理助理</t>
  </si>
  <si>
    <t>17:44</t>
  </si>
  <si>
    <t>20:07</t>
  </si>
  <si>
    <t>18:54</t>
  </si>
  <si>
    <t>18:56</t>
  </si>
  <si>
    <t>07:50</t>
  </si>
  <si>
    <t>07:45</t>
  </si>
  <si>
    <t>18:44</t>
  </si>
  <si>
    <t>08:04</t>
  </si>
  <si>
    <t>20:30</t>
  </si>
  <si>
    <t>08:00</t>
  </si>
  <si>
    <t>18:53</t>
  </si>
  <si>
    <t>08:01</t>
  </si>
  <si>
    <t>20:25</t>
  </si>
  <si>
    <t>08:10</t>
  </si>
  <si>
    <t>调休3H</t>
  </si>
  <si>
    <t>08:07</t>
  </si>
  <si>
    <t>20:52</t>
  </si>
  <si>
    <t>08:21</t>
  </si>
  <si>
    <t>14:03</t>
  </si>
  <si>
    <t>20:49</t>
  </si>
  <si>
    <t>17:49</t>
  </si>
  <si>
    <t>08:11</t>
  </si>
  <si>
    <t>18:58</t>
  </si>
  <si>
    <t>20:53</t>
  </si>
  <si>
    <t>08:22</t>
  </si>
  <si>
    <t>19:30</t>
  </si>
  <si>
    <t>戴梦莹</t>
  </si>
  <si>
    <t>主管</t>
  </si>
  <si>
    <t>08:18</t>
  </si>
  <si>
    <t>18:07</t>
  </si>
  <si>
    <t>18:06</t>
  </si>
  <si>
    <t>20:19</t>
  </si>
  <si>
    <t>08:24</t>
  </si>
  <si>
    <t>18:00</t>
  </si>
  <si>
    <t>18:24</t>
  </si>
  <si>
    <t>08:27</t>
  </si>
  <si>
    <t>17:59</t>
  </si>
  <si>
    <t>18:17</t>
  </si>
  <si>
    <t>20:15</t>
  </si>
  <si>
    <t>18:34</t>
  </si>
  <si>
    <t>08:37</t>
  </si>
  <si>
    <t>20:06</t>
  </si>
  <si>
    <t>调休0.5H</t>
  </si>
  <si>
    <t>楼晓丽</t>
  </si>
  <si>
    <t>产品经理</t>
  </si>
  <si>
    <t>17:40</t>
  </si>
  <si>
    <t>20:02</t>
  </si>
  <si>
    <t>07:58</t>
  </si>
  <si>
    <t>17:34</t>
  </si>
  <si>
    <t>07:59</t>
  </si>
  <si>
    <t>17:46</t>
  </si>
  <si>
    <t>08:05</t>
  </si>
  <si>
    <t>17:42</t>
  </si>
  <si>
    <t>17:36</t>
  </si>
  <si>
    <t>19:12</t>
  </si>
  <si>
    <t>08:06</t>
  </si>
  <si>
    <t>17:41</t>
  </si>
  <si>
    <t>07:53</t>
  </si>
  <si>
    <t>19:17</t>
  </si>
  <si>
    <t>17:53</t>
  </si>
  <si>
    <t>19:23</t>
  </si>
  <si>
    <t>08:02</t>
  </si>
  <si>
    <t>17:45</t>
  </si>
  <si>
    <t>19:25</t>
  </si>
  <si>
    <t>18:32</t>
  </si>
  <si>
    <t>郭海桃</t>
  </si>
  <si>
    <t>08:20</t>
  </si>
  <si>
    <t>17:48</t>
  </si>
  <si>
    <t>20:20</t>
  </si>
  <si>
    <t>17:33</t>
  </si>
  <si>
    <t>21:40</t>
  </si>
  <si>
    <t>08:23</t>
  </si>
  <si>
    <t>19:18</t>
  </si>
  <si>
    <t>08:17</t>
  </si>
  <si>
    <t>18:10</t>
  </si>
  <si>
    <t>林贤顺</t>
  </si>
  <si>
    <t>部门副经理</t>
  </si>
  <si>
    <t>18:04</t>
  </si>
  <si>
    <t>17:47</t>
  </si>
  <si>
    <t>17:58</t>
  </si>
  <si>
    <t>18:01</t>
  </si>
  <si>
    <t>李雪霁</t>
  </si>
  <si>
    <t>入职</t>
  </si>
  <si>
    <t>17:38</t>
  </si>
  <si>
    <t>17:37</t>
  </si>
  <si>
    <t>18:15</t>
  </si>
  <si>
    <t>宋佳慧</t>
  </si>
  <si>
    <t>08:34</t>
  </si>
  <si>
    <t>17:31</t>
  </si>
  <si>
    <t>08:57</t>
  </si>
  <si>
    <t>17:32</t>
  </si>
  <si>
    <t>17:30</t>
  </si>
  <si>
    <t>08:41</t>
  </si>
  <si>
    <t>17:43</t>
  </si>
  <si>
    <t>连成鹏</t>
  </si>
  <si>
    <t>部门经理兼超声气表产品规划管理部部门经理</t>
  </si>
  <si>
    <t>18:51</t>
  </si>
  <si>
    <t>20:34</t>
  </si>
  <si>
    <t>18:26</t>
  </si>
  <si>
    <t>19:43</t>
  </si>
  <si>
    <t>09:37</t>
  </si>
  <si>
    <t>07:20</t>
  </si>
  <si>
    <t>19:36</t>
  </si>
  <si>
    <t>18:05</t>
  </si>
  <si>
    <t>10:33</t>
  </si>
  <si>
    <t>14:21</t>
  </si>
  <si>
    <t>20:22</t>
  </si>
  <si>
    <t>孙倩</t>
  </si>
  <si>
    <t>产品专员</t>
  </si>
  <si>
    <t>18:12</t>
  </si>
  <si>
    <t>18:14</t>
  </si>
  <si>
    <t>张景雲</t>
  </si>
  <si>
    <t>调休8H</t>
  </si>
  <si>
    <t>17:39</t>
  </si>
  <si>
    <t>边皖佳</t>
  </si>
  <si>
    <t>测试工程师</t>
  </si>
  <si>
    <t>17:52</t>
  </si>
  <si>
    <t>18:40</t>
  </si>
  <si>
    <t>17:51</t>
  </si>
  <si>
    <t>17:50</t>
  </si>
  <si>
    <t>曹超</t>
  </si>
  <si>
    <t>20:21</t>
  </si>
  <si>
    <t>陈远发</t>
  </si>
  <si>
    <t>18:16</t>
  </si>
  <si>
    <t>黄杨蕊</t>
  </si>
  <si>
    <t>李芳</t>
  </si>
  <si>
    <t>产品测试工程师</t>
  </si>
  <si>
    <t>17:56</t>
  </si>
  <si>
    <t>09:22</t>
  </si>
  <si>
    <t>12:22</t>
  </si>
  <si>
    <t>17:54</t>
  </si>
  <si>
    <t>李旭</t>
  </si>
  <si>
    <t>20:08</t>
  </si>
  <si>
    <t>10:46</t>
  </si>
  <si>
    <t>10:52</t>
  </si>
  <si>
    <t>15:16</t>
  </si>
  <si>
    <t>21:14</t>
  </si>
  <si>
    <t>陆巧玲</t>
  </si>
  <si>
    <t>17:55</t>
  </si>
  <si>
    <t>秦文近</t>
  </si>
  <si>
    <t>12:33</t>
  </si>
  <si>
    <t>王银军</t>
  </si>
  <si>
    <t>吴鑫卓</t>
  </si>
  <si>
    <t>18:18</t>
  </si>
  <si>
    <t>20:59</t>
  </si>
  <si>
    <t>08:36</t>
  </si>
  <si>
    <t>09:16</t>
  </si>
  <si>
    <t>20:28</t>
  </si>
  <si>
    <t>调休1H</t>
  </si>
  <si>
    <t>杨坤</t>
  </si>
  <si>
    <t>18:33</t>
  </si>
  <si>
    <t>20:16</t>
  </si>
  <si>
    <t>18:28</t>
  </si>
  <si>
    <t>杨雨晨</t>
  </si>
  <si>
    <t>22:38</t>
  </si>
  <si>
    <t>余乐</t>
  </si>
  <si>
    <t>17:57</t>
  </si>
  <si>
    <t>张培强</t>
  </si>
  <si>
    <t>张欠欠</t>
  </si>
  <si>
    <t>16:23</t>
  </si>
  <si>
    <t>周逸轩</t>
  </si>
  <si>
    <t>20:39</t>
  </si>
  <si>
    <t>11:53</t>
  </si>
  <si>
    <t>16:00</t>
  </si>
  <si>
    <t>孙伟</t>
  </si>
  <si>
    <t>调休4.5H</t>
  </si>
  <si>
    <t>08:46</t>
  </si>
  <si>
    <t>19:32</t>
  </si>
  <si>
    <t>21:15</t>
  </si>
  <si>
    <t>翁宋兵</t>
  </si>
  <si>
    <t>运维工程师</t>
  </si>
  <si>
    <t>08:48</t>
  </si>
  <si>
    <t>陈林</t>
  </si>
  <si>
    <t>工艺工程师</t>
  </si>
  <si>
    <t>22:19</t>
  </si>
  <si>
    <t>孟栋成</t>
  </si>
  <si>
    <t>硬件工程师</t>
  </si>
  <si>
    <t>全卓栋</t>
  </si>
  <si>
    <t>工装开发工程师</t>
  </si>
  <si>
    <t>09:09</t>
  </si>
  <si>
    <t>12:09</t>
  </si>
  <si>
    <t>盛俊昆</t>
  </si>
  <si>
    <t>21:02</t>
  </si>
  <si>
    <t>年休假</t>
  </si>
  <si>
    <t>王晓枫</t>
  </si>
  <si>
    <t>邓天予</t>
  </si>
  <si>
    <t>标准化工程师</t>
  </si>
  <si>
    <t>21:57</t>
  </si>
  <si>
    <t>张燕</t>
  </si>
  <si>
    <t>体系工程师(PLM)</t>
  </si>
  <si>
    <t>19:58</t>
  </si>
  <si>
    <t>黄武辉</t>
  </si>
  <si>
    <t>计量工程师</t>
  </si>
  <si>
    <t>20:12</t>
  </si>
  <si>
    <t>18:38</t>
  </si>
  <si>
    <t>廖勇江</t>
  </si>
  <si>
    <t>部门经理</t>
  </si>
  <si>
    <t>11:08</t>
  </si>
  <si>
    <t>07:46</t>
  </si>
  <si>
    <t>20:32</t>
  </si>
  <si>
    <t>07:54</t>
  </si>
  <si>
    <t>22:14</t>
  </si>
  <si>
    <t>09:20</t>
  </si>
  <si>
    <t>17:06</t>
  </si>
  <si>
    <t>09:44</t>
  </si>
  <si>
    <t>楚旭</t>
  </si>
  <si>
    <t>体系工程师</t>
  </si>
  <si>
    <t>干然草</t>
  </si>
  <si>
    <t>项目经理</t>
  </si>
  <si>
    <t>21:27</t>
  </si>
  <si>
    <t>19:50</t>
  </si>
  <si>
    <t>19:04</t>
  </si>
  <si>
    <t>12:14</t>
  </si>
  <si>
    <t>李林翰</t>
  </si>
  <si>
    <t>项目助理</t>
  </si>
  <si>
    <t>18:08</t>
  </si>
  <si>
    <t>刘丽</t>
  </si>
  <si>
    <t>18:20</t>
  </si>
  <si>
    <t>19:01</t>
  </si>
  <si>
    <t>王鹏飞</t>
  </si>
  <si>
    <t>22:11</t>
  </si>
  <si>
    <t>21:39</t>
  </si>
  <si>
    <t>22:06</t>
  </si>
  <si>
    <t>21:48</t>
  </si>
  <si>
    <t>22:12</t>
  </si>
  <si>
    <t>20:42</t>
  </si>
  <si>
    <t>方璐</t>
  </si>
  <si>
    <t>综合事务主管</t>
  </si>
  <si>
    <t>郑佳男</t>
  </si>
  <si>
    <t>19:13</t>
  </si>
  <si>
    <t>20:37</t>
  </si>
  <si>
    <t>陈斌</t>
  </si>
  <si>
    <t>结构设计工程师</t>
  </si>
  <si>
    <t>08:39</t>
  </si>
  <si>
    <t>陈为泽</t>
  </si>
  <si>
    <t>08:43</t>
  </si>
  <si>
    <t>范天星</t>
  </si>
  <si>
    <t>07:52</t>
  </si>
  <si>
    <t>07:51</t>
  </si>
  <si>
    <t>18:50</t>
  </si>
  <si>
    <t>桂志雄</t>
  </si>
  <si>
    <t>结构工程师</t>
  </si>
  <si>
    <t>20:31</t>
  </si>
  <si>
    <t>李清范</t>
  </si>
  <si>
    <t>19:41</t>
  </si>
  <si>
    <t>19:06</t>
  </si>
  <si>
    <t>20:33</t>
  </si>
  <si>
    <t>刘青</t>
  </si>
  <si>
    <t>18:46</t>
  </si>
  <si>
    <t>20:24</t>
  </si>
  <si>
    <t>19:10</t>
  </si>
  <si>
    <t>19:38</t>
  </si>
  <si>
    <t>19:05</t>
  </si>
  <si>
    <t>21:00</t>
  </si>
  <si>
    <t>19:15</t>
  </si>
  <si>
    <t>骆剑</t>
  </si>
  <si>
    <t>07:35</t>
  </si>
  <si>
    <t>08:03</t>
  </si>
  <si>
    <t>盛兴飞</t>
  </si>
  <si>
    <t>20:44</t>
  </si>
  <si>
    <t>20:50</t>
  </si>
  <si>
    <t>夏雨捷</t>
  </si>
  <si>
    <t>杨善平</t>
  </si>
  <si>
    <t>18:31</t>
  </si>
  <si>
    <t>杨瀚</t>
  </si>
  <si>
    <t>20:26</t>
  </si>
  <si>
    <t>20:27</t>
  </si>
  <si>
    <t>20:38</t>
  </si>
  <si>
    <t>21:32</t>
  </si>
  <si>
    <t>20:47</t>
  </si>
  <si>
    <t>19:27</t>
  </si>
  <si>
    <t>21:16</t>
  </si>
  <si>
    <t>张华宝</t>
  </si>
  <si>
    <t>18:21</t>
  </si>
  <si>
    <t>19:52</t>
  </si>
  <si>
    <t>李明</t>
  </si>
  <si>
    <t>嵌软开发工程师</t>
  </si>
  <si>
    <t>20:41</t>
  </si>
  <si>
    <t>19:34</t>
  </si>
  <si>
    <t>19:49</t>
  </si>
  <si>
    <t>19:35</t>
  </si>
  <si>
    <t>21:06</t>
  </si>
  <si>
    <t>林杨杨</t>
  </si>
  <si>
    <t>饶宝娃</t>
  </si>
  <si>
    <t>张泳</t>
  </si>
  <si>
    <t>18:52</t>
  </si>
  <si>
    <t>19:51</t>
  </si>
  <si>
    <t>19:21</t>
  </si>
  <si>
    <t>崔康</t>
  </si>
  <si>
    <t>10:49</t>
  </si>
  <si>
    <t>16:18</t>
  </si>
  <si>
    <t>早退</t>
  </si>
  <si>
    <t>旷世麟</t>
  </si>
  <si>
    <t>王威</t>
  </si>
  <si>
    <t>18:47</t>
  </si>
  <si>
    <t>21:13</t>
  </si>
  <si>
    <t>14:29</t>
  </si>
  <si>
    <t>17:11</t>
  </si>
  <si>
    <t>吴双</t>
  </si>
  <si>
    <t>21:45</t>
  </si>
  <si>
    <t>21:30</t>
  </si>
  <si>
    <t>赵继宝</t>
  </si>
  <si>
    <t>嵌入式软件工程师</t>
  </si>
  <si>
    <t>11:19</t>
  </si>
  <si>
    <t>21:11</t>
  </si>
  <si>
    <t>21:51</t>
  </si>
  <si>
    <t>范鹏翔</t>
  </si>
  <si>
    <t>硬件开发工程师</t>
  </si>
  <si>
    <t>21:08</t>
  </si>
  <si>
    <t>21:25</t>
  </si>
  <si>
    <t>冯瀚</t>
  </si>
  <si>
    <t>19:28</t>
  </si>
  <si>
    <t>19:08</t>
  </si>
  <si>
    <t>10:26</t>
  </si>
  <si>
    <t>12:48</t>
  </si>
  <si>
    <t>19:31</t>
  </si>
  <si>
    <t>21:47</t>
  </si>
  <si>
    <t>黄驰洋</t>
  </si>
  <si>
    <t>14:54</t>
  </si>
  <si>
    <t>21:18</t>
  </si>
  <si>
    <t>14:52</t>
  </si>
  <si>
    <t>16:32</t>
  </si>
  <si>
    <t>19:33</t>
  </si>
  <si>
    <t>21:03</t>
  </si>
  <si>
    <t>金永利</t>
  </si>
  <si>
    <t>09:45</t>
  </si>
  <si>
    <t>16:16</t>
  </si>
  <si>
    <t>20:58</t>
  </si>
  <si>
    <t>10:05</t>
  </si>
  <si>
    <t>李男</t>
  </si>
  <si>
    <t>21:46</t>
  </si>
  <si>
    <t>21:07</t>
  </si>
  <si>
    <t>21:26</t>
  </si>
  <si>
    <t>21:19</t>
  </si>
  <si>
    <t>22:29</t>
  </si>
  <si>
    <t>李亚亮</t>
  </si>
  <si>
    <t>07:47</t>
  </si>
  <si>
    <t>19:19</t>
  </si>
  <si>
    <t>马振斌</t>
  </si>
  <si>
    <t>18:11</t>
  </si>
  <si>
    <t>20:40</t>
  </si>
  <si>
    <t>时慧玲</t>
  </si>
  <si>
    <t>09:05</t>
  </si>
  <si>
    <t>14:40</t>
  </si>
  <si>
    <t>孙哲</t>
  </si>
  <si>
    <t>11:17</t>
  </si>
  <si>
    <t>魏雪</t>
  </si>
  <si>
    <t>习津涛</t>
  </si>
  <si>
    <t>杨伟成</t>
  </si>
  <si>
    <t>赵磊</t>
  </si>
  <si>
    <t>12:53</t>
  </si>
  <si>
    <t>17:25</t>
  </si>
  <si>
    <t>20:14</t>
  </si>
  <si>
    <t>20:43</t>
  </si>
  <si>
    <t>朱亚垒</t>
  </si>
  <si>
    <t>18:19</t>
  </si>
  <si>
    <t>祝艳婷</t>
  </si>
  <si>
    <t>何政演</t>
  </si>
  <si>
    <t>胡鑫鑫</t>
  </si>
  <si>
    <t>20:29</t>
  </si>
  <si>
    <t>19:26</t>
  </si>
  <si>
    <t>19:48</t>
  </si>
  <si>
    <t>林彬俊</t>
  </si>
  <si>
    <t>吕鹏</t>
  </si>
  <si>
    <t>吕许</t>
  </si>
  <si>
    <t>嵌入式软件开发工程师</t>
  </si>
  <si>
    <t>马力达</t>
  </si>
  <si>
    <t>嵌软组长</t>
  </si>
  <si>
    <t>王文越</t>
  </si>
  <si>
    <t>徐雯</t>
  </si>
  <si>
    <t>12:24</t>
  </si>
  <si>
    <t>21:23</t>
  </si>
  <si>
    <t>08:38</t>
  </si>
  <si>
    <t>杨卉卉</t>
  </si>
  <si>
    <t>20:45</t>
  </si>
  <si>
    <t>杨涛</t>
  </si>
  <si>
    <t>08:59</t>
  </si>
  <si>
    <t>11:14</t>
  </si>
  <si>
    <t>赵一龙</t>
  </si>
  <si>
    <t>邹立彬</t>
  </si>
  <si>
    <t>18:59</t>
  </si>
  <si>
    <t>17:24</t>
  </si>
  <si>
    <t>郑雯婕</t>
  </si>
  <si>
    <t>卓光钦</t>
  </si>
  <si>
    <t>22:57</t>
  </si>
  <si>
    <t>市内出差</t>
  </si>
  <si>
    <t>21:34</t>
  </si>
  <si>
    <t>23:18</t>
  </si>
  <si>
    <t>19:45</t>
  </si>
  <si>
    <t>22:02</t>
  </si>
  <si>
    <t>丁哲伟</t>
  </si>
  <si>
    <t>嵌软件开发工程师</t>
  </si>
  <si>
    <t>23:00</t>
  </si>
  <si>
    <t>裴峰</t>
  </si>
  <si>
    <t>09:13</t>
  </si>
  <si>
    <t>18:42</t>
  </si>
  <si>
    <t>汤艺贤</t>
  </si>
  <si>
    <t>嵌软工程师</t>
  </si>
  <si>
    <t>金小平</t>
  </si>
  <si>
    <t>李双龙</t>
  </si>
  <si>
    <t>19:16</t>
  </si>
  <si>
    <t>张涛</t>
  </si>
  <si>
    <t>郑俊龙</t>
  </si>
  <si>
    <t>19:55</t>
  </si>
  <si>
    <t>21:54</t>
  </si>
  <si>
    <t>周乐扬</t>
  </si>
  <si>
    <t>18:55</t>
  </si>
  <si>
    <t>陈旸</t>
  </si>
  <si>
    <t>余书昊</t>
  </si>
  <si>
    <t>周祝霖</t>
  </si>
  <si>
    <t>李洋</t>
  </si>
  <si>
    <t>07:31</t>
  </si>
  <si>
    <t>07:21</t>
  </si>
  <si>
    <t>07:17</t>
  </si>
  <si>
    <t>07:19</t>
  </si>
  <si>
    <t>次日 00:04</t>
  </si>
  <si>
    <t>调休2H</t>
  </si>
  <si>
    <t>13:01</t>
  </si>
  <si>
    <t>07:22</t>
  </si>
  <si>
    <t>梁璁哲</t>
  </si>
  <si>
    <t>叶先意</t>
  </si>
  <si>
    <t>朱万胜</t>
  </si>
  <si>
    <t>09:01</t>
  </si>
  <si>
    <t>19:14</t>
  </si>
  <si>
    <t>郭梦恩</t>
  </si>
  <si>
    <t>刘帅</t>
  </si>
  <si>
    <t>09:58</t>
  </si>
  <si>
    <t>周水文</t>
  </si>
  <si>
    <t>嵌入式开发工程师</t>
  </si>
  <si>
    <t>22:01</t>
  </si>
  <si>
    <t>20:48</t>
  </si>
  <si>
    <t>21:43</t>
  </si>
  <si>
    <t>22:18</t>
  </si>
  <si>
    <t>21:42</t>
  </si>
  <si>
    <t>21:58</t>
  </si>
  <si>
    <t>邹美洋</t>
  </si>
  <si>
    <t>调休2.5H</t>
  </si>
  <si>
    <t>刘高杰</t>
  </si>
  <si>
    <t>刘卓飞</t>
  </si>
  <si>
    <t>21:10</t>
  </si>
  <si>
    <t>潘凌云</t>
  </si>
  <si>
    <t>王书浩</t>
  </si>
  <si>
    <t>王晓雅</t>
  </si>
  <si>
    <t>徐晋</t>
  </si>
  <si>
    <t>21:44</t>
  </si>
  <si>
    <t>张晟毓</t>
  </si>
  <si>
    <t>林扬宣</t>
  </si>
  <si>
    <t>副总经理</t>
  </si>
  <si>
    <t>13:15</t>
  </si>
  <si>
    <t>16:35</t>
  </si>
  <si>
    <t>13:45</t>
  </si>
  <si>
    <t>13:27</t>
  </si>
  <si>
    <t>09:26</t>
  </si>
  <si>
    <t>16:33</t>
  </si>
  <si>
    <t>13:00</t>
  </si>
  <si>
    <t>17:17</t>
  </si>
  <si>
    <t>17:18</t>
  </si>
  <si>
    <t>13:14</t>
  </si>
  <si>
    <t>17:12</t>
  </si>
  <si>
    <t>王兵</t>
  </si>
  <si>
    <t>09:33</t>
  </si>
  <si>
    <t>12:06</t>
  </si>
  <si>
    <t>21:53</t>
  </si>
  <si>
    <t>姓名</t>
  </si>
  <si>
    <t>出差次数
（扣除）</t>
  </si>
  <si>
    <t>出差次数</t>
  </si>
  <si>
    <t>调休次数
(扣除)</t>
  </si>
  <si>
    <t>调休次数</t>
  </si>
  <si>
    <t>迟到次数</t>
  </si>
  <si>
    <t>餐补次数
（增加）</t>
  </si>
  <si>
    <t>餐补次数</t>
  </si>
  <si>
    <t>员工编号</t>
  </si>
  <si>
    <t>部门</t>
  </si>
  <si>
    <t>岗位</t>
  </si>
  <si>
    <t>月份</t>
  </si>
  <si>
    <t>事假(天)</t>
  </si>
  <si>
    <t>病假(天)</t>
  </si>
  <si>
    <t>产假(天)</t>
  </si>
  <si>
    <t>婚假(天)</t>
  </si>
  <si>
    <t>丧假(天)</t>
  </si>
  <si>
    <t>护理假(天)</t>
  </si>
  <si>
    <t>其他假(天)</t>
  </si>
  <si>
    <t>请假总天数</t>
  </si>
  <si>
    <t>平时计费加班工时</t>
  </si>
  <si>
    <t>周末计费加班工时</t>
  </si>
  <si>
    <t>节假日计费加班工时</t>
  </si>
  <si>
    <t>翻倍后计费加班工时</t>
  </si>
  <si>
    <t>应上班(天)</t>
  </si>
  <si>
    <t>上班(天)</t>
  </si>
  <si>
    <t>正常餐补</t>
  </si>
  <si>
    <t>餐补调整</t>
  </si>
  <si>
    <t>当月餐补</t>
  </si>
  <si>
    <t>年份</t>
  </si>
  <si>
    <t>账套</t>
  </si>
  <si>
    <t>餐补扣除</t>
  </si>
  <si>
    <t>出差(天)</t>
  </si>
  <si>
    <t>调休/居家(天)</t>
  </si>
  <si>
    <t>实上班(天)</t>
  </si>
  <si>
    <t>餐补调数(天)</t>
  </si>
  <si>
    <t>当月餐补合计</t>
  </si>
  <si>
    <t>165619</t>
  </si>
  <si>
    <r>
      <rPr>
        <sz val="8"/>
        <color indexed="8"/>
        <rFont val="宋体"/>
        <charset val="134"/>
      </rPr>
      <t>研发中心</t>
    </r>
  </si>
  <si>
    <r>
      <rPr>
        <sz val="8"/>
        <color indexed="8"/>
        <rFont val="宋体"/>
        <charset val="134"/>
      </rPr>
      <t>李文华</t>
    </r>
  </si>
  <si>
    <r>
      <rPr>
        <sz val="8"/>
        <color indexed="8"/>
        <rFont val="宋体"/>
        <charset val="134"/>
      </rPr>
      <t>副总经理兼（国内）膜式气表产品规划管理部及（国内）超声气表产品规划管理部产品总监</t>
    </r>
  </si>
  <si>
    <t>2月</t>
  </si>
  <si>
    <t>2025</t>
  </si>
  <si>
    <t>HR-001</t>
  </si>
  <si>
    <t>165620</t>
  </si>
  <si>
    <r>
      <rPr>
        <sz val="8"/>
        <color indexed="8"/>
        <rFont val="宋体"/>
        <charset val="134"/>
      </rPr>
      <t>王兵</t>
    </r>
  </si>
  <si>
    <r>
      <rPr>
        <sz val="8"/>
        <color indexed="8"/>
        <rFont val="宋体"/>
        <charset val="134"/>
      </rPr>
      <t>副总经理</t>
    </r>
  </si>
  <si>
    <t>165621</t>
  </si>
  <si>
    <r>
      <rPr>
        <sz val="8"/>
        <color indexed="8"/>
        <rFont val="宋体"/>
        <charset val="134"/>
      </rPr>
      <t>林扬宣</t>
    </r>
  </si>
  <si>
    <t>165622</t>
  </si>
  <si>
    <r>
      <rPr>
        <sz val="8"/>
        <color indexed="8"/>
        <rFont val="宋体"/>
        <charset val="134"/>
      </rPr>
      <t>李季</t>
    </r>
  </si>
  <si>
    <r>
      <rPr>
        <sz val="8"/>
        <color indexed="8"/>
        <rFont val="宋体"/>
        <charset val="134"/>
      </rPr>
      <t>副总经理兼国内水表产品规划管理部产品总监</t>
    </r>
  </si>
  <si>
    <t>165623</t>
  </si>
  <si>
    <r>
      <rPr>
        <sz val="8"/>
        <color indexed="8"/>
        <rFont val="宋体"/>
        <charset val="134"/>
      </rPr>
      <t>王扩军</t>
    </r>
  </si>
  <si>
    <r>
      <rPr>
        <sz val="8"/>
        <color indexed="8"/>
        <rFont val="宋体"/>
        <charset val="134"/>
      </rPr>
      <t>总经理助理</t>
    </r>
  </si>
  <si>
    <t>165624</t>
  </si>
  <si>
    <r>
      <rPr>
        <sz val="8"/>
        <color indexed="8"/>
        <rFont val="宋体"/>
        <charset val="134"/>
      </rPr>
      <t>何威迪</t>
    </r>
  </si>
  <si>
    <r>
      <rPr>
        <sz val="8"/>
        <color indexed="8"/>
        <rFont val="宋体"/>
        <charset val="134"/>
      </rPr>
      <t>副总经理兼海外气表产品规划管理部及多元智能产品规划管理部产品总监</t>
    </r>
  </si>
  <si>
    <t>165625</t>
  </si>
  <si>
    <r>
      <rPr>
        <sz val="8"/>
        <color indexed="8"/>
        <rFont val="宋体"/>
        <charset val="134"/>
      </rPr>
      <t>刘晓峰</t>
    </r>
  </si>
  <si>
    <r>
      <rPr>
        <sz val="8"/>
        <color indexed="8"/>
        <rFont val="宋体"/>
        <charset val="134"/>
      </rPr>
      <t>总经理助理兼海外水表产品规划管理部产品总监</t>
    </r>
  </si>
  <si>
    <t>165643</t>
  </si>
  <si>
    <r>
      <rPr>
        <sz val="8"/>
        <color indexed="8"/>
        <rFont val="宋体"/>
        <charset val="134"/>
      </rPr>
      <t>综合管理部（研发）</t>
    </r>
  </si>
  <si>
    <r>
      <rPr>
        <sz val="8"/>
        <color indexed="8"/>
        <rFont val="宋体"/>
        <charset val="134"/>
      </rPr>
      <t>郑佳男</t>
    </r>
  </si>
  <si>
    <r>
      <rPr>
        <sz val="8"/>
        <color indexed="8"/>
        <rFont val="宋体"/>
        <charset val="134"/>
      </rPr>
      <t>主管</t>
    </r>
  </si>
  <si>
    <t>165644</t>
  </si>
  <si>
    <t>产品标准化管理部</t>
  </si>
  <si>
    <r>
      <rPr>
        <sz val="8"/>
        <color indexed="8"/>
        <rFont val="宋体"/>
        <charset val="134"/>
      </rPr>
      <t>张燕</t>
    </r>
  </si>
  <si>
    <r>
      <rPr>
        <sz val="8"/>
        <color indexed="8"/>
        <rFont val="宋体"/>
        <charset val="134"/>
      </rPr>
      <t>体系工程师</t>
    </r>
    <r>
      <rPr>
        <sz val="8"/>
        <color indexed="8"/>
        <rFont val="Arial"/>
        <charset val="134"/>
      </rPr>
      <t>(PLM)</t>
    </r>
  </si>
  <si>
    <t>165645</t>
  </si>
  <si>
    <r>
      <rPr>
        <sz val="8"/>
        <color indexed="8"/>
        <rFont val="宋体"/>
        <charset val="134"/>
      </rPr>
      <t>方璐</t>
    </r>
  </si>
  <si>
    <r>
      <rPr>
        <sz val="8"/>
        <color indexed="8"/>
        <rFont val="宋体"/>
        <charset val="134"/>
      </rPr>
      <t>综合事务主管</t>
    </r>
  </si>
  <si>
    <t>165646</t>
  </si>
  <si>
    <r>
      <rPr>
        <sz val="8"/>
        <color indexed="8"/>
        <rFont val="宋体"/>
        <charset val="134"/>
      </rPr>
      <t>产品测试部</t>
    </r>
  </si>
  <si>
    <r>
      <rPr>
        <sz val="8"/>
        <color indexed="8"/>
        <rFont val="宋体"/>
        <charset val="134"/>
      </rPr>
      <t>杨坤</t>
    </r>
  </si>
  <si>
    <t>165647</t>
  </si>
  <si>
    <r>
      <rPr>
        <sz val="8"/>
        <color indexed="8"/>
        <rFont val="宋体"/>
        <charset val="134"/>
      </rPr>
      <t>陆巧玲</t>
    </r>
  </si>
  <si>
    <r>
      <rPr>
        <sz val="8"/>
        <color indexed="8"/>
        <rFont val="宋体"/>
        <charset val="134"/>
      </rPr>
      <t>部门副经理（主持工作）</t>
    </r>
  </si>
  <si>
    <t>165648</t>
  </si>
  <si>
    <r>
      <rPr>
        <sz val="8"/>
        <color indexed="8"/>
        <rFont val="宋体"/>
        <charset val="134"/>
      </rPr>
      <t>张欠欠</t>
    </r>
  </si>
  <si>
    <r>
      <rPr>
        <sz val="8"/>
        <color indexed="8"/>
        <rFont val="宋体"/>
        <charset val="134"/>
      </rPr>
      <t>产品测试工程师</t>
    </r>
  </si>
  <si>
    <t>165649</t>
  </si>
  <si>
    <r>
      <rPr>
        <sz val="8"/>
        <color indexed="8"/>
        <rFont val="宋体"/>
        <charset val="134"/>
      </rPr>
      <t>李芳</t>
    </r>
  </si>
  <si>
    <t>165650</t>
  </si>
  <si>
    <r>
      <rPr>
        <sz val="8"/>
        <color indexed="8"/>
        <rFont val="宋体"/>
        <charset val="134"/>
      </rPr>
      <t>曹超</t>
    </r>
  </si>
  <si>
    <r>
      <rPr>
        <sz val="8"/>
        <color indexed="8"/>
        <rFont val="宋体"/>
        <charset val="134"/>
      </rPr>
      <t>测试工程师</t>
    </r>
  </si>
  <si>
    <t>165652</t>
  </si>
  <si>
    <r>
      <rPr>
        <sz val="8"/>
        <color indexed="8"/>
        <rFont val="宋体"/>
        <charset val="134"/>
      </rPr>
      <t>黄杨蕊</t>
    </r>
  </si>
  <si>
    <t>165653</t>
  </si>
  <si>
    <r>
      <rPr>
        <sz val="8"/>
        <color indexed="8"/>
        <rFont val="宋体"/>
        <charset val="134"/>
      </rPr>
      <t>杨雨晨</t>
    </r>
  </si>
  <si>
    <t>165655</t>
  </si>
  <si>
    <r>
      <rPr>
        <sz val="8"/>
        <color indexed="8"/>
        <rFont val="宋体"/>
        <charset val="134"/>
      </rPr>
      <t>周逸轩</t>
    </r>
  </si>
  <si>
    <t>165656</t>
  </si>
  <si>
    <r>
      <rPr>
        <sz val="8"/>
        <color indexed="8"/>
        <rFont val="宋体"/>
        <charset val="134"/>
      </rPr>
      <t>陈远发</t>
    </r>
  </si>
  <si>
    <t>165657</t>
  </si>
  <si>
    <r>
      <rPr>
        <sz val="8"/>
        <color indexed="8"/>
        <rFont val="宋体"/>
        <charset val="134"/>
      </rPr>
      <t>边皖佳</t>
    </r>
  </si>
  <si>
    <t>165658</t>
  </si>
  <si>
    <r>
      <rPr>
        <sz val="8"/>
        <color indexed="8"/>
        <rFont val="宋体"/>
        <charset val="134"/>
      </rPr>
      <t>张培强</t>
    </r>
  </si>
  <si>
    <t>165659</t>
  </si>
  <si>
    <r>
      <rPr>
        <sz val="8"/>
        <color indexed="8"/>
        <rFont val="宋体"/>
        <charset val="134"/>
      </rPr>
      <t>李旭</t>
    </r>
  </si>
  <si>
    <t>165660</t>
  </si>
  <si>
    <r>
      <rPr>
        <sz val="8"/>
        <color indexed="8"/>
        <rFont val="宋体"/>
        <charset val="134"/>
      </rPr>
      <t>吴鑫卓</t>
    </r>
  </si>
  <si>
    <t>165661</t>
  </si>
  <si>
    <r>
      <rPr>
        <sz val="8"/>
        <color indexed="8"/>
        <rFont val="宋体"/>
        <charset val="134"/>
      </rPr>
      <t>秦文近</t>
    </r>
  </si>
  <si>
    <t>165662</t>
  </si>
  <si>
    <r>
      <rPr>
        <sz val="8"/>
        <color indexed="8"/>
        <rFont val="宋体"/>
        <charset val="134"/>
      </rPr>
      <t>王银军</t>
    </r>
  </si>
  <si>
    <t>165663</t>
  </si>
  <si>
    <r>
      <rPr>
        <sz val="8"/>
        <color indexed="8"/>
        <rFont val="宋体"/>
        <charset val="134"/>
      </rPr>
      <t>余乐</t>
    </r>
  </si>
  <si>
    <t>165665</t>
  </si>
  <si>
    <r>
      <rPr>
        <sz val="8"/>
        <color indexed="8"/>
        <rFont val="宋体"/>
        <charset val="134"/>
      </rPr>
      <t>产品工程部</t>
    </r>
  </si>
  <si>
    <r>
      <rPr>
        <sz val="8"/>
        <color indexed="8"/>
        <rFont val="宋体"/>
        <charset val="134"/>
      </rPr>
      <t>部门副经理</t>
    </r>
  </si>
  <si>
    <t>165666</t>
  </si>
  <si>
    <t>165922</t>
  </si>
  <si>
    <r>
      <rPr>
        <sz val="8"/>
        <color indexed="8"/>
        <rFont val="宋体"/>
        <charset val="134"/>
      </rPr>
      <t>产品管理部</t>
    </r>
  </si>
  <si>
    <r>
      <rPr>
        <sz val="8"/>
        <color indexed="8"/>
        <rFont val="宋体"/>
        <charset val="134"/>
      </rPr>
      <t>产品经理</t>
    </r>
  </si>
  <si>
    <t>165923</t>
  </si>
  <si>
    <r>
      <rPr>
        <sz val="8"/>
        <color indexed="8"/>
        <rFont val="宋体"/>
        <charset val="134"/>
      </rPr>
      <t>戴梦莹</t>
    </r>
  </si>
  <si>
    <t>165924</t>
  </si>
  <si>
    <r>
      <rPr>
        <sz val="8"/>
        <color indexed="8"/>
        <rFont val="宋体"/>
        <charset val="134"/>
      </rPr>
      <t>孙倩</t>
    </r>
  </si>
  <si>
    <r>
      <rPr>
        <sz val="8"/>
        <color indexed="8"/>
        <rFont val="宋体"/>
        <charset val="134"/>
      </rPr>
      <t>产品专员</t>
    </r>
  </si>
  <si>
    <t>165925</t>
  </si>
  <si>
    <r>
      <rPr>
        <sz val="8"/>
        <color indexed="8"/>
        <rFont val="宋体"/>
        <charset val="134"/>
      </rPr>
      <t>张景雲</t>
    </r>
  </si>
  <si>
    <t>166256</t>
  </si>
  <si>
    <r>
      <rPr>
        <sz val="8"/>
        <color indexed="8"/>
        <rFont val="宋体"/>
        <charset val="134"/>
      </rPr>
      <t>项目管理部</t>
    </r>
  </si>
  <si>
    <r>
      <rPr>
        <sz val="8"/>
        <color indexed="8"/>
        <rFont val="宋体"/>
        <charset val="134"/>
      </rPr>
      <t>王鹏飞</t>
    </r>
  </si>
  <si>
    <r>
      <rPr>
        <sz val="8"/>
        <color indexed="8"/>
        <rFont val="宋体"/>
        <charset val="134"/>
      </rPr>
      <t>项目经理</t>
    </r>
  </si>
  <si>
    <t>166257</t>
  </si>
  <si>
    <r>
      <rPr>
        <sz val="8"/>
        <color indexed="8"/>
        <rFont val="宋体"/>
        <charset val="134"/>
      </rPr>
      <t>楚旭</t>
    </r>
  </si>
  <si>
    <r>
      <rPr>
        <sz val="8"/>
        <color indexed="8"/>
        <rFont val="宋体"/>
        <charset val="134"/>
      </rPr>
      <t>体系工程师</t>
    </r>
  </si>
  <si>
    <t>166258</t>
  </si>
  <si>
    <r>
      <rPr>
        <sz val="8"/>
        <color indexed="8"/>
        <rFont val="宋体"/>
        <charset val="134"/>
      </rPr>
      <t>干然草</t>
    </r>
  </si>
  <si>
    <t>166259</t>
  </si>
  <si>
    <r>
      <rPr>
        <sz val="8"/>
        <color indexed="8"/>
        <rFont val="宋体"/>
        <charset val="134"/>
      </rPr>
      <t>刘丽</t>
    </r>
  </si>
  <si>
    <t>166260</t>
  </si>
  <si>
    <r>
      <rPr>
        <sz val="8"/>
        <color indexed="8"/>
        <rFont val="宋体"/>
        <charset val="134"/>
      </rPr>
      <t>李林翰</t>
    </r>
  </si>
  <si>
    <r>
      <rPr>
        <sz val="8"/>
        <color indexed="8"/>
        <rFont val="宋体"/>
        <charset val="134"/>
      </rPr>
      <t>项目助理</t>
    </r>
  </si>
  <si>
    <t>166444</t>
  </si>
  <si>
    <t>水表技术研究部</t>
  </si>
  <si>
    <t>166445</t>
  </si>
  <si>
    <t>166446</t>
  </si>
  <si>
    <t>166447</t>
  </si>
  <si>
    <t>166448</t>
  </si>
  <si>
    <t>166449</t>
  </si>
  <si>
    <t>硬件开发部</t>
  </si>
  <si>
    <t>166450</t>
  </si>
  <si>
    <t>部门副经理（主持工作）</t>
  </si>
  <si>
    <t>166451</t>
  </si>
  <si>
    <t>166452</t>
  </si>
  <si>
    <t>166453</t>
  </si>
  <si>
    <t>166454</t>
  </si>
  <si>
    <t>166455</t>
  </si>
  <si>
    <t>166456</t>
  </si>
  <si>
    <t>166457</t>
  </si>
  <si>
    <t>166458</t>
  </si>
  <si>
    <t>166459</t>
  </si>
  <si>
    <t>166460</t>
  </si>
  <si>
    <t>166461</t>
  </si>
  <si>
    <t>结构开发部</t>
  </si>
  <si>
    <t>166462</t>
  </si>
  <si>
    <t>166464</t>
  </si>
  <si>
    <t>166465</t>
  </si>
  <si>
    <t>166466</t>
  </si>
  <si>
    <t>166467</t>
  </si>
  <si>
    <t>166468</t>
  </si>
  <si>
    <t>166469</t>
  </si>
  <si>
    <t>166470</t>
  </si>
  <si>
    <t>166471</t>
  </si>
  <si>
    <t>166472</t>
  </si>
  <si>
    <t>166473</t>
  </si>
  <si>
    <t>166474</t>
  </si>
  <si>
    <t>平台架构设计部</t>
  </si>
  <si>
    <t>166475</t>
  </si>
  <si>
    <t>166476</t>
  </si>
  <si>
    <t>166477</t>
  </si>
  <si>
    <t>166478</t>
  </si>
  <si>
    <t>膜式气表软件开发部</t>
  </si>
  <si>
    <t>166479</t>
  </si>
  <si>
    <t>166480</t>
  </si>
  <si>
    <t>166481</t>
  </si>
  <si>
    <t>166482</t>
  </si>
  <si>
    <t>166483</t>
  </si>
  <si>
    <t>166484</t>
  </si>
  <si>
    <t>166485</t>
  </si>
  <si>
    <t>超声气表软件开发部</t>
  </si>
  <si>
    <t>166486</t>
  </si>
  <si>
    <t>166487</t>
  </si>
  <si>
    <t>166488</t>
  </si>
  <si>
    <t>166489</t>
  </si>
  <si>
    <t>166490</t>
  </si>
  <si>
    <t>166491</t>
  </si>
  <si>
    <t>166492</t>
  </si>
  <si>
    <t>166493</t>
  </si>
  <si>
    <t>166494</t>
  </si>
  <si>
    <t>166495</t>
  </si>
  <si>
    <t>166496</t>
  </si>
  <si>
    <t>166497</t>
  </si>
  <si>
    <t>工业控制器软件开发部</t>
  </si>
  <si>
    <t>166498</t>
  </si>
  <si>
    <t>166499</t>
  </si>
  <si>
    <t>166500</t>
  </si>
  <si>
    <t>166501</t>
  </si>
  <si>
    <t>166502</t>
  </si>
  <si>
    <t>海外气表软件开发部</t>
  </si>
  <si>
    <t>166503</t>
  </si>
  <si>
    <t>166504</t>
  </si>
  <si>
    <t>166505</t>
  </si>
  <si>
    <t>多元智能产品开发部</t>
  </si>
  <si>
    <t>166506</t>
  </si>
  <si>
    <t>机械水表软件开发部</t>
  </si>
  <si>
    <t>166507</t>
  </si>
  <si>
    <t>166508</t>
  </si>
  <si>
    <t>166509</t>
  </si>
  <si>
    <t>166510</t>
  </si>
  <si>
    <t>超声水表软件开发部</t>
  </si>
  <si>
    <t>166511</t>
  </si>
  <si>
    <t>166512</t>
  </si>
  <si>
    <t>海外水表软件开发部</t>
  </si>
  <si>
    <t>166513</t>
  </si>
  <si>
    <t>166514</t>
  </si>
  <si>
    <t>166515</t>
  </si>
  <si>
    <t>166516</t>
  </si>
  <si>
    <t>新产品交付部</t>
  </si>
  <si>
    <t>166517</t>
  </si>
  <si>
    <t>166518</t>
  </si>
  <si>
    <t>166519</t>
  </si>
  <si>
    <t>166520</t>
  </si>
  <si>
    <t>膜式气表产品规划管理部</t>
  </si>
  <si>
    <t>166521</t>
  </si>
  <si>
    <t>国内水表产品规划管理部</t>
  </si>
  <si>
    <t>产品合规认证部</t>
  </si>
  <si>
    <t xml:space="preserve">部门经理 </t>
  </si>
  <si>
    <t>海外水表产品规划管理部</t>
  </si>
  <si>
    <r>
      <rPr>
        <b/>
        <sz val="12"/>
        <rFont val="Calibri"/>
        <charset val="134"/>
      </rPr>
      <t>2</t>
    </r>
    <r>
      <rPr>
        <b/>
        <sz val="12"/>
        <rFont val="宋体"/>
        <charset val="134"/>
      </rPr>
      <t>月考勤汇总表（研发中心）</t>
    </r>
  </si>
  <si>
    <r>
      <rPr>
        <b/>
        <sz val="9"/>
        <color indexed="8"/>
        <rFont val="微软雅黑"/>
        <charset val="134"/>
      </rPr>
      <t>部门</t>
    </r>
  </si>
  <si>
    <r>
      <rPr>
        <b/>
        <sz val="9"/>
        <rFont val="微软雅黑"/>
        <charset val="134"/>
      </rPr>
      <t>姓名</t>
    </r>
  </si>
  <si>
    <r>
      <rPr>
        <b/>
        <sz val="9"/>
        <color indexed="8"/>
        <rFont val="微软雅黑"/>
        <charset val="134"/>
      </rPr>
      <t>岗位</t>
    </r>
  </si>
  <si>
    <r>
      <rPr>
        <b/>
        <sz val="9"/>
        <rFont val="微软雅黑"/>
        <charset val="134"/>
      </rPr>
      <t>月份</t>
    </r>
  </si>
  <si>
    <r>
      <rPr>
        <b/>
        <sz val="9"/>
        <rFont val="微软雅黑"/>
        <charset val="134"/>
      </rPr>
      <t>事假</t>
    </r>
  </si>
  <si>
    <r>
      <rPr>
        <b/>
        <sz val="9"/>
        <rFont val="微软雅黑"/>
        <charset val="134"/>
      </rPr>
      <t>病假</t>
    </r>
  </si>
  <si>
    <r>
      <rPr>
        <b/>
        <sz val="9"/>
        <rFont val="微软雅黑"/>
        <charset val="134"/>
      </rPr>
      <t>产假</t>
    </r>
  </si>
  <si>
    <r>
      <rPr>
        <b/>
        <sz val="9"/>
        <rFont val="微软雅黑"/>
        <charset val="134"/>
      </rPr>
      <t>婚假</t>
    </r>
  </si>
  <si>
    <r>
      <rPr>
        <b/>
        <sz val="9"/>
        <rFont val="微软雅黑"/>
        <charset val="134"/>
      </rPr>
      <t>丧假</t>
    </r>
  </si>
  <si>
    <t>护理假</t>
  </si>
  <si>
    <t>其他假</t>
  </si>
  <si>
    <r>
      <rPr>
        <b/>
        <sz val="9"/>
        <rFont val="微软雅黑"/>
        <charset val="134"/>
      </rPr>
      <t>请假总天数</t>
    </r>
  </si>
  <si>
    <r>
      <rPr>
        <b/>
        <sz val="9"/>
        <rFont val="微软雅黑"/>
        <charset val="134"/>
      </rPr>
      <t>出差</t>
    </r>
  </si>
  <si>
    <t>调休/居家</t>
  </si>
  <si>
    <t>应上班</t>
  </si>
  <si>
    <t>实上班</t>
  </si>
  <si>
    <t>餐补调整数</t>
  </si>
  <si>
    <r>
      <rPr>
        <sz val="9"/>
        <color indexed="8"/>
        <rFont val="宋体"/>
        <charset val="134"/>
      </rPr>
      <t>研发中心</t>
    </r>
  </si>
  <si>
    <r>
      <rPr>
        <sz val="9"/>
        <color indexed="8"/>
        <rFont val="宋体"/>
        <charset val="134"/>
      </rPr>
      <t>李文华</t>
    </r>
  </si>
  <si>
    <r>
      <rPr>
        <sz val="9"/>
        <rFont val="Calibri"/>
        <charset val="134"/>
      </rPr>
      <t>2</t>
    </r>
    <r>
      <rPr>
        <sz val="9"/>
        <rFont val="微软雅黑"/>
        <charset val="134"/>
      </rPr>
      <t>月</t>
    </r>
  </si>
  <si>
    <r>
      <rPr>
        <sz val="9"/>
        <color indexed="8"/>
        <rFont val="宋体"/>
        <charset val="134"/>
      </rPr>
      <t>王兵</t>
    </r>
  </si>
  <si>
    <r>
      <rPr>
        <sz val="9"/>
        <color indexed="8"/>
        <rFont val="宋体"/>
        <charset val="134"/>
      </rPr>
      <t>副总经理</t>
    </r>
  </si>
  <si>
    <r>
      <rPr>
        <sz val="9"/>
        <color indexed="8"/>
        <rFont val="宋体"/>
        <charset val="134"/>
      </rPr>
      <t>林扬宣</t>
    </r>
  </si>
  <si>
    <r>
      <rPr>
        <sz val="9"/>
        <color indexed="8"/>
        <rFont val="宋体"/>
        <charset val="134"/>
      </rPr>
      <t>李季</t>
    </r>
  </si>
  <si>
    <r>
      <rPr>
        <sz val="9"/>
        <color indexed="8"/>
        <rFont val="宋体"/>
        <charset val="134"/>
      </rPr>
      <t>王扩军</t>
    </r>
  </si>
  <si>
    <r>
      <rPr>
        <sz val="9"/>
        <color indexed="8"/>
        <rFont val="宋体"/>
        <charset val="134"/>
      </rPr>
      <t>总经理助理</t>
    </r>
  </si>
  <si>
    <r>
      <rPr>
        <sz val="9"/>
        <color indexed="8"/>
        <rFont val="宋体"/>
        <charset val="134"/>
      </rPr>
      <t>何威迪</t>
    </r>
  </si>
  <si>
    <r>
      <rPr>
        <sz val="9"/>
        <color indexed="8"/>
        <rFont val="宋体"/>
        <charset val="134"/>
      </rPr>
      <t>刘晓峰</t>
    </r>
  </si>
  <si>
    <r>
      <rPr>
        <sz val="9"/>
        <color indexed="8"/>
        <rFont val="宋体"/>
        <charset val="134"/>
      </rPr>
      <t>综合管理部（研发）</t>
    </r>
  </si>
  <si>
    <r>
      <rPr>
        <sz val="9"/>
        <color indexed="8"/>
        <rFont val="宋体"/>
        <charset val="134"/>
      </rPr>
      <t>郑佳男</t>
    </r>
  </si>
  <si>
    <r>
      <rPr>
        <sz val="9"/>
        <color indexed="8"/>
        <rFont val="宋体"/>
        <charset val="134"/>
      </rPr>
      <t>主管</t>
    </r>
  </si>
  <si>
    <r>
      <rPr>
        <sz val="9"/>
        <color rgb="FF000000"/>
        <rFont val="宋体"/>
        <charset val="134"/>
      </rPr>
      <t>产品标准化管理部</t>
    </r>
  </si>
  <si>
    <r>
      <rPr>
        <sz val="9"/>
        <color indexed="8"/>
        <rFont val="宋体"/>
        <charset val="134"/>
      </rPr>
      <t>张燕</t>
    </r>
  </si>
  <si>
    <r>
      <rPr>
        <sz val="9"/>
        <color indexed="8"/>
        <rFont val="宋体"/>
        <charset val="134"/>
      </rPr>
      <t>体系工程师</t>
    </r>
    <r>
      <rPr>
        <sz val="9"/>
        <color indexed="8"/>
        <rFont val="Calibri"/>
        <charset val="134"/>
      </rPr>
      <t>(PLM)</t>
    </r>
  </si>
  <si>
    <t>1</t>
  </si>
  <si>
    <r>
      <rPr>
        <sz val="9"/>
        <color indexed="8"/>
        <rFont val="宋体"/>
        <charset val="134"/>
      </rPr>
      <t>方璐</t>
    </r>
  </si>
  <si>
    <r>
      <rPr>
        <sz val="9"/>
        <color indexed="8"/>
        <rFont val="宋体"/>
        <charset val="134"/>
      </rPr>
      <t>综合事务主管</t>
    </r>
  </si>
  <si>
    <r>
      <rPr>
        <sz val="9"/>
        <color indexed="8"/>
        <rFont val="宋体"/>
        <charset val="134"/>
      </rPr>
      <t>产品测试部</t>
    </r>
  </si>
  <si>
    <r>
      <rPr>
        <sz val="9"/>
        <color indexed="8"/>
        <rFont val="宋体"/>
        <charset val="134"/>
      </rPr>
      <t>杨坤</t>
    </r>
  </si>
  <si>
    <r>
      <rPr>
        <sz val="9"/>
        <color indexed="8"/>
        <rFont val="宋体"/>
        <charset val="134"/>
      </rPr>
      <t>陆巧玲</t>
    </r>
  </si>
  <si>
    <r>
      <rPr>
        <sz val="9"/>
        <color indexed="8"/>
        <rFont val="宋体"/>
        <charset val="134"/>
      </rPr>
      <t>部门副经理（主持工作）</t>
    </r>
  </si>
  <si>
    <r>
      <rPr>
        <sz val="9"/>
        <color indexed="8"/>
        <rFont val="宋体"/>
        <charset val="134"/>
      </rPr>
      <t>张欠欠</t>
    </r>
  </si>
  <si>
    <r>
      <rPr>
        <sz val="9"/>
        <color indexed="8"/>
        <rFont val="宋体"/>
        <charset val="134"/>
      </rPr>
      <t>产品测试工程师</t>
    </r>
  </si>
  <si>
    <r>
      <rPr>
        <sz val="9"/>
        <color indexed="8"/>
        <rFont val="宋体"/>
        <charset val="134"/>
      </rPr>
      <t>李芳</t>
    </r>
  </si>
  <si>
    <r>
      <rPr>
        <sz val="9"/>
        <color indexed="8"/>
        <rFont val="宋体"/>
        <charset val="134"/>
      </rPr>
      <t>曹超</t>
    </r>
  </si>
  <si>
    <r>
      <rPr>
        <sz val="9"/>
        <color indexed="8"/>
        <rFont val="宋体"/>
        <charset val="134"/>
      </rPr>
      <t>测试工程师</t>
    </r>
  </si>
  <si>
    <r>
      <rPr>
        <sz val="9"/>
        <color indexed="8"/>
        <rFont val="宋体"/>
        <charset val="134"/>
      </rPr>
      <t>黄杨蕊</t>
    </r>
  </si>
  <si>
    <r>
      <rPr>
        <sz val="9"/>
        <color indexed="8"/>
        <rFont val="宋体"/>
        <charset val="134"/>
      </rPr>
      <t>杨雨晨</t>
    </r>
  </si>
  <si>
    <r>
      <rPr>
        <sz val="9"/>
        <color indexed="8"/>
        <rFont val="宋体"/>
        <charset val="134"/>
      </rPr>
      <t>周逸轩</t>
    </r>
  </si>
  <si>
    <r>
      <rPr>
        <sz val="9"/>
        <color indexed="8"/>
        <rFont val="宋体"/>
        <charset val="134"/>
      </rPr>
      <t>陈远发</t>
    </r>
  </si>
  <si>
    <r>
      <rPr>
        <sz val="9"/>
        <color indexed="8"/>
        <rFont val="宋体"/>
        <charset val="134"/>
      </rPr>
      <t>边皖佳</t>
    </r>
  </si>
  <si>
    <r>
      <rPr>
        <sz val="9"/>
        <color indexed="8"/>
        <rFont val="宋体"/>
        <charset val="134"/>
      </rPr>
      <t>张培强</t>
    </r>
  </si>
  <si>
    <r>
      <rPr>
        <sz val="9"/>
        <color indexed="8"/>
        <rFont val="宋体"/>
        <charset val="134"/>
      </rPr>
      <t>李旭</t>
    </r>
  </si>
  <si>
    <r>
      <rPr>
        <sz val="9"/>
        <color indexed="8"/>
        <rFont val="宋体"/>
        <charset val="134"/>
      </rPr>
      <t>吴鑫卓</t>
    </r>
  </si>
  <si>
    <r>
      <rPr>
        <sz val="9"/>
        <color indexed="8"/>
        <rFont val="宋体"/>
        <charset val="134"/>
      </rPr>
      <t>秦文近</t>
    </r>
  </si>
  <si>
    <r>
      <rPr>
        <sz val="9"/>
        <color indexed="8"/>
        <rFont val="宋体"/>
        <charset val="134"/>
      </rPr>
      <t>王银军</t>
    </r>
  </si>
  <si>
    <r>
      <rPr>
        <sz val="9"/>
        <color indexed="8"/>
        <rFont val="宋体"/>
        <charset val="134"/>
      </rPr>
      <t>余乐</t>
    </r>
  </si>
  <si>
    <r>
      <rPr>
        <sz val="9"/>
        <color indexed="8"/>
        <rFont val="宋体"/>
        <charset val="134"/>
      </rPr>
      <t>产品工程部</t>
    </r>
  </si>
  <si>
    <r>
      <rPr>
        <sz val="9"/>
        <color rgb="FF000000"/>
        <rFont val="宋体"/>
        <charset val="134"/>
      </rPr>
      <t>孙伟</t>
    </r>
  </si>
  <si>
    <r>
      <rPr>
        <sz val="9"/>
        <color indexed="8"/>
        <rFont val="宋体"/>
        <charset val="134"/>
      </rPr>
      <t>部门副经理</t>
    </r>
  </si>
  <si>
    <r>
      <rPr>
        <sz val="9"/>
        <color rgb="FF000000"/>
        <rFont val="宋体"/>
        <charset val="134"/>
      </rPr>
      <t>翁宋兵</t>
    </r>
  </si>
  <si>
    <r>
      <rPr>
        <sz val="9"/>
        <color rgb="FF000000"/>
        <rFont val="宋体"/>
        <charset val="134"/>
      </rPr>
      <t>运维工程师</t>
    </r>
  </si>
  <si>
    <r>
      <rPr>
        <sz val="9"/>
        <color indexed="8"/>
        <rFont val="宋体"/>
        <charset val="134"/>
      </rPr>
      <t>产品管理部</t>
    </r>
  </si>
  <si>
    <r>
      <rPr>
        <sz val="9"/>
        <color rgb="FF000000"/>
        <rFont val="宋体"/>
        <charset val="134"/>
      </rPr>
      <t>楼晓丽</t>
    </r>
  </si>
  <si>
    <r>
      <rPr>
        <sz val="9"/>
        <color indexed="8"/>
        <rFont val="宋体"/>
        <charset val="134"/>
      </rPr>
      <t>产品经理</t>
    </r>
  </si>
  <si>
    <r>
      <rPr>
        <sz val="9"/>
        <color indexed="8"/>
        <rFont val="宋体"/>
        <charset val="134"/>
      </rPr>
      <t>戴梦莹</t>
    </r>
  </si>
  <si>
    <r>
      <rPr>
        <sz val="9"/>
        <color indexed="8"/>
        <rFont val="宋体"/>
        <charset val="134"/>
      </rPr>
      <t>孙倩</t>
    </r>
  </si>
  <si>
    <r>
      <rPr>
        <sz val="9"/>
        <color indexed="8"/>
        <rFont val="宋体"/>
        <charset val="134"/>
      </rPr>
      <t>产品专员</t>
    </r>
  </si>
  <si>
    <r>
      <rPr>
        <sz val="9"/>
        <color indexed="8"/>
        <rFont val="宋体"/>
        <charset val="134"/>
      </rPr>
      <t>张景雲</t>
    </r>
  </si>
  <si>
    <r>
      <rPr>
        <sz val="9"/>
        <color indexed="8"/>
        <rFont val="宋体"/>
        <charset val="134"/>
      </rPr>
      <t>项目管理部</t>
    </r>
  </si>
  <si>
    <r>
      <rPr>
        <sz val="9"/>
        <color indexed="8"/>
        <rFont val="宋体"/>
        <charset val="134"/>
      </rPr>
      <t>王鹏飞</t>
    </r>
  </si>
  <si>
    <r>
      <rPr>
        <sz val="9"/>
        <color indexed="8"/>
        <rFont val="宋体"/>
        <charset val="134"/>
      </rPr>
      <t>项目经理</t>
    </r>
  </si>
  <si>
    <r>
      <rPr>
        <sz val="9"/>
        <color indexed="8"/>
        <rFont val="宋体"/>
        <charset val="134"/>
      </rPr>
      <t>楚旭</t>
    </r>
  </si>
  <si>
    <r>
      <rPr>
        <sz val="9"/>
        <color indexed="8"/>
        <rFont val="宋体"/>
        <charset val="134"/>
      </rPr>
      <t>体系工程师</t>
    </r>
  </si>
  <si>
    <r>
      <rPr>
        <sz val="9"/>
        <color indexed="8"/>
        <rFont val="宋体"/>
        <charset val="134"/>
      </rPr>
      <t>干然草</t>
    </r>
  </si>
  <si>
    <r>
      <rPr>
        <sz val="9"/>
        <color indexed="8"/>
        <rFont val="宋体"/>
        <charset val="134"/>
      </rPr>
      <t>刘丽</t>
    </r>
  </si>
  <si>
    <r>
      <rPr>
        <sz val="9"/>
        <color indexed="8"/>
        <rFont val="宋体"/>
        <charset val="134"/>
      </rPr>
      <t>李林翰</t>
    </r>
  </si>
  <si>
    <r>
      <rPr>
        <sz val="9"/>
        <color indexed="8"/>
        <rFont val="宋体"/>
        <charset val="134"/>
      </rPr>
      <t>项目助理</t>
    </r>
  </si>
  <si>
    <r>
      <rPr>
        <sz val="9"/>
        <color indexed="8"/>
        <rFont val="宋体"/>
        <charset val="134"/>
      </rPr>
      <t>水表技术研究部</t>
    </r>
  </si>
  <si>
    <r>
      <rPr>
        <sz val="9"/>
        <color indexed="8"/>
        <rFont val="宋体"/>
        <charset val="134"/>
      </rPr>
      <t>赵继宝</t>
    </r>
  </si>
  <si>
    <r>
      <rPr>
        <sz val="9"/>
        <color indexed="8"/>
        <rFont val="宋体"/>
        <charset val="134"/>
      </rPr>
      <t>嵌入式软件工程师</t>
    </r>
  </si>
  <si>
    <r>
      <rPr>
        <sz val="9"/>
        <color indexed="8"/>
        <rFont val="宋体"/>
        <charset val="134"/>
      </rPr>
      <t>崔康</t>
    </r>
  </si>
  <si>
    <r>
      <rPr>
        <sz val="9"/>
        <color indexed="8"/>
        <rFont val="宋体"/>
        <charset val="134"/>
      </rPr>
      <t>结构设计工程师</t>
    </r>
  </si>
  <si>
    <r>
      <rPr>
        <sz val="9"/>
        <color indexed="8"/>
        <rFont val="宋体"/>
        <charset val="134"/>
      </rPr>
      <t>吴双</t>
    </r>
  </si>
  <si>
    <r>
      <rPr>
        <sz val="9"/>
        <color indexed="8"/>
        <rFont val="宋体"/>
        <charset val="134"/>
      </rPr>
      <t>王威</t>
    </r>
  </si>
  <si>
    <r>
      <rPr>
        <sz val="9"/>
        <color indexed="8"/>
        <rFont val="宋体"/>
        <charset val="134"/>
      </rPr>
      <t>旷世麟</t>
    </r>
  </si>
  <si>
    <r>
      <rPr>
        <sz val="9"/>
        <color indexed="8"/>
        <rFont val="宋体"/>
        <charset val="134"/>
      </rPr>
      <t>硬件工程师</t>
    </r>
  </si>
  <si>
    <r>
      <rPr>
        <sz val="9"/>
        <color indexed="8"/>
        <rFont val="宋体"/>
        <charset val="134"/>
      </rPr>
      <t>硬件开发部</t>
    </r>
  </si>
  <si>
    <r>
      <rPr>
        <sz val="9"/>
        <color indexed="8"/>
        <rFont val="宋体"/>
        <charset val="134"/>
      </rPr>
      <t>李亚亮</t>
    </r>
  </si>
  <si>
    <r>
      <rPr>
        <sz val="9"/>
        <color indexed="8"/>
        <rFont val="宋体"/>
        <charset val="134"/>
      </rPr>
      <t>硬件开发工程师</t>
    </r>
  </si>
  <si>
    <r>
      <rPr>
        <sz val="9"/>
        <color indexed="8"/>
        <rFont val="宋体"/>
        <charset val="134"/>
      </rPr>
      <t>冯瀚</t>
    </r>
  </si>
  <si>
    <r>
      <rPr>
        <sz val="9"/>
        <color indexed="8"/>
        <rFont val="宋体"/>
        <charset val="134"/>
      </rPr>
      <t>李男</t>
    </r>
  </si>
  <si>
    <r>
      <rPr>
        <sz val="9"/>
        <color indexed="8"/>
        <rFont val="宋体"/>
        <charset val="134"/>
      </rPr>
      <t>金永利</t>
    </r>
  </si>
  <si>
    <r>
      <rPr>
        <sz val="9"/>
        <color indexed="8"/>
        <rFont val="宋体"/>
        <charset val="134"/>
      </rPr>
      <t>祝艳婷</t>
    </r>
  </si>
  <si>
    <r>
      <rPr>
        <sz val="9"/>
        <color indexed="8"/>
        <rFont val="宋体"/>
        <charset val="134"/>
      </rPr>
      <t>黄驰洋</t>
    </r>
  </si>
  <si>
    <r>
      <rPr>
        <sz val="9"/>
        <color indexed="8"/>
        <rFont val="宋体"/>
        <charset val="134"/>
      </rPr>
      <t>范鹏翔</t>
    </r>
  </si>
  <si>
    <r>
      <rPr>
        <sz val="9"/>
        <color indexed="8"/>
        <rFont val="宋体"/>
        <charset val="134"/>
      </rPr>
      <t>朱亚垒</t>
    </r>
  </si>
  <si>
    <r>
      <rPr>
        <sz val="9"/>
        <color indexed="8"/>
        <rFont val="宋体"/>
        <charset val="134"/>
      </rPr>
      <t>马振斌</t>
    </r>
  </si>
  <si>
    <r>
      <rPr>
        <sz val="9"/>
        <color indexed="8"/>
        <rFont val="宋体"/>
        <charset val="134"/>
      </rPr>
      <t>习津涛</t>
    </r>
  </si>
  <si>
    <r>
      <rPr>
        <sz val="9"/>
        <color indexed="8"/>
        <rFont val="宋体"/>
        <charset val="134"/>
      </rPr>
      <t>时慧玲</t>
    </r>
  </si>
  <si>
    <r>
      <rPr>
        <sz val="9"/>
        <color indexed="8"/>
        <rFont val="宋体"/>
        <charset val="134"/>
      </rPr>
      <t>赵磊</t>
    </r>
  </si>
  <si>
    <r>
      <rPr>
        <sz val="9"/>
        <color indexed="8"/>
        <rFont val="宋体"/>
        <charset val="134"/>
      </rPr>
      <t>结构开发部</t>
    </r>
  </si>
  <si>
    <r>
      <rPr>
        <sz val="9"/>
        <color indexed="8"/>
        <rFont val="宋体"/>
        <charset val="134"/>
      </rPr>
      <t>刘青</t>
    </r>
  </si>
  <si>
    <r>
      <rPr>
        <sz val="9"/>
        <color indexed="8"/>
        <rFont val="宋体"/>
        <charset val="134"/>
      </rPr>
      <t>杨瀚</t>
    </r>
  </si>
  <si>
    <r>
      <rPr>
        <sz val="9"/>
        <color indexed="8"/>
        <rFont val="宋体"/>
        <charset val="134"/>
      </rPr>
      <t>杨善平</t>
    </r>
  </si>
  <si>
    <r>
      <rPr>
        <sz val="9"/>
        <color indexed="8"/>
        <rFont val="宋体"/>
        <charset val="134"/>
      </rPr>
      <t>夏雨捷</t>
    </r>
  </si>
  <si>
    <r>
      <rPr>
        <sz val="9"/>
        <color indexed="8"/>
        <rFont val="宋体"/>
        <charset val="134"/>
      </rPr>
      <t>盛兴飞</t>
    </r>
  </si>
  <si>
    <r>
      <rPr>
        <sz val="9"/>
        <color indexed="8"/>
        <rFont val="宋体"/>
        <charset val="134"/>
      </rPr>
      <t>李清范</t>
    </r>
  </si>
  <si>
    <r>
      <rPr>
        <sz val="9"/>
        <color indexed="8"/>
        <rFont val="宋体"/>
        <charset val="134"/>
      </rPr>
      <t>陈斌</t>
    </r>
  </si>
  <si>
    <r>
      <rPr>
        <sz val="9"/>
        <color indexed="8"/>
        <rFont val="宋体"/>
        <charset val="134"/>
      </rPr>
      <t>张华宝</t>
    </r>
  </si>
  <si>
    <r>
      <rPr>
        <sz val="9"/>
        <color indexed="8"/>
        <rFont val="宋体"/>
        <charset val="134"/>
      </rPr>
      <t>桂志雄</t>
    </r>
  </si>
  <si>
    <r>
      <rPr>
        <sz val="9"/>
        <color indexed="8"/>
        <rFont val="宋体"/>
        <charset val="134"/>
      </rPr>
      <t>陈为泽</t>
    </r>
  </si>
  <si>
    <r>
      <rPr>
        <sz val="9"/>
        <color indexed="8"/>
        <rFont val="宋体"/>
        <charset val="134"/>
      </rPr>
      <t>范天星</t>
    </r>
  </si>
  <si>
    <r>
      <rPr>
        <sz val="9"/>
        <color indexed="8"/>
        <rFont val="宋体"/>
        <charset val="134"/>
      </rPr>
      <t>骆剑</t>
    </r>
  </si>
  <si>
    <r>
      <rPr>
        <sz val="9"/>
        <color indexed="8"/>
        <rFont val="宋体"/>
        <charset val="134"/>
      </rPr>
      <t>平台架构设计部</t>
    </r>
  </si>
  <si>
    <r>
      <rPr>
        <sz val="9"/>
        <color indexed="8"/>
        <rFont val="宋体"/>
        <charset val="134"/>
      </rPr>
      <t>饶宝娃</t>
    </r>
  </si>
  <si>
    <r>
      <rPr>
        <sz val="9"/>
        <color indexed="8"/>
        <rFont val="宋体"/>
        <charset val="134"/>
      </rPr>
      <t>嵌软开发工程师</t>
    </r>
  </si>
  <si>
    <r>
      <rPr>
        <sz val="9"/>
        <color indexed="8"/>
        <rFont val="宋体"/>
        <charset val="134"/>
      </rPr>
      <t>李明</t>
    </r>
  </si>
  <si>
    <r>
      <rPr>
        <sz val="9"/>
        <color indexed="8"/>
        <rFont val="宋体"/>
        <charset val="134"/>
      </rPr>
      <t>林杨杨</t>
    </r>
  </si>
  <si>
    <r>
      <rPr>
        <sz val="9"/>
        <color indexed="8"/>
        <rFont val="宋体"/>
        <charset val="134"/>
      </rPr>
      <t>张泳</t>
    </r>
  </si>
  <si>
    <r>
      <rPr>
        <sz val="9"/>
        <color indexed="8"/>
        <rFont val="宋体"/>
        <charset val="134"/>
      </rPr>
      <t>膜式气表软件开发部</t>
    </r>
  </si>
  <si>
    <r>
      <rPr>
        <sz val="9"/>
        <color indexed="8"/>
        <rFont val="宋体"/>
        <charset val="134"/>
      </rPr>
      <t>潘凌云</t>
    </r>
  </si>
  <si>
    <r>
      <rPr>
        <sz val="9"/>
        <color indexed="8"/>
        <rFont val="宋体"/>
        <charset val="134"/>
      </rPr>
      <t>刘高杰</t>
    </r>
  </si>
  <si>
    <r>
      <rPr>
        <sz val="9"/>
        <color indexed="8"/>
        <rFont val="宋体"/>
        <charset val="134"/>
      </rPr>
      <t>张晟毓</t>
    </r>
  </si>
  <si>
    <r>
      <rPr>
        <sz val="9"/>
        <color indexed="8"/>
        <rFont val="宋体"/>
        <charset val="134"/>
      </rPr>
      <t>刘卓飞</t>
    </r>
  </si>
  <si>
    <r>
      <rPr>
        <sz val="9"/>
        <color indexed="8"/>
        <rFont val="宋体"/>
        <charset val="134"/>
      </rPr>
      <t>王晓雅</t>
    </r>
  </si>
  <si>
    <r>
      <rPr>
        <sz val="9"/>
        <color indexed="8"/>
        <rFont val="宋体"/>
        <charset val="134"/>
      </rPr>
      <t>王书浩</t>
    </r>
  </si>
  <si>
    <r>
      <rPr>
        <sz val="9"/>
        <color indexed="8"/>
        <rFont val="宋体"/>
        <charset val="134"/>
      </rPr>
      <t>徐晋</t>
    </r>
  </si>
  <si>
    <r>
      <rPr>
        <sz val="9"/>
        <color indexed="8"/>
        <rFont val="宋体"/>
        <charset val="134"/>
      </rPr>
      <t>超声气表软件开发部</t>
    </r>
  </si>
  <si>
    <r>
      <rPr>
        <sz val="9"/>
        <color indexed="8"/>
        <rFont val="宋体"/>
        <charset val="134"/>
      </rPr>
      <t>胡鑫鑫</t>
    </r>
  </si>
  <si>
    <r>
      <rPr>
        <sz val="9"/>
        <color indexed="8"/>
        <rFont val="宋体"/>
        <charset val="134"/>
      </rPr>
      <t>部门经理</t>
    </r>
  </si>
  <si>
    <r>
      <rPr>
        <sz val="9"/>
        <color indexed="8"/>
        <rFont val="宋体"/>
        <charset val="134"/>
      </rPr>
      <t>马力达</t>
    </r>
  </si>
  <si>
    <r>
      <rPr>
        <sz val="9"/>
        <color indexed="8"/>
        <rFont val="宋体"/>
        <charset val="134"/>
      </rPr>
      <t>嵌软组长</t>
    </r>
  </si>
  <si>
    <r>
      <rPr>
        <sz val="9"/>
        <color indexed="8"/>
        <rFont val="宋体"/>
        <charset val="134"/>
      </rPr>
      <t>徐雯</t>
    </r>
  </si>
  <si>
    <r>
      <rPr>
        <sz val="9"/>
        <color indexed="8"/>
        <rFont val="宋体"/>
        <charset val="134"/>
      </rPr>
      <t>邹立彬</t>
    </r>
  </si>
  <si>
    <r>
      <rPr>
        <sz val="9"/>
        <color indexed="8"/>
        <rFont val="宋体"/>
        <charset val="134"/>
      </rPr>
      <t>吕许</t>
    </r>
  </si>
  <si>
    <r>
      <rPr>
        <sz val="9"/>
        <color indexed="8"/>
        <rFont val="宋体"/>
        <charset val="134"/>
      </rPr>
      <t>林彬俊</t>
    </r>
  </si>
  <si>
    <r>
      <rPr>
        <sz val="9"/>
        <color indexed="8"/>
        <rFont val="宋体"/>
        <charset val="134"/>
      </rPr>
      <t>杨涛</t>
    </r>
  </si>
  <si>
    <r>
      <rPr>
        <sz val="9"/>
        <color indexed="8"/>
        <rFont val="宋体"/>
        <charset val="134"/>
      </rPr>
      <t>杨卉卉</t>
    </r>
  </si>
  <si>
    <r>
      <rPr>
        <sz val="9"/>
        <color indexed="8"/>
        <rFont val="宋体"/>
        <charset val="134"/>
      </rPr>
      <t>赵一龙</t>
    </r>
  </si>
  <si>
    <r>
      <rPr>
        <sz val="9"/>
        <color indexed="8"/>
        <rFont val="宋体"/>
        <charset val="134"/>
      </rPr>
      <t>吕鹏</t>
    </r>
  </si>
  <si>
    <r>
      <rPr>
        <sz val="9"/>
        <color indexed="8"/>
        <rFont val="宋体"/>
        <charset val="134"/>
      </rPr>
      <t>何政演</t>
    </r>
  </si>
  <si>
    <r>
      <rPr>
        <sz val="9"/>
        <color indexed="8"/>
        <rFont val="宋体"/>
        <charset val="134"/>
      </rPr>
      <t>王文越</t>
    </r>
  </si>
  <si>
    <r>
      <rPr>
        <sz val="9"/>
        <color indexed="8"/>
        <rFont val="宋体"/>
        <charset val="134"/>
      </rPr>
      <t>工业控制器软件开发部</t>
    </r>
  </si>
  <si>
    <r>
      <rPr>
        <sz val="9"/>
        <color indexed="8"/>
        <rFont val="宋体"/>
        <charset val="134"/>
      </rPr>
      <t>金小平</t>
    </r>
  </si>
  <si>
    <r>
      <rPr>
        <sz val="9"/>
        <color indexed="8"/>
        <rFont val="宋体"/>
        <charset val="134"/>
      </rPr>
      <t>郑俊龙</t>
    </r>
  </si>
  <si>
    <r>
      <rPr>
        <sz val="9"/>
        <color indexed="8"/>
        <rFont val="宋体"/>
        <charset val="134"/>
      </rPr>
      <t>李双龙</t>
    </r>
  </si>
  <si>
    <r>
      <rPr>
        <sz val="9"/>
        <color indexed="8"/>
        <rFont val="宋体"/>
        <charset val="134"/>
      </rPr>
      <t>张涛</t>
    </r>
  </si>
  <si>
    <r>
      <rPr>
        <sz val="9"/>
        <color indexed="8"/>
        <rFont val="宋体"/>
        <charset val="134"/>
      </rPr>
      <t>周乐扬</t>
    </r>
  </si>
  <si>
    <r>
      <rPr>
        <sz val="9"/>
        <color indexed="8"/>
        <rFont val="宋体"/>
        <charset val="134"/>
      </rPr>
      <t>海外气表软件开发部</t>
    </r>
  </si>
  <si>
    <r>
      <rPr>
        <sz val="9"/>
        <color indexed="8"/>
        <rFont val="宋体"/>
        <charset val="134"/>
      </rPr>
      <t>陈旸</t>
    </r>
  </si>
  <si>
    <r>
      <rPr>
        <sz val="9"/>
        <color indexed="8"/>
        <rFont val="宋体"/>
        <charset val="134"/>
      </rPr>
      <t>嵌软工程师</t>
    </r>
  </si>
  <si>
    <r>
      <rPr>
        <sz val="9"/>
        <color indexed="8"/>
        <rFont val="宋体"/>
        <charset val="134"/>
      </rPr>
      <t>余书昊</t>
    </r>
  </si>
  <si>
    <r>
      <rPr>
        <sz val="9"/>
        <color indexed="8"/>
        <rFont val="宋体"/>
        <charset val="134"/>
      </rPr>
      <t>周祝霖</t>
    </r>
  </si>
  <si>
    <r>
      <rPr>
        <sz val="9"/>
        <color indexed="8"/>
        <rFont val="宋体"/>
        <charset val="134"/>
      </rPr>
      <t>多元智能产品开发部</t>
    </r>
  </si>
  <si>
    <r>
      <rPr>
        <sz val="9"/>
        <color indexed="8"/>
        <rFont val="宋体"/>
        <charset val="134"/>
      </rPr>
      <t>裴峰</t>
    </r>
  </si>
  <si>
    <r>
      <rPr>
        <sz val="9"/>
        <color indexed="8"/>
        <rFont val="宋体"/>
        <charset val="134"/>
      </rPr>
      <t>机械水表软件开发部</t>
    </r>
  </si>
  <si>
    <r>
      <rPr>
        <sz val="9"/>
        <color indexed="8"/>
        <rFont val="宋体"/>
        <charset val="134"/>
      </rPr>
      <t>刘帅</t>
    </r>
  </si>
  <si>
    <r>
      <rPr>
        <sz val="9"/>
        <color indexed="8"/>
        <rFont val="宋体"/>
        <charset val="134"/>
      </rPr>
      <t>邹美洋</t>
    </r>
  </si>
  <si>
    <r>
      <rPr>
        <sz val="9"/>
        <color indexed="8"/>
        <rFont val="宋体"/>
        <charset val="134"/>
      </rPr>
      <t>郭梦恩</t>
    </r>
  </si>
  <si>
    <r>
      <rPr>
        <sz val="9"/>
        <color indexed="8"/>
        <rFont val="宋体"/>
        <charset val="134"/>
      </rPr>
      <t>周水文</t>
    </r>
  </si>
  <si>
    <r>
      <rPr>
        <sz val="9"/>
        <color indexed="8"/>
        <rFont val="宋体"/>
        <charset val="134"/>
      </rPr>
      <t>超声水表软件开发部</t>
    </r>
  </si>
  <si>
    <r>
      <rPr>
        <sz val="9"/>
        <color indexed="8"/>
        <rFont val="宋体"/>
        <charset val="134"/>
      </rPr>
      <t>卓光钦</t>
    </r>
  </si>
  <si>
    <r>
      <rPr>
        <sz val="9"/>
        <color indexed="8"/>
        <rFont val="宋体"/>
        <charset val="134"/>
      </rPr>
      <t>郑雯婕</t>
    </r>
  </si>
  <si>
    <r>
      <rPr>
        <sz val="9"/>
        <color indexed="8"/>
        <rFont val="宋体"/>
        <charset val="134"/>
      </rPr>
      <t>海外水表软件开发部</t>
    </r>
  </si>
  <si>
    <r>
      <rPr>
        <sz val="9"/>
        <color indexed="8"/>
        <rFont val="宋体"/>
        <charset val="134"/>
      </rPr>
      <t>朱万胜</t>
    </r>
  </si>
  <si>
    <r>
      <rPr>
        <sz val="9"/>
        <color indexed="8"/>
        <rFont val="宋体"/>
        <charset val="134"/>
      </rPr>
      <t>梁璁哲</t>
    </r>
  </si>
  <si>
    <r>
      <rPr>
        <sz val="9"/>
        <color indexed="8"/>
        <rFont val="宋体"/>
        <charset val="134"/>
      </rPr>
      <t>叶先意</t>
    </r>
  </si>
  <si>
    <r>
      <rPr>
        <sz val="9"/>
        <color indexed="8"/>
        <rFont val="宋体"/>
        <charset val="134"/>
      </rPr>
      <t>李洋</t>
    </r>
  </si>
  <si>
    <r>
      <rPr>
        <sz val="9"/>
        <color indexed="8"/>
        <rFont val="宋体"/>
        <charset val="134"/>
      </rPr>
      <t>新产品交付部</t>
    </r>
  </si>
  <si>
    <r>
      <rPr>
        <sz val="9"/>
        <color indexed="8"/>
        <rFont val="宋体"/>
        <charset val="134"/>
      </rPr>
      <t>盛俊昆</t>
    </r>
  </si>
  <si>
    <r>
      <rPr>
        <sz val="9"/>
        <color indexed="8"/>
        <rFont val="宋体"/>
        <charset val="134"/>
      </rPr>
      <t>王晓枫</t>
    </r>
  </si>
  <si>
    <r>
      <rPr>
        <sz val="9"/>
        <color indexed="8"/>
        <rFont val="宋体"/>
        <charset val="134"/>
      </rPr>
      <t>全卓栋</t>
    </r>
  </si>
  <si>
    <r>
      <rPr>
        <sz val="9"/>
        <color indexed="8"/>
        <rFont val="宋体"/>
        <charset val="134"/>
      </rPr>
      <t>工装开发工程师</t>
    </r>
  </si>
  <si>
    <r>
      <rPr>
        <sz val="9"/>
        <color indexed="8"/>
        <rFont val="宋体"/>
        <charset val="134"/>
      </rPr>
      <t>陈林</t>
    </r>
  </si>
  <si>
    <r>
      <rPr>
        <sz val="9"/>
        <color indexed="8"/>
        <rFont val="宋体"/>
        <charset val="134"/>
      </rPr>
      <t>工艺工程师</t>
    </r>
  </si>
  <si>
    <r>
      <rPr>
        <sz val="9"/>
        <color indexed="8"/>
        <rFont val="宋体"/>
        <charset val="134"/>
      </rPr>
      <t>膜式气表产品规划管理部</t>
    </r>
  </si>
  <si>
    <r>
      <rPr>
        <sz val="9"/>
        <color indexed="8"/>
        <rFont val="宋体"/>
        <charset val="134"/>
      </rPr>
      <t>连成鹏</t>
    </r>
  </si>
  <si>
    <r>
      <rPr>
        <sz val="9"/>
        <color indexed="8"/>
        <rFont val="宋体"/>
        <charset val="134"/>
      </rPr>
      <t>国内水表产品规划管理部</t>
    </r>
  </si>
  <si>
    <r>
      <rPr>
        <sz val="9"/>
        <color indexed="8"/>
        <rFont val="宋体"/>
        <charset val="134"/>
      </rPr>
      <t>林贤顺</t>
    </r>
  </si>
  <si>
    <r>
      <rPr>
        <sz val="9"/>
        <color indexed="8"/>
        <rFont val="宋体"/>
        <charset val="134"/>
      </rPr>
      <t>丁哲伟</t>
    </r>
  </si>
  <si>
    <r>
      <rPr>
        <sz val="9"/>
        <color indexed="8"/>
        <rFont val="宋体"/>
        <charset val="134"/>
      </rPr>
      <t>嵌软件开发工程师</t>
    </r>
  </si>
  <si>
    <r>
      <rPr>
        <sz val="9"/>
        <color indexed="8"/>
        <rFont val="宋体"/>
        <charset val="134"/>
      </rPr>
      <t>产品合规认证部</t>
    </r>
  </si>
  <si>
    <r>
      <rPr>
        <sz val="9"/>
        <color indexed="8"/>
        <rFont val="宋体"/>
        <charset val="134"/>
      </rPr>
      <t>廖勇江</t>
    </r>
  </si>
  <si>
    <r>
      <rPr>
        <sz val="9"/>
        <color indexed="8"/>
        <rFont val="宋体"/>
        <charset val="134"/>
      </rPr>
      <t>部门经理</t>
    </r>
    <r>
      <rPr>
        <sz val="9"/>
        <color indexed="8"/>
        <rFont val="Calibri"/>
        <charset val="134"/>
      </rPr>
      <t xml:space="preserve"> </t>
    </r>
  </si>
  <si>
    <r>
      <rPr>
        <sz val="9"/>
        <color indexed="8"/>
        <rFont val="宋体"/>
        <charset val="134"/>
      </rPr>
      <t>黄武辉</t>
    </r>
  </si>
  <si>
    <r>
      <rPr>
        <sz val="9"/>
        <color indexed="8"/>
        <rFont val="宋体"/>
        <charset val="134"/>
      </rPr>
      <t>计量工程师</t>
    </r>
  </si>
  <si>
    <r>
      <rPr>
        <sz val="9"/>
        <color indexed="8"/>
        <rFont val="宋体"/>
        <charset val="134"/>
      </rPr>
      <t>孟栋成</t>
    </r>
  </si>
  <si>
    <r>
      <rPr>
        <sz val="9"/>
        <color indexed="8"/>
        <rFont val="宋体"/>
        <charset val="134"/>
      </rPr>
      <t>海外水表产品规划管理部</t>
    </r>
  </si>
  <si>
    <r>
      <rPr>
        <sz val="9"/>
        <color indexed="8"/>
        <rFont val="宋体"/>
        <charset val="134"/>
      </rPr>
      <t>宋佳慧</t>
    </r>
  </si>
  <si>
    <r>
      <rPr>
        <sz val="9"/>
        <color indexed="8"/>
        <rFont val="宋体"/>
        <charset val="134"/>
      </rPr>
      <t>魏雪</t>
    </r>
  </si>
  <si>
    <t>编制：</t>
  </si>
  <si>
    <t>批准：</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</si>
</sst>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400]h:mm:ss\ AM/PM"/>
    <numFmt numFmtId="177" formatCode="0.00_ "/>
    <numFmt numFmtId="178" formatCode="0.0_ "/>
    <numFmt numFmtId="179" formatCode="0_);[Red]\(0\)"/>
    <numFmt numFmtId="180" formatCode="h:mm;@"/>
  </numFmts>
  <fonts count="57">
    <font>
      <sz val="11"/>
      <color theme="1"/>
      <name val="宋体"/>
      <charset val="134"/>
      <scheme val="minor"/>
    </font>
    <font>
      <sz val="8"/>
      <name val="Calibri"/>
      <charset val="134"/>
    </font>
    <font>
      <b/>
      <sz val="9"/>
      <name val="Calibri"/>
      <charset val="134"/>
    </font>
    <font>
      <sz val="9"/>
      <name val="Calibri"/>
      <charset val="134"/>
    </font>
    <font>
      <b/>
      <sz val="8"/>
      <name val="Calibri"/>
      <charset val="134"/>
    </font>
    <font>
      <sz val="10"/>
      <name val="微软雅黑"/>
      <charset val="134"/>
    </font>
    <font>
      <b/>
      <sz val="12"/>
      <name val="Calibri"/>
      <charset val="134"/>
    </font>
    <font>
      <b/>
      <sz val="9"/>
      <color indexed="8"/>
      <name val="Calibri"/>
      <charset val="134"/>
    </font>
    <font>
      <sz val="9"/>
      <color indexed="8"/>
      <name val="Calibri"/>
      <charset val="134"/>
    </font>
    <font>
      <sz val="9"/>
      <color rgb="FF000000"/>
      <name val="宋体"/>
      <charset val="134"/>
    </font>
    <font>
      <sz val="9"/>
      <color theme="1"/>
      <name val="Calibri"/>
      <charset val="134"/>
    </font>
    <font>
      <sz val="9"/>
      <color rgb="FF000000"/>
      <name val="Calibri"/>
      <charset val="134"/>
    </font>
    <font>
      <b/>
      <sz val="9"/>
      <name val="微软雅黑"/>
      <charset val="134"/>
    </font>
    <font>
      <sz val="9"/>
      <color theme="0"/>
      <name val="Calibri"/>
      <charset val="134"/>
    </font>
    <font>
      <sz val="9"/>
      <name val="微软雅黑"/>
      <charset val="134"/>
    </font>
    <font>
      <sz val="10"/>
      <name val="Arial"/>
      <charset val="134"/>
    </font>
    <font>
      <sz val="8"/>
      <name val="微软雅黑"/>
      <charset val="134"/>
    </font>
    <font>
      <b/>
      <sz val="9"/>
      <color indexed="8"/>
      <name val="微软雅黑"/>
      <charset val="134"/>
    </font>
    <font>
      <sz val="8"/>
      <color indexed="8"/>
      <name val="Arial"/>
      <charset val="134"/>
    </font>
    <font>
      <sz val="8"/>
      <color rgb="FF000000"/>
      <name val="宋体"/>
      <charset val="134"/>
    </font>
    <font>
      <sz val="8"/>
      <color indexed="8"/>
      <name val="宋体"/>
      <charset val="134"/>
    </font>
    <font>
      <sz val="9"/>
      <color theme="1"/>
      <name val="微软雅黑"/>
      <charset val="134"/>
    </font>
    <font>
      <sz val="8"/>
      <color indexed="8"/>
      <name val="微软雅黑"/>
      <charset val="134"/>
    </font>
    <font>
      <sz val="8"/>
      <color theme="1"/>
      <name val="Calibri"/>
      <charset val="134"/>
    </font>
    <font>
      <b/>
      <sz val="8"/>
      <color theme="1"/>
      <name val="Calibri"/>
      <charset val="134"/>
    </font>
    <font>
      <b/>
      <sz val="8"/>
      <color theme="1"/>
      <name val="微软雅黑"/>
      <charset val="134"/>
    </font>
    <font>
      <sz val="8"/>
      <color theme="1"/>
      <name val="微软雅黑"/>
      <charset val="134"/>
    </font>
    <font>
      <sz val="11"/>
      <name val="宋体"/>
      <charset val="134"/>
      <scheme val="minor"/>
    </font>
    <font>
      <b/>
      <sz val="14"/>
      <color theme="0"/>
      <name val="微软雅黑"/>
      <charset val="134"/>
    </font>
    <font>
      <b/>
      <sz val="14"/>
      <name val="微软雅黑"/>
      <charset val="134"/>
    </font>
    <font>
      <b/>
      <sz val="9"/>
      <color theme="1"/>
      <name val="微软雅黑"/>
      <charset val="134"/>
    </font>
    <font>
      <sz val="8"/>
      <color rgb="FF000000"/>
      <name val="微软雅黑"/>
      <charset val="134"/>
    </font>
    <font>
      <b/>
      <sz val="8"/>
      <color indexed="8"/>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scheme val="minor"/>
    </font>
    <font>
      <sz val="12"/>
      <name val="宋体"/>
      <charset val="134"/>
    </font>
    <font>
      <sz val="11"/>
      <color indexed="8"/>
      <name val="宋体"/>
      <charset val="134"/>
      <scheme val="minor"/>
    </font>
    <font>
      <sz val="9"/>
      <color indexed="8"/>
      <name val="宋体"/>
      <charset val="134"/>
    </font>
    <font>
      <b/>
      <sz val="12"/>
      <name val="宋体"/>
      <charset val="134"/>
    </font>
  </fonts>
  <fills count="43">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9" tint="0.799920651875362"/>
        <bgColor indexed="64"/>
      </patternFill>
    </fill>
    <fill>
      <patternFill patternType="solid">
        <fgColor theme="9" tint="0.8"/>
        <bgColor indexed="64"/>
      </patternFill>
    </fill>
    <fill>
      <patternFill patternType="solid">
        <fgColor indexed="9"/>
        <bgColor indexed="64"/>
      </patternFill>
    </fill>
    <fill>
      <patternFill patternType="solid">
        <fgColor theme="9" tint="0.599993896298105"/>
        <bgColor indexed="64"/>
      </patternFill>
    </fill>
    <fill>
      <patternFill patternType="solid">
        <fgColor rgb="FF92D050"/>
        <bgColor indexed="64"/>
      </patternFill>
    </fill>
    <fill>
      <patternFill patternType="solid">
        <fgColor rgb="FFFF8080"/>
        <bgColor indexed="64"/>
      </patternFill>
    </fill>
    <fill>
      <patternFill patternType="solid">
        <fgColor indexed="29"/>
        <bgColor indexed="64"/>
      </patternFill>
    </fill>
    <fill>
      <patternFill patternType="solid">
        <fgColor indexed="42"/>
        <bgColor indexed="64"/>
      </patternFill>
    </fill>
    <fill>
      <patternFill patternType="solid">
        <fgColor indexed="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40">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theme="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theme="1"/>
      </left>
      <right style="thin">
        <color auto="1"/>
      </right>
      <top style="thin">
        <color auto="1"/>
      </top>
      <bottom style="thin">
        <color auto="1"/>
      </bottom>
      <diagonal/>
    </border>
    <border>
      <left/>
      <right style="thin">
        <color theme="1" tint="0.499984740745262"/>
      </right>
      <top/>
      <bottom style="thin">
        <color theme="1" tint="0.499984740745262"/>
      </bottom>
      <diagonal/>
    </border>
    <border>
      <left style="thin">
        <color theme="1"/>
      </left>
      <right style="thin">
        <color theme="1"/>
      </right>
      <top/>
      <bottom style="thin">
        <color auto="1"/>
      </bottom>
      <diagonal/>
    </border>
    <border>
      <left style="thin">
        <color theme="1" tint="0.499984740745262"/>
      </left>
      <right style="thin">
        <color theme="1" tint="0.499984740745262"/>
      </right>
      <top/>
      <bottom style="thin">
        <color theme="1" tint="0.499984740745262"/>
      </bottom>
      <diagonal/>
    </border>
    <border>
      <left/>
      <right style="medium">
        <color auto="1"/>
      </right>
      <top style="medium">
        <color auto="1"/>
      </top>
      <bottom style="medium">
        <color auto="1"/>
      </bottom>
      <diagonal/>
    </border>
    <border>
      <left style="thin">
        <color auto="1"/>
      </left>
      <right style="medium">
        <color auto="1"/>
      </right>
      <top/>
      <bottom style="medium">
        <color auto="1"/>
      </bottom>
      <diagonal/>
    </border>
    <border>
      <left style="thin">
        <color theme="1" tint="0.499984740745262"/>
      </left>
      <right style="medium">
        <color auto="1"/>
      </right>
      <top/>
      <bottom style="thin">
        <color theme="1" tint="0.499984740745262"/>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theme="1"/>
      </left>
      <right style="thin">
        <color auto="1"/>
      </right>
      <top style="thin">
        <color auto="1"/>
      </top>
      <bottom/>
      <diagonal/>
    </border>
    <border>
      <left/>
      <right style="thin">
        <color theme="1" tint="0.499984740745262"/>
      </right>
      <top/>
      <bottom/>
      <diagonal/>
    </border>
    <border>
      <left style="medium">
        <color auto="1"/>
      </left>
      <right/>
      <top/>
      <bottom style="medium">
        <color auto="1"/>
      </bottom>
      <diagonal/>
    </border>
    <border>
      <left/>
      <right/>
      <top/>
      <bottom style="medium">
        <color auto="1"/>
      </bottom>
      <diagonal/>
    </border>
    <border>
      <left style="thin">
        <color theme="1" tint="0.499984740745262"/>
      </left>
      <right style="thin">
        <color theme="1" tint="0.499984740745262"/>
      </right>
      <top/>
      <bottom style="medium">
        <color auto="1"/>
      </bottom>
      <diagonal/>
    </border>
    <border>
      <left style="thin">
        <color theme="1" tint="0.499984740745262"/>
      </left>
      <right style="medium">
        <color auto="1"/>
      </right>
      <top/>
      <bottom style="medium">
        <color auto="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349986266670736"/>
      </left>
      <right style="thin">
        <color theme="0" tint="-0.349986266670736"/>
      </right>
      <top style="thin">
        <color theme="0" tint="-0.349986266670736"/>
      </top>
      <bottom style="thin">
        <color theme="0" tint="-0.349986266670736"/>
      </bottom>
      <diagonal/>
    </border>
    <border>
      <left style="thin">
        <color theme="0" tint="-0.249977111117893"/>
      </left>
      <right/>
      <top style="thin">
        <color theme="0" tint="-0.249977111117893"/>
      </top>
      <bottom style="thin">
        <color theme="0" tint="-0.249977111117893"/>
      </bottom>
      <diagonal/>
    </border>
    <border>
      <left/>
      <right style="thin">
        <color theme="0" tint="-0.349986266670736"/>
      </right>
      <top style="thin">
        <color theme="0" tint="-0.349986266670736"/>
      </top>
      <bottom style="thin">
        <color theme="0" tint="-0.349986266670736"/>
      </bottom>
      <diagonal/>
    </border>
    <border>
      <left style="thin">
        <color theme="0" tint="-0.249977111117893"/>
      </left>
      <right style="thin">
        <color theme="0" tint="-0.249977111117893"/>
      </right>
      <top/>
      <bottom style="thin">
        <color theme="0" tint="-0.249977111117893"/>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176"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0" fillId="13" borderId="32" applyNumberFormat="0" applyFon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33" applyNumberFormat="0" applyFill="0" applyAlignment="0" applyProtection="0">
      <alignment vertical="center"/>
    </xf>
    <xf numFmtId="0" fontId="39" fillId="0" borderId="33" applyNumberFormat="0" applyFill="0" applyAlignment="0" applyProtection="0">
      <alignment vertical="center"/>
    </xf>
    <xf numFmtId="0" fontId="40" fillId="0" borderId="34" applyNumberFormat="0" applyFill="0" applyAlignment="0" applyProtection="0">
      <alignment vertical="center"/>
    </xf>
    <xf numFmtId="0" fontId="40" fillId="0" borderId="0" applyNumberFormat="0" applyFill="0" applyBorder="0" applyAlignment="0" applyProtection="0">
      <alignment vertical="center"/>
    </xf>
    <xf numFmtId="0" fontId="41" fillId="14" borderId="35" applyNumberFormat="0" applyAlignment="0" applyProtection="0">
      <alignment vertical="center"/>
    </xf>
    <xf numFmtId="0" fontId="42" fillId="15" borderId="36" applyNumberFormat="0" applyAlignment="0" applyProtection="0">
      <alignment vertical="center"/>
    </xf>
    <xf numFmtId="0" fontId="43" fillId="15" borderId="35" applyNumberFormat="0" applyAlignment="0" applyProtection="0">
      <alignment vertical="center"/>
    </xf>
    <xf numFmtId="0" fontId="44" fillId="16" borderId="37" applyNumberFormat="0" applyAlignment="0" applyProtection="0">
      <alignment vertical="center"/>
    </xf>
    <xf numFmtId="0" fontId="45" fillId="0" borderId="38" applyNumberFormat="0" applyFill="0" applyAlignment="0" applyProtection="0">
      <alignment vertical="center"/>
    </xf>
    <xf numFmtId="0" fontId="46" fillId="0" borderId="39" applyNumberFormat="0" applyFill="0" applyAlignment="0" applyProtection="0">
      <alignment vertical="center"/>
    </xf>
    <xf numFmtId="0" fontId="47" fillId="17" borderId="0" applyNumberFormat="0" applyBorder="0" applyAlignment="0" applyProtection="0">
      <alignment vertical="center"/>
    </xf>
    <xf numFmtId="0" fontId="48" fillId="18" borderId="0" applyNumberFormat="0" applyBorder="0" applyAlignment="0" applyProtection="0">
      <alignment vertical="center"/>
    </xf>
    <xf numFmtId="0" fontId="49" fillId="19" borderId="0" applyNumberFormat="0" applyBorder="0" applyAlignment="0" applyProtection="0">
      <alignment vertical="center"/>
    </xf>
    <xf numFmtId="0" fontId="50" fillId="20" borderId="0" applyNumberFormat="0" applyBorder="0" applyAlignment="0" applyProtection="0">
      <alignment vertical="center"/>
    </xf>
    <xf numFmtId="0" fontId="51" fillId="21" borderId="0" applyNumberFormat="0" applyBorder="0" applyAlignment="0" applyProtection="0">
      <alignment vertical="center"/>
    </xf>
    <xf numFmtId="0" fontId="51" fillId="22" borderId="0" applyNumberFormat="0" applyBorder="0" applyAlignment="0" applyProtection="0">
      <alignment vertical="center"/>
    </xf>
    <xf numFmtId="0" fontId="50" fillId="23" borderId="0" applyNumberFormat="0" applyBorder="0" applyAlignment="0" applyProtection="0">
      <alignment vertical="center"/>
    </xf>
    <xf numFmtId="0" fontId="50" fillId="24" borderId="0" applyNumberFormat="0" applyBorder="0" applyAlignment="0" applyProtection="0">
      <alignment vertical="center"/>
    </xf>
    <xf numFmtId="0" fontId="51" fillId="25" borderId="0" applyNumberFormat="0" applyBorder="0" applyAlignment="0" applyProtection="0">
      <alignment vertical="center"/>
    </xf>
    <xf numFmtId="0" fontId="51" fillId="26" borderId="0" applyNumberFormat="0" applyBorder="0" applyAlignment="0" applyProtection="0">
      <alignment vertical="center"/>
    </xf>
    <xf numFmtId="0" fontId="50" fillId="27" borderId="0" applyNumberFormat="0" applyBorder="0" applyAlignment="0" applyProtection="0">
      <alignment vertical="center"/>
    </xf>
    <xf numFmtId="0" fontId="50" fillId="28" borderId="0" applyNumberFormat="0" applyBorder="0" applyAlignment="0" applyProtection="0">
      <alignment vertical="center"/>
    </xf>
    <xf numFmtId="0" fontId="51" fillId="29" borderId="0" applyNumberFormat="0" applyBorder="0" applyAlignment="0" applyProtection="0">
      <alignment vertical="center"/>
    </xf>
    <xf numFmtId="0" fontId="51" fillId="30" borderId="0" applyNumberFormat="0" applyBorder="0" applyAlignment="0" applyProtection="0">
      <alignment vertical="center"/>
    </xf>
    <xf numFmtId="0" fontId="50" fillId="31" borderId="0" applyNumberFormat="0" applyBorder="0" applyAlignment="0" applyProtection="0">
      <alignment vertical="center"/>
    </xf>
    <xf numFmtId="0" fontId="50" fillId="32" borderId="0" applyNumberFormat="0" applyBorder="0" applyAlignment="0" applyProtection="0">
      <alignment vertical="center"/>
    </xf>
    <xf numFmtId="0" fontId="51" fillId="33" borderId="0" applyNumberFormat="0" applyBorder="0" applyAlignment="0" applyProtection="0">
      <alignment vertical="center"/>
    </xf>
    <xf numFmtId="0" fontId="51" fillId="34" borderId="0" applyNumberFormat="0" applyBorder="0" applyAlignment="0" applyProtection="0">
      <alignment vertical="center"/>
    </xf>
    <xf numFmtId="0" fontId="50" fillId="35" borderId="0" applyNumberFormat="0" applyBorder="0" applyAlignment="0" applyProtection="0">
      <alignment vertical="center"/>
    </xf>
    <xf numFmtId="0" fontId="50" fillId="36" borderId="0" applyNumberFormat="0" applyBorder="0" applyAlignment="0" applyProtection="0">
      <alignment vertical="center"/>
    </xf>
    <xf numFmtId="0" fontId="51" fillId="37" borderId="0" applyNumberFormat="0" applyBorder="0" applyAlignment="0" applyProtection="0">
      <alignment vertical="center"/>
    </xf>
    <xf numFmtId="0" fontId="51" fillId="38" borderId="0" applyNumberFormat="0" applyBorder="0" applyAlignment="0" applyProtection="0">
      <alignment vertical="center"/>
    </xf>
    <xf numFmtId="0" fontId="50" fillId="39" borderId="0" applyNumberFormat="0" applyBorder="0" applyAlignment="0" applyProtection="0">
      <alignment vertical="center"/>
    </xf>
    <xf numFmtId="0" fontId="50" fillId="40" borderId="0" applyNumberFormat="0" applyBorder="0" applyAlignment="0" applyProtection="0">
      <alignment vertical="center"/>
    </xf>
    <xf numFmtId="0" fontId="51" fillId="41" borderId="0" applyNumberFormat="0" applyBorder="0" applyAlignment="0" applyProtection="0">
      <alignment vertical="center"/>
    </xf>
    <xf numFmtId="0" fontId="51" fillId="7" borderId="0" applyNumberFormat="0" applyBorder="0" applyAlignment="0" applyProtection="0">
      <alignment vertical="center"/>
    </xf>
    <xf numFmtId="0" fontId="50" fillId="42" borderId="0" applyNumberFormat="0" applyBorder="0" applyAlignment="0" applyProtection="0">
      <alignment vertical="center"/>
    </xf>
    <xf numFmtId="176" fontId="52" fillId="0" borderId="0"/>
    <xf numFmtId="176" fontId="53" fillId="0" borderId="0"/>
    <xf numFmtId="176" fontId="15" fillId="0" borderId="0">
      <alignment vertical="center"/>
    </xf>
    <xf numFmtId="176" fontId="0" fillId="0" borderId="0">
      <alignment vertical="center"/>
    </xf>
    <xf numFmtId="176" fontId="54" fillId="0" borderId="0">
      <alignment vertical="center"/>
    </xf>
    <xf numFmtId="176" fontId="0" fillId="0" borderId="0">
      <alignment vertical="center"/>
    </xf>
  </cellStyleXfs>
  <cellXfs count="182">
    <xf numFmtId="176" fontId="0" fillId="0" borderId="0" xfId="0">
      <alignment vertical="center"/>
    </xf>
    <xf numFmtId="176" fontId="1" fillId="0" borderId="0" xfId="51" applyFont="1" applyFill="1" applyBorder="1" applyAlignment="1">
      <alignment horizontal="center" vertical="center"/>
    </xf>
    <xf numFmtId="176" fontId="2" fillId="0" borderId="0" xfId="51" applyFont="1" applyFill="1" applyBorder="1" applyAlignment="1">
      <alignment horizontal="center" vertical="center"/>
    </xf>
    <xf numFmtId="176" fontId="3" fillId="0" borderId="0" xfId="51" applyFont="1" applyFill="1" applyBorder="1" applyAlignment="1">
      <alignment horizontal="center" vertical="center"/>
    </xf>
    <xf numFmtId="176" fontId="3" fillId="2" borderId="0" xfId="51" applyFont="1" applyFill="1" applyBorder="1" applyAlignment="1">
      <alignment horizontal="center" vertical="center"/>
    </xf>
    <xf numFmtId="176" fontId="4" fillId="0" borderId="0" xfId="51" applyFont="1" applyFill="1" applyBorder="1" applyAlignment="1">
      <alignment horizontal="center" vertical="center"/>
    </xf>
    <xf numFmtId="176" fontId="5" fillId="0" borderId="0" xfId="51" applyFont="1" applyFill="1" applyBorder="1" applyAlignment="1">
      <alignment horizontal="center" vertical="center"/>
    </xf>
    <xf numFmtId="176" fontId="3" fillId="0" borderId="0" xfId="0" applyFont="1" applyAlignment="1">
      <alignment shrinkToFit="1"/>
    </xf>
    <xf numFmtId="0" fontId="1" fillId="0" borderId="0" xfId="51" applyNumberFormat="1" applyFont="1" applyFill="1" applyBorder="1" applyAlignment="1">
      <alignment horizontal="center" vertical="center"/>
    </xf>
    <xf numFmtId="176" fontId="1" fillId="0" borderId="0" xfId="51" applyFont="1" applyBorder="1" applyAlignment="1">
      <alignment horizontal="center" vertical="center"/>
    </xf>
    <xf numFmtId="176" fontId="6" fillId="0" borderId="1" xfId="51" applyFont="1" applyFill="1" applyBorder="1" applyAlignment="1">
      <alignment horizontal="center" vertical="center"/>
    </xf>
    <xf numFmtId="176" fontId="6" fillId="0" borderId="2" xfId="51" applyFont="1" applyFill="1" applyBorder="1" applyAlignment="1">
      <alignment horizontal="center" vertical="center"/>
    </xf>
    <xf numFmtId="49" fontId="7" fillId="0" borderId="3" xfId="0" applyNumberFormat="1" applyFont="1" applyFill="1" applyBorder="1" applyAlignment="1">
      <alignment horizontal="center" vertical="center" shrinkToFit="1"/>
    </xf>
    <xf numFmtId="176" fontId="2" fillId="0" borderId="4" xfId="51" applyFont="1" applyFill="1" applyBorder="1" applyAlignment="1">
      <alignment horizontal="center" vertical="center"/>
    </xf>
    <xf numFmtId="49" fontId="7" fillId="0" borderId="4" xfId="0" applyNumberFormat="1" applyFont="1" applyFill="1" applyBorder="1" applyAlignment="1">
      <alignment horizontal="center" vertical="center" shrinkToFit="1"/>
    </xf>
    <xf numFmtId="0" fontId="8" fillId="0" borderId="5" xfId="0" applyNumberFormat="1" applyFont="1" applyFill="1" applyBorder="1" applyAlignment="1">
      <alignment horizontal="center" vertical="center"/>
    </xf>
    <xf numFmtId="0" fontId="8" fillId="0" borderId="6" xfId="0" applyNumberFormat="1" applyFont="1" applyFill="1" applyBorder="1" applyAlignment="1">
      <alignment horizontal="center" vertical="center"/>
    </xf>
    <xf numFmtId="0" fontId="9" fillId="0" borderId="6" xfId="0" applyNumberFormat="1" applyFont="1" applyFill="1" applyBorder="1" applyAlignment="1">
      <alignment horizontal="center" vertical="center"/>
    </xf>
    <xf numFmtId="49" fontId="3" fillId="0" borderId="6" xfId="0" applyNumberFormat="1" applyFont="1" applyBorder="1" applyAlignment="1">
      <alignment horizontal="center" vertical="center" shrinkToFit="1"/>
    </xf>
    <xf numFmtId="49" fontId="10" fillId="0" borderId="7" xfId="0" applyNumberFormat="1" applyFont="1" applyBorder="1" applyAlignment="1">
      <alignment horizontal="center" vertical="center"/>
    </xf>
    <xf numFmtId="49" fontId="10" fillId="0" borderId="6" xfId="0" applyNumberFormat="1" applyFont="1" applyBorder="1" applyAlignment="1">
      <alignment horizontal="center" vertical="center"/>
    </xf>
    <xf numFmtId="0" fontId="8" fillId="0" borderId="8" xfId="0" applyNumberFormat="1" applyFont="1" applyFill="1" applyBorder="1" applyAlignment="1">
      <alignment horizontal="center" vertical="center"/>
    </xf>
    <xf numFmtId="0" fontId="8" fillId="0" borderId="9" xfId="0" applyNumberFormat="1" applyFont="1" applyFill="1" applyBorder="1" applyAlignment="1">
      <alignment horizontal="center" vertical="center"/>
    </xf>
    <xf numFmtId="49" fontId="10" fillId="0" borderId="10" xfId="0" applyNumberFormat="1" applyFont="1" applyBorder="1" applyAlignment="1">
      <alignment horizontal="center" vertical="center"/>
    </xf>
    <xf numFmtId="49" fontId="10" fillId="0" borderId="9" xfId="0" applyNumberFormat="1" applyFont="1" applyBorder="1" applyAlignment="1">
      <alignment horizontal="center" vertical="center"/>
    </xf>
    <xf numFmtId="0" fontId="9" fillId="0" borderId="9" xfId="0" applyNumberFormat="1" applyFont="1" applyFill="1" applyBorder="1" applyAlignment="1">
      <alignment horizontal="center" vertical="center"/>
    </xf>
    <xf numFmtId="0" fontId="11" fillId="0" borderId="8" xfId="0" applyNumberFormat="1" applyFont="1" applyFill="1" applyBorder="1" applyAlignment="1">
      <alignment horizontal="center" vertical="center"/>
    </xf>
    <xf numFmtId="0" fontId="11" fillId="0" borderId="9" xfId="0" applyNumberFormat="1" applyFont="1" applyFill="1" applyBorder="1" applyAlignment="1">
      <alignment horizontal="center" vertical="center"/>
    </xf>
    <xf numFmtId="176" fontId="10" fillId="0" borderId="9" xfId="0" applyNumberFormat="1" applyFont="1" applyBorder="1" applyAlignment="1">
      <alignment horizontal="center" vertical="center"/>
    </xf>
    <xf numFmtId="0" fontId="8" fillId="2" borderId="8" xfId="0" applyNumberFormat="1" applyFont="1" applyFill="1" applyBorder="1" applyAlignment="1">
      <alignment horizontal="center" vertical="center"/>
    </xf>
    <xf numFmtId="0" fontId="8" fillId="2" borderId="9" xfId="0" applyNumberFormat="1" applyFont="1" applyFill="1" applyBorder="1" applyAlignment="1">
      <alignment horizontal="center" vertical="center"/>
    </xf>
    <xf numFmtId="49" fontId="3" fillId="2" borderId="6" xfId="0" applyNumberFormat="1" applyFont="1" applyFill="1" applyBorder="1" applyAlignment="1">
      <alignment horizontal="center" vertical="center" shrinkToFit="1"/>
    </xf>
    <xf numFmtId="49" fontId="10" fillId="2" borderId="10" xfId="0" applyNumberFormat="1" applyFont="1" applyFill="1" applyBorder="1" applyAlignment="1">
      <alignment horizontal="center" vertical="center"/>
    </xf>
    <xf numFmtId="49" fontId="10" fillId="2" borderId="9" xfId="0" applyNumberFormat="1" applyFont="1" applyFill="1" applyBorder="1" applyAlignment="1">
      <alignment horizontal="center" vertical="center"/>
    </xf>
    <xf numFmtId="176" fontId="12" fillId="0" borderId="4" xfId="51" applyFont="1" applyFill="1" applyBorder="1" applyAlignment="1">
      <alignment horizontal="center" vertical="center"/>
    </xf>
    <xf numFmtId="0" fontId="2" fillId="0" borderId="4" xfId="51" applyNumberFormat="1" applyFont="1" applyFill="1" applyBorder="1" applyAlignment="1">
      <alignment horizontal="center" vertical="center"/>
    </xf>
    <xf numFmtId="0" fontId="12" fillId="0" borderId="4" xfId="51" applyNumberFormat="1" applyFont="1" applyFill="1" applyBorder="1" applyAlignment="1">
      <alignment horizontal="center" vertical="center" wrapText="1"/>
    </xf>
    <xf numFmtId="176" fontId="12" fillId="0" borderId="4" xfId="51" applyFont="1" applyFill="1" applyBorder="1" applyAlignment="1">
      <alignment horizontal="center" vertical="center" wrapText="1"/>
    </xf>
    <xf numFmtId="177" fontId="13" fillId="0" borderId="11" xfId="0" applyNumberFormat="1" applyFont="1" applyBorder="1" applyAlignment="1">
      <alignment horizontal="center" vertical="center"/>
    </xf>
    <xf numFmtId="2" fontId="3" fillId="0" borderId="12" xfId="51" applyNumberFormat="1" applyFont="1" applyBorder="1" applyAlignment="1">
      <alignment horizontal="center" vertical="center"/>
    </xf>
    <xf numFmtId="0" fontId="10" fillId="0" borderId="11" xfId="51" applyNumberFormat="1" applyFont="1" applyFill="1" applyBorder="1" applyAlignment="1">
      <alignment horizontal="center" vertical="center"/>
    </xf>
    <xf numFmtId="177" fontId="3" fillId="0" borderId="13" xfId="51" applyNumberFormat="1" applyFont="1" applyFill="1" applyBorder="1" applyAlignment="1">
      <alignment horizontal="center" vertical="center"/>
    </xf>
    <xf numFmtId="0" fontId="3" fillId="0" borderId="13" xfId="51" applyNumberFormat="1" applyFont="1" applyFill="1" applyBorder="1" applyAlignment="1">
      <alignment horizontal="center" vertical="center"/>
    </xf>
    <xf numFmtId="177" fontId="10" fillId="0" borderId="11" xfId="0" applyNumberFormat="1" applyFont="1" applyBorder="1" applyAlignment="1">
      <alignment horizontal="center" vertical="center"/>
    </xf>
    <xf numFmtId="177" fontId="10" fillId="2" borderId="11" xfId="0" applyNumberFormat="1" applyFont="1" applyFill="1" applyBorder="1" applyAlignment="1">
      <alignment horizontal="center" vertical="center"/>
    </xf>
    <xf numFmtId="2" fontId="3" fillId="2" borderId="12" xfId="51" applyNumberFormat="1" applyFont="1" applyFill="1" applyBorder="1" applyAlignment="1">
      <alignment horizontal="center" vertical="center"/>
    </xf>
    <xf numFmtId="0" fontId="10" fillId="2" borderId="11" xfId="51" applyNumberFormat="1" applyFont="1" applyFill="1" applyBorder="1" applyAlignment="1">
      <alignment horizontal="center" vertical="center"/>
    </xf>
    <xf numFmtId="177" fontId="3" fillId="2" borderId="13" xfId="51" applyNumberFormat="1" applyFont="1" applyFill="1" applyBorder="1" applyAlignment="1">
      <alignment horizontal="center" vertical="center"/>
    </xf>
    <xf numFmtId="0" fontId="3" fillId="2" borderId="13" xfId="51" applyNumberFormat="1" applyFont="1" applyFill="1" applyBorder="1" applyAlignment="1">
      <alignment horizontal="center" vertical="center"/>
    </xf>
    <xf numFmtId="176" fontId="6" fillId="0" borderId="14" xfId="51" applyFont="1" applyFill="1" applyBorder="1" applyAlignment="1">
      <alignment horizontal="center" vertical="center"/>
    </xf>
    <xf numFmtId="0" fontId="12" fillId="0" borderId="15" xfId="51" applyNumberFormat="1" applyFont="1" applyFill="1" applyBorder="1" applyAlignment="1">
      <alignment horizontal="center" vertical="center"/>
    </xf>
    <xf numFmtId="0" fontId="3" fillId="0" borderId="16" xfId="51" applyNumberFormat="1" applyFont="1" applyFill="1" applyBorder="1" applyAlignment="1">
      <alignment horizontal="center" vertical="center"/>
    </xf>
    <xf numFmtId="0" fontId="3" fillId="2" borderId="16" xfId="51" applyNumberFormat="1" applyFont="1" applyFill="1" applyBorder="1" applyAlignment="1">
      <alignment horizontal="center" vertical="center"/>
    </xf>
    <xf numFmtId="176" fontId="1" fillId="2" borderId="0" xfId="51" applyFont="1" applyFill="1" applyBorder="1" applyAlignment="1">
      <alignment horizontal="center" vertical="center"/>
    </xf>
    <xf numFmtId="49" fontId="10" fillId="0" borderId="10" xfId="0" applyNumberFormat="1" applyFont="1" applyFill="1" applyBorder="1" applyAlignment="1">
      <alignment horizontal="center" vertical="center"/>
    </xf>
    <xf numFmtId="49" fontId="10" fillId="0" borderId="9" xfId="0" applyNumberFormat="1" applyFont="1" applyFill="1" applyBorder="1" applyAlignment="1">
      <alignment horizontal="center" vertical="center"/>
    </xf>
    <xf numFmtId="0" fontId="8" fillId="0" borderId="17" xfId="0" applyNumberFormat="1" applyFont="1" applyFill="1" applyBorder="1" applyAlignment="1">
      <alignment horizontal="center" vertical="center"/>
    </xf>
    <xf numFmtId="0" fontId="8" fillId="0" borderId="18" xfId="0" applyNumberFormat="1" applyFont="1" applyFill="1" applyBorder="1" applyAlignment="1">
      <alignment horizontal="center" vertical="center"/>
    </xf>
    <xf numFmtId="49" fontId="10" fillId="0" borderId="19" xfId="0" applyNumberFormat="1" applyFont="1" applyBorder="1" applyAlignment="1">
      <alignment horizontal="center" vertical="center"/>
    </xf>
    <xf numFmtId="49" fontId="10" fillId="0" borderId="18" xfId="0" applyNumberFormat="1" applyFont="1" applyBorder="1" applyAlignment="1">
      <alignment horizontal="center" vertical="center"/>
    </xf>
    <xf numFmtId="176" fontId="3" fillId="0" borderId="9" xfId="51" applyFont="1" applyFill="1" applyBorder="1" applyAlignment="1">
      <alignment horizontal="center" vertical="center"/>
    </xf>
    <xf numFmtId="0" fontId="9" fillId="0" borderId="8" xfId="0" applyNumberFormat="1" applyFont="1" applyFill="1" applyBorder="1" applyAlignment="1">
      <alignment horizontal="center" vertical="center"/>
    </xf>
    <xf numFmtId="177" fontId="10" fillId="0" borderId="20" xfId="0" applyNumberFormat="1" applyFont="1" applyBorder="1" applyAlignment="1">
      <alignment horizontal="center" vertical="center"/>
    </xf>
    <xf numFmtId="177" fontId="10" fillId="0" borderId="9" xfId="0" applyNumberFormat="1" applyFont="1" applyBorder="1" applyAlignment="1">
      <alignment horizontal="center" vertical="center"/>
    </xf>
    <xf numFmtId="0" fontId="3" fillId="0" borderId="11" xfId="51" applyNumberFormat="1" applyFont="1" applyFill="1" applyBorder="1" applyAlignment="1">
      <alignment horizontal="center" vertical="center"/>
    </xf>
    <xf numFmtId="0" fontId="3" fillId="0" borderId="20" xfId="51" applyNumberFormat="1" applyFont="1" applyFill="1" applyBorder="1" applyAlignment="1">
      <alignment horizontal="center" vertical="center"/>
    </xf>
    <xf numFmtId="0" fontId="3" fillId="0" borderId="9" xfId="51" applyNumberFormat="1" applyFont="1" applyFill="1" applyBorder="1" applyAlignment="1">
      <alignment horizontal="center" vertical="center"/>
    </xf>
    <xf numFmtId="176" fontId="2" fillId="0" borderId="21" xfId="51" applyFont="1" applyFill="1" applyBorder="1" applyAlignment="1">
      <alignment horizontal="center" vertical="center"/>
    </xf>
    <xf numFmtId="176" fontId="2" fillId="0" borderId="22" xfId="51" applyFont="1" applyFill="1" applyBorder="1" applyAlignment="1">
      <alignment horizontal="center" vertical="center"/>
    </xf>
    <xf numFmtId="176" fontId="3" fillId="0" borderId="22" xfId="51" applyFont="1" applyFill="1" applyBorder="1" applyAlignment="1">
      <alignment horizontal="center" vertical="center"/>
    </xf>
    <xf numFmtId="176" fontId="3" fillId="0" borderId="0" xfId="0" applyFont="1" applyBorder="1" applyAlignment="1">
      <alignment shrinkToFit="1"/>
    </xf>
    <xf numFmtId="176" fontId="5" fillId="0" borderId="0" xfId="0" applyFont="1" applyBorder="1" applyAlignment="1">
      <alignment vertical="center" shrinkToFit="1"/>
    </xf>
    <xf numFmtId="176" fontId="5" fillId="0" borderId="0" xfId="51" applyFont="1" applyFill="1" applyBorder="1" applyAlignment="1">
      <alignment horizontal="right" vertical="center"/>
    </xf>
    <xf numFmtId="176" fontId="5" fillId="0" borderId="0" xfId="51" applyFont="1" applyFill="1" applyBorder="1" applyAlignment="1">
      <alignment vertical="center"/>
    </xf>
    <xf numFmtId="177" fontId="3" fillId="0" borderId="22" xfId="51" applyNumberFormat="1" applyFont="1" applyFill="1" applyBorder="1" applyAlignment="1">
      <alignment horizontal="center" vertical="center"/>
    </xf>
    <xf numFmtId="0" fontId="3" fillId="0" borderId="22" xfId="51" applyNumberFormat="1" applyFont="1" applyFill="1" applyBorder="1" applyAlignment="1">
      <alignment horizontal="center" vertical="center"/>
    </xf>
    <xf numFmtId="0" fontId="10" fillId="0" borderId="22" xfId="51" applyNumberFormat="1" applyFont="1" applyFill="1" applyBorder="1" applyAlignment="1">
      <alignment horizontal="center" vertical="center"/>
    </xf>
    <xf numFmtId="177" fontId="3" fillId="0" borderId="23" xfId="51" applyNumberFormat="1" applyFont="1" applyFill="1" applyBorder="1" applyAlignment="1">
      <alignment horizontal="center" vertical="center"/>
    </xf>
    <xf numFmtId="0" fontId="3" fillId="0" borderId="23" xfId="51" applyNumberFormat="1" applyFont="1" applyFill="1" applyBorder="1" applyAlignment="1">
      <alignment horizontal="center" vertical="center"/>
    </xf>
    <xf numFmtId="0" fontId="5" fillId="0" borderId="0" xfId="51" applyNumberFormat="1" applyFont="1" applyFill="1" applyBorder="1" applyAlignment="1">
      <alignment horizontal="right" vertical="center"/>
    </xf>
    <xf numFmtId="0" fontId="5" fillId="0" borderId="0" xfId="51" applyNumberFormat="1" applyFont="1" applyFill="1" applyBorder="1" applyAlignment="1">
      <alignment horizontal="center" vertical="center"/>
    </xf>
    <xf numFmtId="0" fontId="3" fillId="0" borderId="24" xfId="51" applyNumberFormat="1" applyFont="1" applyFill="1" applyBorder="1" applyAlignment="1">
      <alignment horizontal="center" vertical="center"/>
    </xf>
    <xf numFmtId="176" fontId="12" fillId="0" borderId="0" xfId="51" applyFont="1" applyBorder="1" applyAlignment="1">
      <alignment horizontal="center" vertical="center"/>
    </xf>
    <xf numFmtId="49" fontId="14" fillId="0" borderId="0" xfId="0" applyNumberFormat="1" applyFont="1" applyAlignment="1">
      <alignment horizontal="center" vertical="center" shrinkToFit="1"/>
    </xf>
    <xf numFmtId="176" fontId="15" fillId="0" borderId="0" xfId="0" applyFont="1" applyFill="1" applyBorder="1" applyAlignment="1"/>
    <xf numFmtId="176" fontId="15" fillId="0" borderId="0" xfId="0" applyFont="1" applyFill="1" applyAlignment="1"/>
    <xf numFmtId="176" fontId="15" fillId="2" borderId="0" xfId="0" applyFont="1" applyFill="1" applyBorder="1" applyAlignment="1"/>
    <xf numFmtId="176" fontId="0" fillId="0" borderId="0" xfId="0" applyFill="1">
      <alignment vertical="center"/>
    </xf>
    <xf numFmtId="176" fontId="0" fillId="2" borderId="0" xfId="0" applyFill="1">
      <alignment vertical="center"/>
    </xf>
    <xf numFmtId="176" fontId="16" fillId="0" borderId="0" xfId="51" applyFont="1" applyBorder="1" applyAlignment="1">
      <alignment horizontal="center" vertical="center"/>
    </xf>
    <xf numFmtId="176" fontId="14" fillId="0" borderId="0" xfId="0" applyFont="1" applyAlignment="1">
      <alignment shrinkToFit="1"/>
    </xf>
    <xf numFmtId="176" fontId="14" fillId="0" borderId="0" xfId="0" applyFont="1" applyAlignment="1"/>
    <xf numFmtId="177" fontId="16" fillId="0" borderId="0" xfId="51" applyNumberFormat="1" applyFont="1" applyBorder="1" applyAlignment="1">
      <alignment horizontal="center" vertical="center"/>
    </xf>
    <xf numFmtId="49" fontId="17" fillId="0" borderId="0" xfId="0" applyNumberFormat="1" applyFont="1" applyFill="1" applyBorder="1" applyAlignment="1">
      <alignment horizontal="center" vertical="center" shrinkToFit="1"/>
    </xf>
    <xf numFmtId="49" fontId="17" fillId="0" borderId="0" xfId="0" applyNumberFormat="1" applyFont="1" applyFill="1" applyBorder="1" applyAlignment="1">
      <alignment horizontal="center" vertical="center"/>
    </xf>
    <xf numFmtId="0" fontId="18" fillId="3" borderId="0" xfId="0" applyNumberFormat="1" applyFont="1" applyFill="1" applyAlignment="1"/>
    <xf numFmtId="0" fontId="18" fillId="0" borderId="0" xfId="0" applyNumberFormat="1" applyFont="1" applyFill="1" applyAlignment="1">
      <alignment vertical="center"/>
    </xf>
    <xf numFmtId="178" fontId="14" fillId="0" borderId="0" xfId="0" applyNumberFormat="1" applyFont="1" applyAlignment="1">
      <alignment horizontal="center" vertical="center" shrinkToFit="1"/>
    </xf>
    <xf numFmtId="0" fontId="19" fillId="0" borderId="0" xfId="0" applyNumberFormat="1" applyFont="1" applyFill="1" applyAlignment="1">
      <alignment vertical="center"/>
    </xf>
    <xf numFmtId="177" fontId="14" fillId="0" borderId="0" xfId="0" applyNumberFormat="1" applyFont="1" applyAlignment="1">
      <alignment horizontal="center" vertical="center" shrinkToFit="1"/>
    </xf>
    <xf numFmtId="0" fontId="20" fillId="0" borderId="0" xfId="0" applyNumberFormat="1" applyFont="1" applyFill="1" applyAlignment="1">
      <alignment vertical="center"/>
    </xf>
    <xf numFmtId="0" fontId="18" fillId="2" borderId="0" xfId="0" applyNumberFormat="1" applyFont="1" applyFill="1" applyAlignment="1"/>
    <xf numFmtId="0" fontId="20" fillId="2" borderId="0" xfId="0" applyNumberFormat="1" applyFont="1" applyFill="1" applyAlignment="1">
      <alignment vertical="center"/>
    </xf>
    <xf numFmtId="49" fontId="14" fillId="2" borderId="0" xfId="0" applyNumberFormat="1" applyFont="1" applyFill="1" applyAlignment="1">
      <alignment horizontal="center" vertical="center" shrinkToFit="1"/>
    </xf>
    <xf numFmtId="178" fontId="14" fillId="2" borderId="0" xfId="0" applyNumberFormat="1" applyFont="1" applyFill="1" applyAlignment="1">
      <alignment horizontal="center" vertical="center" shrinkToFit="1"/>
    </xf>
    <xf numFmtId="2" fontId="14" fillId="0" borderId="0" xfId="51" applyNumberFormat="1" applyFont="1" applyBorder="1" applyAlignment="1">
      <alignment horizontal="center" vertical="center"/>
    </xf>
    <xf numFmtId="2" fontId="14" fillId="2" borderId="0" xfId="51" applyNumberFormat="1" applyFont="1" applyFill="1" applyBorder="1" applyAlignment="1">
      <alignment horizontal="center" vertical="center"/>
    </xf>
    <xf numFmtId="179" fontId="12" fillId="0" borderId="0" xfId="51" applyNumberFormat="1" applyFont="1" applyBorder="1" applyAlignment="1">
      <alignment horizontal="center" vertical="center"/>
    </xf>
    <xf numFmtId="2" fontId="14" fillId="0" borderId="0" xfId="51" applyNumberFormat="1" applyFont="1" applyBorder="1" applyAlignment="1">
      <alignment horizontal="center" vertical="center" wrapText="1"/>
    </xf>
    <xf numFmtId="177" fontId="14" fillId="2" borderId="0" xfId="0" applyNumberFormat="1" applyFont="1" applyFill="1" applyAlignment="1">
      <alignment horizontal="center" vertical="center" shrinkToFit="1"/>
    </xf>
    <xf numFmtId="2" fontId="14" fillId="2" borderId="0" xfId="51" applyNumberFormat="1" applyFont="1" applyFill="1" applyBorder="1" applyAlignment="1">
      <alignment horizontal="center" vertical="center" wrapText="1"/>
    </xf>
    <xf numFmtId="178" fontId="5" fillId="0" borderId="0" xfId="51" applyNumberFormat="1" applyFont="1" applyFill="1" applyAlignment="1">
      <alignment horizontal="center" vertical="center"/>
    </xf>
    <xf numFmtId="177" fontId="5" fillId="0" borderId="0" xfId="51" applyNumberFormat="1" applyFont="1" applyFill="1" applyAlignment="1">
      <alignment horizontal="center" vertical="center"/>
    </xf>
    <xf numFmtId="178" fontId="5" fillId="2" borderId="0" xfId="51" applyNumberFormat="1" applyFont="1" applyFill="1" applyAlignment="1">
      <alignment horizontal="center" vertical="center"/>
    </xf>
    <xf numFmtId="177" fontId="5" fillId="2" borderId="0" xfId="51" applyNumberFormat="1" applyFont="1" applyFill="1" applyAlignment="1">
      <alignment horizontal="center" vertical="center"/>
    </xf>
    <xf numFmtId="176" fontId="5" fillId="0" borderId="0" xfId="51" applyFont="1" applyFill="1" applyAlignment="1">
      <alignment horizontal="center" vertical="center"/>
    </xf>
    <xf numFmtId="2" fontId="5" fillId="0" borderId="0" xfId="51" applyNumberFormat="1" applyFont="1" applyFill="1" applyAlignment="1">
      <alignment horizontal="center" vertical="center"/>
    </xf>
    <xf numFmtId="2" fontId="5" fillId="2" borderId="0" xfId="51" applyNumberFormat="1" applyFont="1" applyFill="1" applyAlignment="1">
      <alignment horizontal="center" vertical="center"/>
    </xf>
    <xf numFmtId="2" fontId="5" fillId="0" borderId="0" xfId="51" applyNumberFormat="1" applyFont="1" applyFill="1" applyBorder="1" applyAlignment="1">
      <alignment horizontal="center" vertical="center"/>
    </xf>
    <xf numFmtId="176" fontId="16" fillId="0" borderId="0" xfId="51" applyFont="1" applyFill="1" applyAlignment="1">
      <alignment horizontal="center" vertical="center"/>
    </xf>
    <xf numFmtId="176" fontId="16" fillId="2" borderId="0" xfId="51" applyFont="1" applyFill="1" applyAlignment="1">
      <alignment horizontal="center" vertical="center"/>
    </xf>
    <xf numFmtId="176" fontId="5" fillId="2" borderId="0" xfId="51" applyFont="1" applyFill="1" applyBorder="1" applyAlignment="1">
      <alignment horizontal="center" vertical="center"/>
    </xf>
    <xf numFmtId="176" fontId="5" fillId="2" borderId="0" xfId="0" applyFont="1" applyFill="1" applyAlignment="1">
      <alignment shrinkToFit="1"/>
    </xf>
    <xf numFmtId="176" fontId="5" fillId="2" borderId="0" xfId="0" applyFont="1" applyFill="1" applyAlignment="1"/>
    <xf numFmtId="178" fontId="5" fillId="2" borderId="0" xfId="51" applyNumberFormat="1" applyFont="1" applyFill="1" applyBorder="1" applyAlignment="1">
      <alignment horizontal="center" vertical="center"/>
    </xf>
    <xf numFmtId="177" fontId="5" fillId="2" borderId="0" xfId="51" applyNumberFormat="1" applyFont="1" applyFill="1" applyBorder="1" applyAlignment="1">
      <alignment horizontal="center" vertical="center"/>
    </xf>
    <xf numFmtId="2" fontId="5" fillId="2" borderId="0" xfId="51" applyNumberFormat="1" applyFont="1" applyFill="1" applyBorder="1" applyAlignment="1">
      <alignment horizontal="center" vertical="center"/>
    </xf>
    <xf numFmtId="176" fontId="21" fillId="0" borderId="0" xfId="52" applyFont="1" applyAlignment="1">
      <alignment horizontal="center" vertical="center"/>
    </xf>
    <xf numFmtId="176" fontId="10" fillId="0" borderId="25" xfId="52" applyFont="1" applyBorder="1" applyAlignment="1">
      <alignment horizontal="center" vertical="center"/>
    </xf>
    <xf numFmtId="0" fontId="10" fillId="4" borderId="25" xfId="52" applyNumberFormat="1" applyFont="1" applyFill="1" applyBorder="1" applyAlignment="1">
      <alignment horizontal="center" vertical="center"/>
    </xf>
    <xf numFmtId="176" fontId="10" fillId="0" borderId="25" xfId="52" applyFont="1" applyFill="1" applyBorder="1" applyAlignment="1">
      <alignment horizontal="center" vertical="center"/>
    </xf>
    <xf numFmtId="0" fontId="10" fillId="0" borderId="25" xfId="52" applyNumberFormat="1" applyFont="1" applyFill="1" applyBorder="1" applyAlignment="1">
      <alignment horizontal="center" vertical="center"/>
    </xf>
    <xf numFmtId="176" fontId="21" fillId="0" borderId="25" xfId="52" applyFont="1" applyBorder="1" applyAlignment="1">
      <alignment horizontal="center" vertical="center"/>
    </xf>
    <xf numFmtId="0" fontId="10" fillId="5" borderId="25" xfId="52" applyNumberFormat="1" applyFont="1" applyFill="1" applyBorder="1" applyAlignment="1">
      <alignment horizontal="center" vertical="center"/>
    </xf>
    <xf numFmtId="0" fontId="10" fillId="0" borderId="25" xfId="52" applyNumberFormat="1" applyFont="1" applyBorder="1" applyAlignment="1">
      <alignment horizontal="center" vertical="center"/>
    </xf>
    <xf numFmtId="176" fontId="10" fillId="4" borderId="25" xfId="52" applyFont="1" applyFill="1" applyBorder="1" applyAlignment="1">
      <alignment horizontal="center" vertical="center"/>
    </xf>
    <xf numFmtId="176" fontId="10" fillId="0" borderId="0" xfId="52" applyFont="1" applyAlignment="1">
      <alignment horizontal="center" vertical="center"/>
    </xf>
    <xf numFmtId="0" fontId="21" fillId="4" borderId="25" xfId="52" applyNumberFormat="1" applyFont="1" applyFill="1" applyBorder="1" applyAlignment="1">
      <alignment horizontal="center" vertical="center" wrapText="1"/>
    </xf>
    <xf numFmtId="0" fontId="21" fillId="0" borderId="25" xfId="52" applyNumberFormat="1" applyFont="1" applyBorder="1" applyAlignment="1">
      <alignment horizontal="center" vertical="center"/>
    </xf>
    <xf numFmtId="0" fontId="21" fillId="5" borderId="25" xfId="52" applyNumberFormat="1" applyFont="1" applyFill="1" applyBorder="1" applyAlignment="1">
      <alignment horizontal="center" vertical="center" wrapText="1"/>
    </xf>
    <xf numFmtId="0" fontId="22" fillId="6" borderId="9" xfId="0" applyNumberFormat="1" applyFont="1" applyFill="1" applyBorder="1" applyAlignment="1">
      <alignment horizontal="center" vertical="center" wrapText="1"/>
    </xf>
    <xf numFmtId="0" fontId="10" fillId="4" borderId="25" xfId="52" applyNumberFormat="1" applyFont="1" applyFill="1" applyBorder="1" applyAlignment="1" applyProtection="1">
      <alignment horizontal="center" vertical="center"/>
    </xf>
    <xf numFmtId="176" fontId="23" fillId="0" borderId="25" xfId="52" applyFont="1" applyFill="1" applyBorder="1" applyAlignment="1" applyProtection="1">
      <alignment horizontal="center" vertical="center"/>
    </xf>
    <xf numFmtId="0" fontId="10" fillId="0" borderId="25" xfId="52" applyNumberFormat="1" applyFont="1" applyFill="1" applyBorder="1" applyAlignment="1" applyProtection="1">
      <alignment horizontal="center" vertical="center"/>
    </xf>
    <xf numFmtId="0" fontId="22" fillId="5" borderId="9" xfId="0" applyNumberFormat="1" applyFont="1" applyFill="1" applyBorder="1" applyAlignment="1">
      <alignment horizontal="center" vertical="center" wrapText="1"/>
    </xf>
    <xf numFmtId="176" fontId="23" fillId="0" borderId="25" xfId="52" applyFont="1" applyFill="1" applyBorder="1" applyAlignment="1" applyProtection="1">
      <alignment horizontal="center" vertical="center" wrapText="1"/>
    </xf>
    <xf numFmtId="176" fontId="16" fillId="0" borderId="25" xfId="0" applyFont="1" applyFill="1" applyBorder="1" applyAlignment="1">
      <alignment horizontal="center" vertical="center" wrapText="1"/>
    </xf>
    <xf numFmtId="176" fontId="21" fillId="4" borderId="25" xfId="52" applyFont="1" applyFill="1" applyBorder="1" applyAlignment="1">
      <alignment horizontal="center" vertical="center"/>
    </xf>
    <xf numFmtId="176" fontId="24" fillId="0" borderId="25" xfId="52" applyFont="1" applyFill="1" applyBorder="1" applyAlignment="1" applyProtection="1">
      <alignment horizontal="center" vertical="center"/>
    </xf>
    <xf numFmtId="176" fontId="10" fillId="4" borderId="25" xfId="52" applyFont="1" applyFill="1" applyBorder="1" applyAlignment="1" applyProtection="1">
      <alignment horizontal="center" vertical="center"/>
    </xf>
    <xf numFmtId="176" fontId="10" fillId="0" borderId="25" xfId="52" applyFont="1" applyFill="1" applyBorder="1" applyAlignment="1" applyProtection="1">
      <alignment horizontal="center" vertical="center"/>
    </xf>
    <xf numFmtId="176" fontId="25" fillId="0" borderId="25" xfId="52" applyFont="1" applyFill="1" applyBorder="1" applyAlignment="1" applyProtection="1">
      <alignment horizontal="center" vertical="center"/>
    </xf>
    <xf numFmtId="0" fontId="26" fillId="5" borderId="26" xfId="0" applyNumberFormat="1" applyFont="1" applyFill="1" applyBorder="1" applyAlignment="1" applyProtection="1">
      <alignment horizontal="center" vertical="center"/>
    </xf>
    <xf numFmtId="176" fontId="16" fillId="0" borderId="25" xfId="0" applyNumberFormat="1" applyFont="1" applyFill="1" applyBorder="1" applyAlignment="1">
      <alignment horizontal="center" vertical="center"/>
    </xf>
    <xf numFmtId="180" fontId="16" fillId="0" borderId="25" xfId="0" applyNumberFormat="1" applyFont="1" applyFill="1" applyBorder="1" applyAlignment="1">
      <alignment horizontal="center" vertical="center" wrapText="1"/>
    </xf>
    <xf numFmtId="176" fontId="0" fillId="0" borderId="25" xfId="52" applyBorder="1">
      <alignment vertical="center"/>
    </xf>
    <xf numFmtId="0" fontId="26" fillId="7" borderId="26" xfId="0" applyNumberFormat="1" applyFont="1" applyFill="1" applyBorder="1" applyAlignment="1" applyProtection="1">
      <alignment horizontal="center" vertical="center"/>
      <protection locked="0"/>
    </xf>
    <xf numFmtId="176" fontId="21" fillId="0" borderId="27" xfId="52" applyFont="1" applyBorder="1" applyAlignment="1">
      <alignment horizontal="center" vertical="center"/>
    </xf>
    <xf numFmtId="0" fontId="26" fillId="7" borderId="28" xfId="0" applyNumberFormat="1" applyFont="1" applyFill="1" applyBorder="1" applyAlignment="1" applyProtection="1">
      <alignment horizontal="center" vertical="center"/>
      <protection locked="0"/>
    </xf>
    <xf numFmtId="176" fontId="21" fillId="0" borderId="29" xfId="52" applyFont="1" applyBorder="1" applyAlignment="1">
      <alignment horizontal="center" vertical="center"/>
    </xf>
    <xf numFmtId="0" fontId="10" fillId="7" borderId="28" xfId="0" applyNumberFormat="1" applyFont="1" applyFill="1" applyBorder="1" applyAlignment="1" applyProtection="1">
      <alignment horizontal="center" vertical="center"/>
      <protection locked="0"/>
    </xf>
    <xf numFmtId="176" fontId="21" fillId="0" borderId="0" xfId="0" applyFont="1" applyFill="1" applyAlignment="1"/>
    <xf numFmtId="176" fontId="21" fillId="0" borderId="0" xfId="0" applyFont="1" applyFill="1" applyAlignment="1">
      <alignment horizontal="center"/>
    </xf>
    <xf numFmtId="176" fontId="14" fillId="0" borderId="0" xfId="0" applyFont="1" applyFill="1" applyAlignment="1">
      <alignment horizontal="center"/>
    </xf>
    <xf numFmtId="176" fontId="14" fillId="0" borderId="0" xfId="0" applyFont="1" applyFill="1" applyAlignment="1"/>
    <xf numFmtId="176" fontId="27" fillId="0" borderId="0" xfId="0" applyFont="1">
      <alignment vertical="center"/>
    </xf>
    <xf numFmtId="176" fontId="28" fillId="8" borderId="9" xfId="0" applyNumberFormat="1" applyFont="1" applyFill="1" applyBorder="1" applyAlignment="1">
      <alignment horizontal="center" vertical="center"/>
    </xf>
    <xf numFmtId="176" fontId="28" fillId="0" borderId="9" xfId="0" applyNumberFormat="1" applyFont="1" applyFill="1" applyBorder="1" applyAlignment="1">
      <alignment horizontal="center" vertical="center"/>
    </xf>
    <xf numFmtId="176" fontId="29" fillId="0" borderId="9" xfId="0" applyNumberFormat="1" applyFont="1" applyFill="1" applyBorder="1" applyAlignment="1">
      <alignment horizontal="center" vertical="center"/>
    </xf>
    <xf numFmtId="176" fontId="30" fillId="0" borderId="9" xfId="0" applyNumberFormat="1" applyFont="1" applyFill="1" applyBorder="1" applyAlignment="1">
      <alignment horizontal="center" vertical="center"/>
    </xf>
    <xf numFmtId="176" fontId="12" fillId="0" borderId="9" xfId="0" applyNumberFormat="1" applyFont="1" applyFill="1" applyBorder="1" applyAlignment="1">
      <alignment horizontal="center" vertical="center"/>
    </xf>
    <xf numFmtId="14" fontId="16" fillId="6" borderId="9" xfId="0" applyNumberFormat="1" applyFont="1" applyFill="1" applyBorder="1" applyAlignment="1">
      <alignment horizontal="center" vertical="center" wrapText="1"/>
    </xf>
    <xf numFmtId="176" fontId="26" fillId="0" borderId="9" xfId="0" applyFont="1" applyFill="1" applyBorder="1" applyAlignment="1">
      <alignment vertical="center"/>
    </xf>
    <xf numFmtId="0" fontId="22" fillId="9" borderId="9" xfId="0" applyNumberFormat="1" applyFont="1" applyFill="1" applyBorder="1" applyAlignment="1">
      <alignment horizontal="center" vertical="center" wrapText="1"/>
    </xf>
    <xf numFmtId="0" fontId="22" fillId="0" borderId="9" xfId="0" applyNumberFormat="1" applyFont="1" applyFill="1" applyBorder="1" applyAlignment="1">
      <alignment horizontal="center" vertical="center" wrapText="1"/>
    </xf>
    <xf numFmtId="0" fontId="31" fillId="0" borderId="30" xfId="0" applyNumberFormat="1" applyFont="1" applyFill="1" applyBorder="1" applyAlignment="1" applyProtection="1">
      <alignment horizontal="center" vertical="center"/>
    </xf>
    <xf numFmtId="0" fontId="32" fillId="10" borderId="9" xfId="0" applyNumberFormat="1" applyFont="1" applyFill="1" applyBorder="1" applyAlignment="1">
      <alignment horizontal="center" vertical="center" wrapText="1"/>
    </xf>
    <xf numFmtId="0" fontId="32" fillId="11" borderId="9" xfId="0" applyNumberFormat="1" applyFont="1" applyFill="1" applyBorder="1" applyAlignment="1">
      <alignment horizontal="center" vertical="center" wrapText="1"/>
    </xf>
    <xf numFmtId="0" fontId="16" fillId="0" borderId="30" xfId="0" applyNumberFormat="1" applyFont="1" applyFill="1" applyBorder="1" applyAlignment="1" applyProtection="1">
      <alignment horizontal="center" vertical="center"/>
    </xf>
    <xf numFmtId="0" fontId="31" fillId="0" borderId="31" xfId="0" applyNumberFormat="1" applyFont="1" applyFill="1" applyBorder="1" applyAlignment="1" applyProtection="1">
      <alignment horizontal="center" vertical="center"/>
    </xf>
    <xf numFmtId="0" fontId="32" fillId="12" borderId="9" xfId="0" applyNumberFormat="1" applyFont="1" applyFill="1" applyBorder="1" applyAlignment="1">
      <alignment horizontal="center" vertical="center" wrapText="1"/>
    </xf>
    <xf numFmtId="176" fontId="26" fillId="0" borderId="0" xfId="0" applyFont="1" applyFill="1" applyAlignment="1">
      <alignment horizontal="center" vertical="center"/>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3" xfId="50"/>
    <cellStyle name="常规 4" xfId="51"/>
    <cellStyle name="常规 5" xfId="52"/>
    <cellStyle name="常规 6" xfId="53"/>
    <cellStyle name="常规 2 2" xfId="5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eetMetadata" Target="metadata.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J3486"/>
  <sheetViews>
    <sheetView workbookViewId="0">
      <pane ySplit="1" topLeftCell="A3395" activePane="bottomLeft" state="frozen"/>
      <selection/>
      <selection pane="bottomLeft" activeCell="M2558" sqref="M2558"/>
    </sheetView>
  </sheetViews>
  <sheetFormatPr defaultColWidth="9" defaultRowHeight="20.1" customHeight="1"/>
  <cols>
    <col min="1" max="1" width="9" style="161"/>
    <col min="2" max="2" width="15.5454545454545" style="161" customWidth="1"/>
    <col min="3" max="3" width="10.3363636363636" style="162" customWidth="1"/>
    <col min="4" max="4" width="7.44545454545455" style="161" customWidth="1"/>
    <col min="5" max="5" width="7.33636363636364" style="161" customWidth="1"/>
    <col min="6" max="6" width="8.10909090909091" style="161" customWidth="1"/>
    <col min="7" max="7" width="8.10909090909091" style="163" customWidth="1"/>
    <col min="8" max="8" width="8.10909090909091" style="164" customWidth="1"/>
    <col min="9" max="9" width="8.10909090909091" style="163" customWidth="1"/>
    <col min="10" max="10" width="14.8909090909091" style="162" customWidth="1"/>
    <col min="11" max="16384" width="9" style="165"/>
  </cols>
  <sheetData>
    <row r="1" ht="33" customHeight="1" spans="1:10">
      <c r="A1" s="166" t="s">
        <v>0</v>
      </c>
      <c r="B1" s="166"/>
      <c r="C1" s="166"/>
      <c r="D1" s="166"/>
      <c r="E1" s="166"/>
      <c r="F1" s="167"/>
      <c r="G1" s="168"/>
      <c r="H1" s="168"/>
      <c r="I1" s="168"/>
      <c r="J1" s="167"/>
    </row>
    <row r="2" customHeight="1" spans="1:10">
      <c r="A2" s="169" t="s">
        <v>1</v>
      </c>
      <c r="B2" s="169" t="s">
        <v>2</v>
      </c>
      <c r="C2" s="169" t="s">
        <v>3</v>
      </c>
      <c r="D2" s="169" t="s">
        <v>4</v>
      </c>
      <c r="E2" s="169" t="s">
        <v>5</v>
      </c>
      <c r="F2" s="169" t="s">
        <v>6</v>
      </c>
      <c r="G2" s="170" t="s">
        <v>7</v>
      </c>
      <c r="H2" s="170" t="s">
        <v>8</v>
      </c>
      <c r="I2" s="170" t="s">
        <v>7</v>
      </c>
      <c r="J2" s="169" t="s">
        <v>9</v>
      </c>
    </row>
    <row r="3" hidden="1" customHeight="1" spans="1:10">
      <c r="A3" s="140" t="s">
        <v>10</v>
      </c>
      <c r="B3" s="140" t="s">
        <v>11</v>
      </c>
      <c r="C3" s="171">
        <v>45689</v>
      </c>
      <c r="D3" s="172" t="s">
        <v>12</v>
      </c>
      <c r="E3" s="173" t="s">
        <v>13</v>
      </c>
      <c r="F3" s="140" t="s">
        <v>14</v>
      </c>
      <c r="G3" s="140" t="s">
        <v>14</v>
      </c>
      <c r="H3" s="140" t="s">
        <v>14</v>
      </c>
      <c r="I3" s="140" t="s">
        <v>14</v>
      </c>
      <c r="J3" s="140"/>
    </row>
    <row r="4" hidden="1" customHeight="1" spans="1:10">
      <c r="A4" s="140" t="s">
        <v>10</v>
      </c>
      <c r="B4" s="140" t="s">
        <v>11</v>
      </c>
      <c r="C4" s="171">
        <v>45690</v>
      </c>
      <c r="D4" s="172" t="s">
        <v>15</v>
      </c>
      <c r="E4" s="173" t="s">
        <v>13</v>
      </c>
      <c r="F4" s="140" t="s">
        <v>14</v>
      </c>
      <c r="G4" s="140" t="s">
        <v>14</v>
      </c>
      <c r="H4" s="140" t="s">
        <v>14</v>
      </c>
      <c r="I4" s="140" t="s">
        <v>14</v>
      </c>
      <c r="J4" s="174"/>
    </row>
    <row r="5" hidden="1" customHeight="1" spans="1:10">
      <c r="A5" s="140" t="s">
        <v>10</v>
      </c>
      <c r="B5" s="140" t="s">
        <v>11</v>
      </c>
      <c r="C5" s="171">
        <v>45691</v>
      </c>
      <c r="D5" s="172" t="s">
        <v>16</v>
      </c>
      <c r="E5" s="173" t="s">
        <v>13</v>
      </c>
      <c r="F5" s="140" t="s">
        <v>14</v>
      </c>
      <c r="G5" s="140" t="s">
        <v>14</v>
      </c>
      <c r="H5" s="140" t="s">
        <v>14</v>
      </c>
      <c r="I5" s="140" t="s">
        <v>14</v>
      </c>
      <c r="J5" s="174"/>
    </row>
    <row r="6" hidden="1" customHeight="1" spans="1:10">
      <c r="A6" s="140" t="s">
        <v>10</v>
      </c>
      <c r="B6" s="140" t="s">
        <v>11</v>
      </c>
      <c r="C6" s="171">
        <v>45692</v>
      </c>
      <c r="D6" s="172" t="s">
        <v>17</v>
      </c>
      <c r="E6" s="173" t="s">
        <v>13</v>
      </c>
      <c r="F6" s="140" t="s">
        <v>14</v>
      </c>
      <c r="G6" s="140" t="s">
        <v>14</v>
      </c>
      <c r="H6" s="140" t="s">
        <v>14</v>
      </c>
      <c r="I6" s="140" t="s">
        <v>14</v>
      </c>
      <c r="J6" s="174"/>
    </row>
    <row r="7" hidden="1" customHeight="1" spans="1:10">
      <c r="A7" s="140" t="s">
        <v>10</v>
      </c>
      <c r="B7" s="140" t="s">
        <v>11</v>
      </c>
      <c r="C7" s="171">
        <v>45693</v>
      </c>
      <c r="D7" s="172" t="s">
        <v>18</v>
      </c>
      <c r="E7" s="140" t="s">
        <v>19</v>
      </c>
      <c r="F7" s="140" t="s">
        <v>20</v>
      </c>
      <c r="G7" s="140" t="s">
        <v>21</v>
      </c>
      <c r="H7" s="140" t="s">
        <v>22</v>
      </c>
      <c r="I7" s="140" t="s">
        <v>21</v>
      </c>
      <c r="J7" s="174"/>
    </row>
    <row r="8" hidden="1" customHeight="1" spans="1:10">
      <c r="A8" s="140" t="s">
        <v>10</v>
      </c>
      <c r="B8" s="140" t="s">
        <v>11</v>
      </c>
      <c r="C8" s="171">
        <v>45694</v>
      </c>
      <c r="D8" s="172" t="s">
        <v>23</v>
      </c>
      <c r="E8" s="140" t="s">
        <v>19</v>
      </c>
      <c r="F8" s="140" t="s">
        <v>20</v>
      </c>
      <c r="G8" s="140" t="s">
        <v>21</v>
      </c>
      <c r="H8" s="140" t="s">
        <v>24</v>
      </c>
      <c r="I8" s="140" t="s">
        <v>21</v>
      </c>
      <c r="J8" s="174"/>
    </row>
    <row r="9" hidden="1" customHeight="1" spans="1:10">
      <c r="A9" s="140" t="s">
        <v>10</v>
      </c>
      <c r="B9" s="140" t="s">
        <v>11</v>
      </c>
      <c r="C9" s="171">
        <v>45695</v>
      </c>
      <c r="D9" s="172" t="s">
        <v>25</v>
      </c>
      <c r="E9" s="140" t="s">
        <v>19</v>
      </c>
      <c r="F9" s="140" t="s">
        <v>20</v>
      </c>
      <c r="G9" s="140" t="s">
        <v>21</v>
      </c>
      <c r="H9" s="140" t="s">
        <v>26</v>
      </c>
      <c r="I9" s="140" t="s">
        <v>21</v>
      </c>
      <c r="J9" s="174"/>
    </row>
    <row r="10" hidden="1" customHeight="1" spans="1:10">
      <c r="A10" s="140" t="s">
        <v>10</v>
      </c>
      <c r="B10" s="140" t="s">
        <v>11</v>
      </c>
      <c r="C10" s="171">
        <v>45696</v>
      </c>
      <c r="D10" s="172" t="s">
        <v>27</v>
      </c>
      <c r="E10" s="140" t="s">
        <v>19</v>
      </c>
      <c r="F10" s="140" t="s">
        <v>28</v>
      </c>
      <c r="G10" s="140" t="s">
        <v>21</v>
      </c>
      <c r="H10" s="140" t="s">
        <v>29</v>
      </c>
      <c r="I10" s="140" t="s">
        <v>21</v>
      </c>
      <c r="J10" s="174"/>
    </row>
    <row r="11" hidden="1" customHeight="1" spans="1:10">
      <c r="A11" s="140" t="s">
        <v>10</v>
      </c>
      <c r="B11" s="140" t="s">
        <v>11</v>
      </c>
      <c r="C11" s="171">
        <v>45697</v>
      </c>
      <c r="D11" s="172" t="s">
        <v>15</v>
      </c>
      <c r="E11" s="173" t="s">
        <v>13</v>
      </c>
      <c r="F11" s="140" t="s">
        <v>14</v>
      </c>
      <c r="G11" s="140" t="s">
        <v>14</v>
      </c>
      <c r="H11" s="140" t="s">
        <v>14</v>
      </c>
      <c r="I11" s="140" t="s">
        <v>14</v>
      </c>
      <c r="J11" s="174"/>
    </row>
    <row r="12" hidden="1" customHeight="1" spans="1:10">
      <c r="A12" s="140" t="s">
        <v>10</v>
      </c>
      <c r="B12" s="140" t="s">
        <v>11</v>
      </c>
      <c r="C12" s="171">
        <v>45698</v>
      </c>
      <c r="D12" s="172" t="s">
        <v>16</v>
      </c>
      <c r="E12" s="140" t="s">
        <v>19</v>
      </c>
      <c r="F12" s="140" t="s">
        <v>30</v>
      </c>
      <c r="G12" s="140" t="s">
        <v>21</v>
      </c>
      <c r="H12" s="140" t="s">
        <v>31</v>
      </c>
      <c r="I12" s="140" t="s">
        <v>21</v>
      </c>
      <c r="J12" s="174"/>
    </row>
    <row r="13" hidden="1" customHeight="1" spans="1:10">
      <c r="A13" s="140" t="s">
        <v>10</v>
      </c>
      <c r="B13" s="140" t="s">
        <v>11</v>
      </c>
      <c r="C13" s="171">
        <v>45699</v>
      </c>
      <c r="D13" s="172" t="s">
        <v>17</v>
      </c>
      <c r="E13" s="140" t="s">
        <v>19</v>
      </c>
      <c r="F13" s="140" t="s">
        <v>30</v>
      </c>
      <c r="G13" s="140" t="s">
        <v>21</v>
      </c>
      <c r="H13" s="140" t="s">
        <v>32</v>
      </c>
      <c r="I13" s="140" t="s">
        <v>21</v>
      </c>
      <c r="J13" s="174"/>
    </row>
    <row r="14" hidden="1" customHeight="1" spans="1:10">
      <c r="A14" s="140" t="s">
        <v>10</v>
      </c>
      <c r="B14" s="140" t="s">
        <v>11</v>
      </c>
      <c r="C14" s="171">
        <v>45700</v>
      </c>
      <c r="D14" s="172" t="s">
        <v>18</v>
      </c>
      <c r="E14" s="140" t="s">
        <v>19</v>
      </c>
      <c r="F14" s="140" t="s">
        <v>33</v>
      </c>
      <c r="G14" s="140" t="s">
        <v>21</v>
      </c>
      <c r="H14" s="140" t="s">
        <v>34</v>
      </c>
      <c r="I14" s="140" t="s">
        <v>21</v>
      </c>
      <c r="J14" s="174"/>
    </row>
    <row r="15" hidden="1" customHeight="1" spans="1:10">
      <c r="A15" s="140" t="s">
        <v>10</v>
      </c>
      <c r="B15" s="140" t="s">
        <v>11</v>
      </c>
      <c r="C15" s="171">
        <v>45701</v>
      </c>
      <c r="D15" s="172" t="s">
        <v>23</v>
      </c>
      <c r="E15" s="140" t="s">
        <v>19</v>
      </c>
      <c r="F15" s="140" t="s">
        <v>33</v>
      </c>
      <c r="G15" s="140" t="s">
        <v>21</v>
      </c>
      <c r="H15" s="140" t="s">
        <v>35</v>
      </c>
      <c r="I15" s="140" t="s">
        <v>21</v>
      </c>
      <c r="J15" s="175"/>
    </row>
    <row r="16" hidden="1" customHeight="1" spans="1:10">
      <c r="A16" s="140" t="s">
        <v>10</v>
      </c>
      <c r="B16" s="140" t="s">
        <v>11</v>
      </c>
      <c r="C16" s="171">
        <v>45702</v>
      </c>
      <c r="D16" s="172" t="s">
        <v>25</v>
      </c>
      <c r="E16" s="140" t="s">
        <v>19</v>
      </c>
      <c r="F16" s="140" t="s">
        <v>36</v>
      </c>
      <c r="G16" s="140" t="s">
        <v>21</v>
      </c>
      <c r="H16" s="140" t="s">
        <v>37</v>
      </c>
      <c r="I16" s="140" t="s">
        <v>21</v>
      </c>
      <c r="J16" s="175"/>
    </row>
    <row r="17" hidden="1" customHeight="1" spans="1:10">
      <c r="A17" s="140" t="s">
        <v>10</v>
      </c>
      <c r="B17" s="140" t="s">
        <v>11</v>
      </c>
      <c r="C17" s="171">
        <v>45703</v>
      </c>
      <c r="D17" s="172" t="s">
        <v>27</v>
      </c>
      <c r="E17" s="173" t="s">
        <v>13</v>
      </c>
      <c r="F17" s="140" t="s">
        <v>38</v>
      </c>
      <c r="G17" s="140" t="s">
        <v>21</v>
      </c>
      <c r="H17" s="140" t="s">
        <v>39</v>
      </c>
      <c r="I17" s="140" t="s">
        <v>21</v>
      </c>
      <c r="J17" s="174"/>
    </row>
    <row r="18" hidden="1" customHeight="1" spans="1:10">
      <c r="A18" s="140" t="s">
        <v>10</v>
      </c>
      <c r="B18" s="140" t="s">
        <v>11</v>
      </c>
      <c r="C18" s="171">
        <v>45704</v>
      </c>
      <c r="D18" s="172" t="s">
        <v>15</v>
      </c>
      <c r="E18" s="173" t="s">
        <v>13</v>
      </c>
      <c r="F18" s="140" t="s">
        <v>14</v>
      </c>
      <c r="G18" s="140" t="s">
        <v>14</v>
      </c>
      <c r="H18" s="140" t="s">
        <v>14</v>
      </c>
      <c r="I18" s="140" t="s">
        <v>14</v>
      </c>
      <c r="J18" s="175"/>
    </row>
    <row r="19" hidden="1" customHeight="1" spans="1:10">
      <c r="A19" s="140" t="s">
        <v>10</v>
      </c>
      <c r="B19" s="140" t="s">
        <v>11</v>
      </c>
      <c r="C19" s="171">
        <v>45705</v>
      </c>
      <c r="D19" s="172" t="s">
        <v>16</v>
      </c>
      <c r="E19" s="140" t="s">
        <v>19</v>
      </c>
      <c r="F19" s="140" t="s">
        <v>40</v>
      </c>
      <c r="G19" s="140" t="s">
        <v>21</v>
      </c>
      <c r="H19" s="140" t="s">
        <v>41</v>
      </c>
      <c r="I19" s="140" t="s">
        <v>21</v>
      </c>
      <c r="J19" s="175"/>
    </row>
    <row r="20" hidden="1" customHeight="1" spans="1:10">
      <c r="A20" s="140" t="s">
        <v>10</v>
      </c>
      <c r="B20" s="140" t="s">
        <v>11</v>
      </c>
      <c r="C20" s="171">
        <v>45706</v>
      </c>
      <c r="D20" s="172" t="s">
        <v>17</v>
      </c>
      <c r="E20" s="140" t="s">
        <v>19</v>
      </c>
      <c r="F20" s="140" t="s">
        <v>36</v>
      </c>
      <c r="G20" s="140" t="s">
        <v>21</v>
      </c>
      <c r="H20" s="140" t="s">
        <v>42</v>
      </c>
      <c r="I20" s="140" t="s">
        <v>21</v>
      </c>
      <c r="J20" s="174"/>
    </row>
    <row r="21" hidden="1" customHeight="1" spans="1:10">
      <c r="A21" s="140" t="s">
        <v>10</v>
      </c>
      <c r="B21" s="140" t="s">
        <v>11</v>
      </c>
      <c r="C21" s="171">
        <v>45707</v>
      </c>
      <c r="D21" s="172" t="s">
        <v>18</v>
      </c>
      <c r="E21" s="140" t="s">
        <v>19</v>
      </c>
      <c r="F21" s="140" t="s">
        <v>43</v>
      </c>
      <c r="G21" s="140" t="s">
        <v>21</v>
      </c>
      <c r="H21" s="140" t="s">
        <v>44</v>
      </c>
      <c r="I21" s="140" t="s">
        <v>21</v>
      </c>
      <c r="J21" s="174"/>
    </row>
    <row r="22" hidden="1" customHeight="1" spans="1:10">
      <c r="A22" s="140" t="s">
        <v>10</v>
      </c>
      <c r="B22" s="140" t="s">
        <v>11</v>
      </c>
      <c r="C22" s="171">
        <v>45708</v>
      </c>
      <c r="D22" s="172" t="s">
        <v>23</v>
      </c>
      <c r="E22" s="140" t="s">
        <v>19</v>
      </c>
      <c r="F22" s="140" t="s">
        <v>33</v>
      </c>
      <c r="G22" s="140" t="s">
        <v>21</v>
      </c>
      <c r="H22" s="140" t="s">
        <v>45</v>
      </c>
      <c r="I22" s="140" t="s">
        <v>21</v>
      </c>
      <c r="J22" s="174"/>
    </row>
    <row r="23" hidden="1" customHeight="1" spans="1:10">
      <c r="A23" s="140" t="s">
        <v>10</v>
      </c>
      <c r="B23" s="140" t="s">
        <v>11</v>
      </c>
      <c r="C23" s="171">
        <v>45709</v>
      </c>
      <c r="D23" s="172" t="s">
        <v>25</v>
      </c>
      <c r="E23" s="140" t="s">
        <v>19</v>
      </c>
      <c r="F23" s="140" t="s">
        <v>46</v>
      </c>
      <c r="G23" s="140" t="s">
        <v>21</v>
      </c>
      <c r="H23" s="140" t="s">
        <v>44</v>
      </c>
      <c r="I23" s="140" t="s">
        <v>21</v>
      </c>
      <c r="J23" s="174"/>
    </row>
    <row r="24" hidden="1" customHeight="1" spans="1:10">
      <c r="A24" s="140" t="s">
        <v>10</v>
      </c>
      <c r="B24" s="140" t="s">
        <v>11</v>
      </c>
      <c r="C24" s="171">
        <v>45710</v>
      </c>
      <c r="D24" s="172" t="s">
        <v>27</v>
      </c>
      <c r="E24" s="173" t="s">
        <v>13</v>
      </c>
      <c r="F24" s="140" t="s">
        <v>47</v>
      </c>
      <c r="G24" s="140" t="s">
        <v>21</v>
      </c>
      <c r="H24" s="140" t="s">
        <v>48</v>
      </c>
      <c r="I24" s="140" t="s">
        <v>21</v>
      </c>
      <c r="J24" s="174"/>
    </row>
    <row r="25" hidden="1" customHeight="1" spans="1:10">
      <c r="A25" s="140" t="s">
        <v>10</v>
      </c>
      <c r="B25" s="140" t="s">
        <v>11</v>
      </c>
      <c r="C25" s="171">
        <v>45711</v>
      </c>
      <c r="D25" s="172" t="s">
        <v>15</v>
      </c>
      <c r="E25" s="173" t="s">
        <v>13</v>
      </c>
      <c r="F25" s="140" t="s">
        <v>14</v>
      </c>
      <c r="G25" s="140" t="s">
        <v>14</v>
      </c>
      <c r="H25" s="140" t="s">
        <v>14</v>
      </c>
      <c r="I25" s="140" t="s">
        <v>14</v>
      </c>
      <c r="J25" s="174"/>
    </row>
    <row r="26" hidden="1" customHeight="1" spans="1:10">
      <c r="A26" s="140" t="s">
        <v>10</v>
      </c>
      <c r="B26" s="140" t="s">
        <v>11</v>
      </c>
      <c r="C26" s="171">
        <v>45712</v>
      </c>
      <c r="D26" s="172" t="s">
        <v>16</v>
      </c>
      <c r="E26" s="140" t="s">
        <v>19</v>
      </c>
      <c r="F26" s="140" t="s">
        <v>49</v>
      </c>
      <c r="G26" s="140" t="s">
        <v>21</v>
      </c>
      <c r="H26" s="140" t="s">
        <v>50</v>
      </c>
      <c r="I26" s="140" t="s">
        <v>21</v>
      </c>
      <c r="J26" s="174"/>
    </row>
    <row r="27" hidden="1" customHeight="1" spans="1:10">
      <c r="A27" s="140" t="s">
        <v>10</v>
      </c>
      <c r="B27" s="140" t="s">
        <v>11</v>
      </c>
      <c r="C27" s="171">
        <v>45713</v>
      </c>
      <c r="D27" s="172" t="s">
        <v>17</v>
      </c>
      <c r="E27" s="140" t="s">
        <v>19</v>
      </c>
      <c r="F27" s="140" t="s">
        <v>51</v>
      </c>
      <c r="G27" s="140" t="s">
        <v>21</v>
      </c>
      <c r="H27" s="140" t="s">
        <v>52</v>
      </c>
      <c r="I27" s="140" t="s">
        <v>21</v>
      </c>
      <c r="J27" s="174"/>
    </row>
    <row r="28" hidden="1" customHeight="1" spans="1:10">
      <c r="A28" s="140" t="s">
        <v>10</v>
      </c>
      <c r="B28" s="140" t="s">
        <v>11</v>
      </c>
      <c r="C28" s="171">
        <v>45714</v>
      </c>
      <c r="D28" s="172" t="s">
        <v>18</v>
      </c>
      <c r="E28" s="140" t="s">
        <v>19</v>
      </c>
      <c r="F28" s="140" t="s">
        <v>30</v>
      </c>
      <c r="G28" s="140" t="s">
        <v>21</v>
      </c>
      <c r="H28" s="140" t="s">
        <v>53</v>
      </c>
      <c r="I28" s="140" t="s">
        <v>21</v>
      </c>
      <c r="J28" s="174"/>
    </row>
    <row r="29" hidden="1" customHeight="1" spans="1:10">
      <c r="A29" s="140" t="s">
        <v>10</v>
      </c>
      <c r="B29" s="140" t="s">
        <v>11</v>
      </c>
      <c r="C29" s="171">
        <v>45715</v>
      </c>
      <c r="D29" s="172" t="s">
        <v>23</v>
      </c>
      <c r="E29" s="140" t="s">
        <v>19</v>
      </c>
      <c r="F29" s="140" t="s">
        <v>33</v>
      </c>
      <c r="G29" s="140" t="s">
        <v>21</v>
      </c>
      <c r="H29" s="140" t="s">
        <v>54</v>
      </c>
      <c r="I29" s="140" t="s">
        <v>21</v>
      </c>
      <c r="J29" s="174"/>
    </row>
    <row r="30" hidden="1" customHeight="1" spans="1:10">
      <c r="A30" s="140" t="s">
        <v>10</v>
      </c>
      <c r="B30" s="140" t="s">
        <v>11</v>
      </c>
      <c r="C30" s="171">
        <v>45716</v>
      </c>
      <c r="D30" s="172" t="s">
        <v>25</v>
      </c>
      <c r="E30" s="140" t="s">
        <v>19</v>
      </c>
      <c r="F30" s="140" t="s">
        <v>36</v>
      </c>
      <c r="G30" s="140" t="s">
        <v>21</v>
      </c>
      <c r="H30" s="140" t="s">
        <v>55</v>
      </c>
      <c r="I30" s="140" t="s">
        <v>21</v>
      </c>
      <c r="J30" s="174"/>
    </row>
    <row r="31" hidden="1" customHeight="1" spans="1:10">
      <c r="A31" s="140" t="s">
        <v>56</v>
      </c>
      <c r="B31" s="140" t="s">
        <v>57</v>
      </c>
      <c r="C31" s="171">
        <v>45689</v>
      </c>
      <c r="D31" s="172" t="s">
        <v>12</v>
      </c>
      <c r="E31" s="173" t="s">
        <v>13</v>
      </c>
      <c r="F31" s="140" t="s">
        <v>14</v>
      </c>
      <c r="G31" s="140" t="s">
        <v>14</v>
      </c>
      <c r="H31" s="140" t="s">
        <v>14</v>
      </c>
      <c r="I31" s="140" t="s">
        <v>14</v>
      </c>
      <c r="J31" s="174"/>
    </row>
    <row r="32" hidden="1" customHeight="1" spans="1:10">
      <c r="A32" s="140" t="s">
        <v>56</v>
      </c>
      <c r="B32" s="140" t="s">
        <v>57</v>
      </c>
      <c r="C32" s="171">
        <v>45690</v>
      </c>
      <c r="D32" s="172" t="s">
        <v>15</v>
      </c>
      <c r="E32" s="173" t="s">
        <v>13</v>
      </c>
      <c r="F32" s="140" t="s">
        <v>14</v>
      </c>
      <c r="G32" s="140" t="s">
        <v>14</v>
      </c>
      <c r="H32" s="140" t="s">
        <v>14</v>
      </c>
      <c r="I32" s="140" t="s">
        <v>14</v>
      </c>
      <c r="J32" s="174"/>
    </row>
    <row r="33" hidden="1" customHeight="1" spans="1:10">
      <c r="A33" s="140" t="s">
        <v>56</v>
      </c>
      <c r="B33" s="140" t="s">
        <v>57</v>
      </c>
      <c r="C33" s="171">
        <v>45691</v>
      </c>
      <c r="D33" s="172" t="s">
        <v>16</v>
      </c>
      <c r="E33" s="173" t="s">
        <v>13</v>
      </c>
      <c r="F33" s="140" t="s">
        <v>14</v>
      </c>
      <c r="G33" s="140" t="s">
        <v>14</v>
      </c>
      <c r="H33" s="140" t="s">
        <v>14</v>
      </c>
      <c r="I33" s="140" t="s">
        <v>14</v>
      </c>
      <c r="J33" s="174"/>
    </row>
    <row r="34" hidden="1" customHeight="1" spans="1:10">
      <c r="A34" s="140" t="s">
        <v>56</v>
      </c>
      <c r="B34" s="140" t="s">
        <v>57</v>
      </c>
      <c r="C34" s="171">
        <v>45692</v>
      </c>
      <c r="D34" s="172" t="s">
        <v>17</v>
      </c>
      <c r="E34" s="173" t="s">
        <v>13</v>
      </c>
      <c r="F34" s="140" t="s">
        <v>14</v>
      </c>
      <c r="G34" s="140" t="s">
        <v>14</v>
      </c>
      <c r="H34" s="140" t="s">
        <v>14</v>
      </c>
      <c r="I34" s="140" t="s">
        <v>14</v>
      </c>
      <c r="J34" s="174"/>
    </row>
    <row r="35" hidden="1" customHeight="1" spans="1:10">
      <c r="A35" s="140" t="s">
        <v>56</v>
      </c>
      <c r="B35" s="140" t="s">
        <v>57</v>
      </c>
      <c r="C35" s="171">
        <v>45693</v>
      </c>
      <c r="D35" s="172" t="s">
        <v>18</v>
      </c>
      <c r="E35" s="140" t="s">
        <v>19</v>
      </c>
      <c r="F35" s="140" t="s">
        <v>58</v>
      </c>
      <c r="G35" s="140" t="s">
        <v>21</v>
      </c>
      <c r="H35" s="140" t="s">
        <v>59</v>
      </c>
      <c r="I35" s="140" t="s">
        <v>21</v>
      </c>
      <c r="J35" s="174"/>
    </row>
    <row r="36" hidden="1" customHeight="1" spans="1:10">
      <c r="A36" s="140" t="s">
        <v>56</v>
      </c>
      <c r="B36" s="140" t="s">
        <v>57</v>
      </c>
      <c r="C36" s="171">
        <v>45694</v>
      </c>
      <c r="D36" s="172" t="s">
        <v>23</v>
      </c>
      <c r="E36" s="140" t="s">
        <v>19</v>
      </c>
      <c r="F36" s="140" t="s">
        <v>60</v>
      </c>
      <c r="G36" s="140" t="s">
        <v>21</v>
      </c>
      <c r="H36" s="140" t="s">
        <v>35</v>
      </c>
      <c r="I36" s="140" t="s">
        <v>21</v>
      </c>
      <c r="J36" s="174"/>
    </row>
    <row r="37" hidden="1" customHeight="1" spans="1:10">
      <c r="A37" s="140" t="s">
        <v>56</v>
      </c>
      <c r="B37" s="140" t="s">
        <v>57</v>
      </c>
      <c r="C37" s="171">
        <v>45695</v>
      </c>
      <c r="D37" s="172" t="s">
        <v>25</v>
      </c>
      <c r="E37" s="140" t="s">
        <v>19</v>
      </c>
      <c r="F37" s="140" t="s">
        <v>46</v>
      </c>
      <c r="G37" s="140" t="s">
        <v>21</v>
      </c>
      <c r="H37" s="140" t="s">
        <v>61</v>
      </c>
      <c r="I37" s="140" t="s">
        <v>21</v>
      </c>
      <c r="J37" s="175"/>
    </row>
    <row r="38" hidden="1" customHeight="1" spans="1:10">
      <c r="A38" s="140" t="s">
        <v>56</v>
      </c>
      <c r="B38" s="140" t="s">
        <v>57</v>
      </c>
      <c r="C38" s="171">
        <v>45696</v>
      </c>
      <c r="D38" s="172" t="s">
        <v>27</v>
      </c>
      <c r="E38" s="140" t="s">
        <v>19</v>
      </c>
      <c r="F38" s="140" t="s">
        <v>62</v>
      </c>
      <c r="G38" s="140" t="s">
        <v>21</v>
      </c>
      <c r="H38" s="140" t="s">
        <v>42</v>
      </c>
      <c r="I38" s="140" t="s">
        <v>21</v>
      </c>
      <c r="J38" s="175"/>
    </row>
    <row r="39" hidden="1" customHeight="1" spans="1:10">
      <c r="A39" s="140" t="s">
        <v>56</v>
      </c>
      <c r="B39" s="140" t="s">
        <v>57</v>
      </c>
      <c r="C39" s="171">
        <v>45697</v>
      </c>
      <c r="D39" s="172" t="s">
        <v>15</v>
      </c>
      <c r="E39" s="173" t="s">
        <v>13</v>
      </c>
      <c r="F39" s="140" t="s">
        <v>14</v>
      </c>
      <c r="G39" s="140" t="s">
        <v>14</v>
      </c>
      <c r="H39" s="140" t="s">
        <v>14</v>
      </c>
      <c r="I39" s="140" t="s">
        <v>14</v>
      </c>
      <c r="J39" s="175"/>
    </row>
    <row r="40" hidden="1" customHeight="1" spans="1:10">
      <c r="A40" s="140" t="s">
        <v>56</v>
      </c>
      <c r="B40" s="140" t="s">
        <v>57</v>
      </c>
      <c r="C40" s="171">
        <v>45698</v>
      </c>
      <c r="D40" s="172" t="s">
        <v>16</v>
      </c>
      <c r="E40" s="140" t="s">
        <v>19</v>
      </c>
      <c r="F40" s="140" t="s">
        <v>63</v>
      </c>
      <c r="G40" s="140" t="s">
        <v>21</v>
      </c>
      <c r="H40" s="140" t="s">
        <v>31</v>
      </c>
      <c r="I40" s="140" t="s">
        <v>21</v>
      </c>
      <c r="J40" s="174"/>
    </row>
    <row r="41" hidden="1" customHeight="1" spans="1:10">
      <c r="A41" s="140" t="s">
        <v>56</v>
      </c>
      <c r="B41" s="140" t="s">
        <v>57</v>
      </c>
      <c r="C41" s="171">
        <v>45699</v>
      </c>
      <c r="D41" s="172" t="s">
        <v>17</v>
      </c>
      <c r="E41" s="140" t="s">
        <v>19</v>
      </c>
      <c r="F41" s="140" t="s">
        <v>64</v>
      </c>
      <c r="G41" s="140" t="s">
        <v>21</v>
      </c>
      <c r="H41" s="140" t="s">
        <v>65</v>
      </c>
      <c r="I41" s="140" t="s">
        <v>21</v>
      </c>
      <c r="J41" s="174"/>
    </row>
    <row r="42" hidden="1" customHeight="1" spans="1:10">
      <c r="A42" s="140" t="s">
        <v>56</v>
      </c>
      <c r="B42" s="140" t="s">
        <v>57</v>
      </c>
      <c r="C42" s="171">
        <v>45700</v>
      </c>
      <c r="D42" s="172" t="s">
        <v>18</v>
      </c>
      <c r="E42" s="140" t="s">
        <v>19</v>
      </c>
      <c r="F42" s="140" t="s">
        <v>62</v>
      </c>
      <c r="G42" s="140" t="s">
        <v>21</v>
      </c>
      <c r="H42" s="140" t="s">
        <v>66</v>
      </c>
      <c r="I42" s="140" t="s">
        <v>21</v>
      </c>
      <c r="J42" s="174"/>
    </row>
    <row r="43" customHeight="1" spans="1:10">
      <c r="A43" s="140" t="s">
        <v>56</v>
      </c>
      <c r="B43" s="140" t="s">
        <v>57</v>
      </c>
      <c r="C43" s="171">
        <v>45701</v>
      </c>
      <c r="D43" s="172" t="s">
        <v>23</v>
      </c>
      <c r="E43" s="140" t="s">
        <v>19</v>
      </c>
      <c r="F43" s="140" t="s">
        <v>67</v>
      </c>
      <c r="G43" s="140" t="s">
        <v>21</v>
      </c>
      <c r="H43" s="140" t="s">
        <v>14</v>
      </c>
      <c r="I43" s="176" t="s">
        <v>68</v>
      </c>
      <c r="J43" s="174" t="s">
        <v>69</v>
      </c>
    </row>
    <row r="44" hidden="1" customHeight="1" spans="1:10">
      <c r="A44" s="140" t="s">
        <v>56</v>
      </c>
      <c r="B44" s="140" t="s">
        <v>57</v>
      </c>
      <c r="C44" s="171">
        <v>45702</v>
      </c>
      <c r="D44" s="172" t="s">
        <v>25</v>
      </c>
      <c r="E44" s="140" t="s">
        <v>19</v>
      </c>
      <c r="F44" s="140" t="s">
        <v>70</v>
      </c>
      <c r="G44" s="140" t="s">
        <v>21</v>
      </c>
      <c r="H44" s="140" t="s">
        <v>71</v>
      </c>
      <c r="I44" s="140" t="s">
        <v>21</v>
      </c>
      <c r="J44" s="174"/>
    </row>
    <row r="45" hidden="1" customHeight="1" spans="1:10">
      <c r="A45" s="140" t="s">
        <v>56</v>
      </c>
      <c r="B45" s="140" t="s">
        <v>57</v>
      </c>
      <c r="C45" s="171">
        <v>45703</v>
      </c>
      <c r="D45" s="172" t="s">
        <v>27</v>
      </c>
      <c r="E45" s="173" t="s">
        <v>13</v>
      </c>
      <c r="F45" s="140" t="s">
        <v>14</v>
      </c>
      <c r="G45" s="140" t="s">
        <v>14</v>
      </c>
      <c r="H45" s="140" t="s">
        <v>14</v>
      </c>
      <c r="I45" s="140" t="s">
        <v>14</v>
      </c>
      <c r="J45" s="174"/>
    </row>
    <row r="46" hidden="1" customHeight="1" spans="1:10">
      <c r="A46" s="140" t="s">
        <v>56</v>
      </c>
      <c r="B46" s="140" t="s">
        <v>57</v>
      </c>
      <c r="C46" s="171">
        <v>45704</v>
      </c>
      <c r="D46" s="172" t="s">
        <v>15</v>
      </c>
      <c r="E46" s="173" t="s">
        <v>13</v>
      </c>
      <c r="F46" s="140" t="s">
        <v>14</v>
      </c>
      <c r="G46" s="140" t="s">
        <v>14</v>
      </c>
      <c r="H46" s="140" t="s">
        <v>14</v>
      </c>
      <c r="I46" s="140" t="s">
        <v>14</v>
      </c>
      <c r="J46" s="174"/>
    </row>
    <row r="47" hidden="1" customHeight="1" spans="1:10">
      <c r="A47" s="140" t="s">
        <v>56</v>
      </c>
      <c r="B47" s="140" t="s">
        <v>57</v>
      </c>
      <c r="C47" s="171">
        <v>45705</v>
      </c>
      <c r="D47" s="172" t="s">
        <v>16</v>
      </c>
      <c r="E47" s="140" t="s">
        <v>19</v>
      </c>
      <c r="F47" s="140" t="s">
        <v>72</v>
      </c>
      <c r="G47" s="140" t="s">
        <v>21</v>
      </c>
      <c r="H47" s="140" t="s">
        <v>73</v>
      </c>
      <c r="I47" s="140" t="s">
        <v>21</v>
      </c>
      <c r="J47" s="174"/>
    </row>
    <row r="48" hidden="1" customHeight="1" spans="1:10">
      <c r="A48" s="140" t="s">
        <v>56</v>
      </c>
      <c r="B48" s="140" t="s">
        <v>57</v>
      </c>
      <c r="C48" s="171">
        <v>45706</v>
      </c>
      <c r="D48" s="172" t="s">
        <v>17</v>
      </c>
      <c r="E48" s="140" t="s">
        <v>19</v>
      </c>
      <c r="F48" s="140" t="s">
        <v>74</v>
      </c>
      <c r="G48" s="140" t="s">
        <v>21</v>
      </c>
      <c r="H48" s="140" t="s">
        <v>75</v>
      </c>
      <c r="I48" s="140" t="s">
        <v>21</v>
      </c>
      <c r="J48" s="174"/>
    </row>
    <row r="49" hidden="1" customHeight="1" spans="1:10">
      <c r="A49" s="140" t="s">
        <v>56</v>
      </c>
      <c r="B49" s="140" t="s">
        <v>57</v>
      </c>
      <c r="C49" s="171">
        <v>45707</v>
      </c>
      <c r="D49" s="172" t="s">
        <v>18</v>
      </c>
      <c r="E49" s="140" t="s">
        <v>19</v>
      </c>
      <c r="F49" s="140" t="s">
        <v>76</v>
      </c>
      <c r="G49" s="140" t="s">
        <v>21</v>
      </c>
      <c r="H49" s="140" t="s">
        <v>65</v>
      </c>
      <c r="I49" s="140" t="s">
        <v>21</v>
      </c>
      <c r="J49" s="174"/>
    </row>
    <row r="50" hidden="1" customHeight="1" spans="1:10">
      <c r="A50" s="140" t="s">
        <v>56</v>
      </c>
      <c r="B50" s="140" t="s">
        <v>57</v>
      </c>
      <c r="C50" s="171">
        <v>45708</v>
      </c>
      <c r="D50" s="172" t="s">
        <v>23</v>
      </c>
      <c r="E50" s="140" t="s">
        <v>19</v>
      </c>
      <c r="F50" s="140" t="s">
        <v>77</v>
      </c>
      <c r="G50" s="140" t="s">
        <v>21</v>
      </c>
      <c r="H50" s="140" t="s">
        <v>78</v>
      </c>
      <c r="I50" s="140" t="s">
        <v>21</v>
      </c>
      <c r="J50" s="174"/>
    </row>
    <row r="51" hidden="1" customHeight="1" spans="1:10">
      <c r="A51" s="140" t="s">
        <v>56</v>
      </c>
      <c r="B51" s="140" t="s">
        <v>57</v>
      </c>
      <c r="C51" s="171">
        <v>45709</v>
      </c>
      <c r="D51" s="172" t="s">
        <v>25</v>
      </c>
      <c r="E51" s="140" t="s">
        <v>19</v>
      </c>
      <c r="F51" s="140" t="s">
        <v>62</v>
      </c>
      <c r="G51" s="140" t="s">
        <v>21</v>
      </c>
      <c r="H51" s="140" t="s">
        <v>79</v>
      </c>
      <c r="I51" s="140" t="s">
        <v>21</v>
      </c>
      <c r="J51" s="174"/>
    </row>
    <row r="52" hidden="1" customHeight="1" spans="1:10">
      <c r="A52" s="140" t="s">
        <v>56</v>
      </c>
      <c r="B52" s="140" t="s">
        <v>57</v>
      </c>
      <c r="C52" s="171">
        <v>45710</v>
      </c>
      <c r="D52" s="172" t="s">
        <v>27</v>
      </c>
      <c r="E52" s="173" t="s">
        <v>13</v>
      </c>
      <c r="F52" s="140" t="s">
        <v>14</v>
      </c>
      <c r="G52" s="140" t="s">
        <v>14</v>
      </c>
      <c r="H52" s="140" t="s">
        <v>14</v>
      </c>
      <c r="I52" s="140" t="s">
        <v>14</v>
      </c>
      <c r="J52" s="174"/>
    </row>
    <row r="53" hidden="1" customHeight="1" spans="1:10">
      <c r="A53" s="140" t="s">
        <v>56</v>
      </c>
      <c r="B53" s="140" t="s">
        <v>57</v>
      </c>
      <c r="C53" s="171">
        <v>45711</v>
      </c>
      <c r="D53" s="172" t="s">
        <v>15</v>
      </c>
      <c r="E53" s="173" t="s">
        <v>13</v>
      </c>
      <c r="F53" s="140" t="s">
        <v>14</v>
      </c>
      <c r="G53" s="140" t="s">
        <v>14</v>
      </c>
      <c r="H53" s="140" t="s">
        <v>14</v>
      </c>
      <c r="I53" s="140" t="s">
        <v>14</v>
      </c>
      <c r="J53" s="174"/>
    </row>
    <row r="54" hidden="1" customHeight="1" spans="1:10">
      <c r="A54" s="140" t="s">
        <v>56</v>
      </c>
      <c r="B54" s="140" t="s">
        <v>57</v>
      </c>
      <c r="C54" s="171">
        <v>45712</v>
      </c>
      <c r="D54" s="172" t="s">
        <v>16</v>
      </c>
      <c r="E54" s="140" t="s">
        <v>19</v>
      </c>
      <c r="F54" s="140" t="s">
        <v>62</v>
      </c>
      <c r="G54" s="140" t="s">
        <v>21</v>
      </c>
      <c r="H54" s="140" t="s">
        <v>24</v>
      </c>
      <c r="I54" s="140" t="s">
        <v>21</v>
      </c>
      <c r="J54" s="174"/>
    </row>
    <row r="55" hidden="1" customHeight="1" spans="1:10">
      <c r="A55" s="140" t="s">
        <v>56</v>
      </c>
      <c r="B55" s="140" t="s">
        <v>57</v>
      </c>
      <c r="C55" s="171">
        <v>45713</v>
      </c>
      <c r="D55" s="172" t="s">
        <v>17</v>
      </c>
      <c r="E55" s="140" t="s">
        <v>19</v>
      </c>
      <c r="F55" s="140" t="s">
        <v>67</v>
      </c>
      <c r="G55" s="140" t="s">
        <v>21</v>
      </c>
      <c r="H55" s="140" t="s">
        <v>80</v>
      </c>
      <c r="I55" s="140" t="s">
        <v>21</v>
      </c>
      <c r="J55" s="174"/>
    </row>
    <row r="56" hidden="1" customHeight="1" spans="1:10">
      <c r="A56" s="140" t="s">
        <v>56</v>
      </c>
      <c r="B56" s="140" t="s">
        <v>57</v>
      </c>
      <c r="C56" s="171">
        <v>45714</v>
      </c>
      <c r="D56" s="172" t="s">
        <v>18</v>
      </c>
      <c r="E56" s="140" t="s">
        <v>19</v>
      </c>
      <c r="F56" s="140" t="s">
        <v>81</v>
      </c>
      <c r="G56" s="140" t="s">
        <v>21</v>
      </c>
      <c r="H56" s="140" t="s">
        <v>82</v>
      </c>
      <c r="I56" s="140" t="s">
        <v>21</v>
      </c>
      <c r="J56" s="174"/>
    </row>
    <row r="57" customHeight="1" spans="1:10">
      <c r="A57" s="140" t="s">
        <v>56</v>
      </c>
      <c r="B57" s="140" t="s">
        <v>57</v>
      </c>
      <c r="C57" s="171">
        <v>45715</v>
      </c>
      <c r="D57" s="172" t="s">
        <v>23</v>
      </c>
      <c r="E57" s="140" t="s">
        <v>19</v>
      </c>
      <c r="F57" s="140" t="s">
        <v>83</v>
      </c>
      <c r="G57" s="140" t="s">
        <v>21</v>
      </c>
      <c r="H57" s="140" t="s">
        <v>14</v>
      </c>
      <c r="I57" s="176" t="s">
        <v>68</v>
      </c>
      <c r="J57" s="174" t="s">
        <v>69</v>
      </c>
    </row>
    <row r="58" hidden="1" customHeight="1" spans="1:10">
      <c r="A58" s="140" t="s">
        <v>56</v>
      </c>
      <c r="B58" s="140" t="s">
        <v>57</v>
      </c>
      <c r="C58" s="171">
        <v>45716</v>
      </c>
      <c r="D58" s="172" t="s">
        <v>25</v>
      </c>
      <c r="E58" s="140" t="s">
        <v>19</v>
      </c>
      <c r="F58" s="140" t="s">
        <v>84</v>
      </c>
      <c r="G58" s="140" t="s">
        <v>21</v>
      </c>
      <c r="H58" s="140" t="s">
        <v>22</v>
      </c>
      <c r="I58" s="140" t="s">
        <v>21</v>
      </c>
      <c r="J58" s="174"/>
    </row>
    <row r="59" hidden="1" customHeight="1" spans="1:10">
      <c r="A59" s="140" t="s">
        <v>85</v>
      </c>
      <c r="B59" s="140" t="s">
        <v>86</v>
      </c>
      <c r="C59" s="171">
        <v>45689</v>
      </c>
      <c r="D59" s="172" t="s">
        <v>12</v>
      </c>
      <c r="E59" s="173" t="s">
        <v>13</v>
      </c>
      <c r="F59" s="140" t="s">
        <v>14</v>
      </c>
      <c r="G59" s="140" t="s">
        <v>14</v>
      </c>
      <c r="H59" s="140" t="s">
        <v>14</v>
      </c>
      <c r="I59" s="140" t="s">
        <v>14</v>
      </c>
      <c r="J59" s="174"/>
    </row>
    <row r="60" hidden="1" customHeight="1" spans="1:10">
      <c r="A60" s="140" t="s">
        <v>85</v>
      </c>
      <c r="B60" s="140" t="s">
        <v>86</v>
      </c>
      <c r="C60" s="171">
        <v>45690</v>
      </c>
      <c r="D60" s="172" t="s">
        <v>15</v>
      </c>
      <c r="E60" s="173" t="s">
        <v>13</v>
      </c>
      <c r="F60" s="140" t="s">
        <v>14</v>
      </c>
      <c r="G60" s="140" t="s">
        <v>14</v>
      </c>
      <c r="H60" s="140" t="s">
        <v>14</v>
      </c>
      <c r="I60" s="140" t="s">
        <v>14</v>
      </c>
      <c r="J60" s="174"/>
    </row>
    <row r="61" hidden="1" customHeight="1" spans="1:10">
      <c r="A61" s="140" t="s">
        <v>85</v>
      </c>
      <c r="B61" s="140" t="s">
        <v>86</v>
      </c>
      <c r="C61" s="171">
        <v>45691</v>
      </c>
      <c r="D61" s="172" t="s">
        <v>16</v>
      </c>
      <c r="E61" s="173" t="s">
        <v>13</v>
      </c>
      <c r="F61" s="140" t="s">
        <v>14</v>
      </c>
      <c r="G61" s="140" t="s">
        <v>14</v>
      </c>
      <c r="H61" s="140" t="s">
        <v>14</v>
      </c>
      <c r="I61" s="140" t="s">
        <v>14</v>
      </c>
      <c r="J61" s="174"/>
    </row>
    <row r="62" hidden="1" customHeight="1" spans="1:10">
      <c r="A62" s="140" t="s">
        <v>85</v>
      </c>
      <c r="B62" s="140" t="s">
        <v>86</v>
      </c>
      <c r="C62" s="171">
        <v>45692</v>
      </c>
      <c r="D62" s="172" t="s">
        <v>17</v>
      </c>
      <c r="E62" s="173" t="s">
        <v>13</v>
      </c>
      <c r="F62" s="140" t="s">
        <v>14</v>
      </c>
      <c r="G62" s="140" t="s">
        <v>14</v>
      </c>
      <c r="H62" s="140" t="s">
        <v>14</v>
      </c>
      <c r="I62" s="140" t="s">
        <v>14</v>
      </c>
      <c r="J62" s="175"/>
    </row>
    <row r="63" hidden="1" customHeight="1" spans="1:10">
      <c r="A63" s="140" t="s">
        <v>85</v>
      </c>
      <c r="B63" s="140" t="s">
        <v>86</v>
      </c>
      <c r="C63" s="171">
        <v>45693</v>
      </c>
      <c r="D63" s="172" t="s">
        <v>18</v>
      </c>
      <c r="E63" s="140" t="s">
        <v>19</v>
      </c>
      <c r="F63" s="140" t="s">
        <v>28</v>
      </c>
      <c r="G63" s="140" t="s">
        <v>21</v>
      </c>
      <c r="H63" s="140" t="s">
        <v>29</v>
      </c>
      <c r="I63" s="140" t="s">
        <v>21</v>
      </c>
      <c r="J63" s="175"/>
    </row>
    <row r="64" hidden="1" customHeight="1" spans="1:10">
      <c r="A64" s="140" t="s">
        <v>85</v>
      </c>
      <c r="B64" s="140" t="s">
        <v>86</v>
      </c>
      <c r="C64" s="171">
        <v>45694</v>
      </c>
      <c r="D64" s="172" t="s">
        <v>23</v>
      </c>
      <c r="E64" s="140" t="s">
        <v>19</v>
      </c>
      <c r="F64" s="140" t="s">
        <v>28</v>
      </c>
      <c r="G64" s="140" t="s">
        <v>21</v>
      </c>
      <c r="H64" s="140" t="s">
        <v>87</v>
      </c>
      <c r="I64" s="140" t="s">
        <v>21</v>
      </c>
      <c r="J64" s="174"/>
    </row>
    <row r="65" hidden="1" customHeight="1" spans="1:10">
      <c r="A65" s="140" t="s">
        <v>85</v>
      </c>
      <c r="B65" s="140" t="s">
        <v>86</v>
      </c>
      <c r="C65" s="171">
        <v>45695</v>
      </c>
      <c r="D65" s="172" t="s">
        <v>25</v>
      </c>
      <c r="E65" s="140" t="s">
        <v>19</v>
      </c>
      <c r="F65" s="140" t="s">
        <v>51</v>
      </c>
      <c r="G65" s="140" t="s">
        <v>21</v>
      </c>
      <c r="H65" s="140" t="s">
        <v>88</v>
      </c>
      <c r="I65" s="140" t="s">
        <v>21</v>
      </c>
      <c r="J65" s="174"/>
    </row>
    <row r="66" hidden="1" customHeight="1" spans="1:10">
      <c r="A66" s="140" t="s">
        <v>85</v>
      </c>
      <c r="B66" s="140" t="s">
        <v>86</v>
      </c>
      <c r="C66" s="171">
        <v>45696</v>
      </c>
      <c r="D66" s="172" t="s">
        <v>27</v>
      </c>
      <c r="E66" s="140" t="s">
        <v>19</v>
      </c>
      <c r="F66" s="140" t="s">
        <v>36</v>
      </c>
      <c r="G66" s="140" t="s">
        <v>21</v>
      </c>
      <c r="H66" s="140" t="s">
        <v>89</v>
      </c>
      <c r="I66" s="140" t="s">
        <v>21</v>
      </c>
      <c r="J66" s="175"/>
    </row>
    <row r="67" hidden="1" customHeight="1" spans="1:10">
      <c r="A67" s="140" t="s">
        <v>85</v>
      </c>
      <c r="B67" s="140" t="s">
        <v>86</v>
      </c>
      <c r="C67" s="171">
        <v>45697</v>
      </c>
      <c r="D67" s="172" t="s">
        <v>15</v>
      </c>
      <c r="E67" s="173" t="s">
        <v>13</v>
      </c>
      <c r="F67" s="140" t="s">
        <v>14</v>
      </c>
      <c r="G67" s="140" t="s">
        <v>14</v>
      </c>
      <c r="H67" s="140" t="s">
        <v>14</v>
      </c>
      <c r="I67" s="140" t="s">
        <v>14</v>
      </c>
      <c r="J67" s="174"/>
    </row>
    <row r="68" hidden="1" customHeight="1" spans="1:10">
      <c r="A68" s="140" t="s">
        <v>85</v>
      </c>
      <c r="B68" s="140" t="s">
        <v>86</v>
      </c>
      <c r="C68" s="171">
        <v>45698</v>
      </c>
      <c r="D68" s="172" t="s">
        <v>16</v>
      </c>
      <c r="E68" s="140" t="s">
        <v>19</v>
      </c>
      <c r="F68" s="140" t="s">
        <v>90</v>
      </c>
      <c r="G68" s="140" t="s">
        <v>21</v>
      </c>
      <c r="H68" s="140" t="s">
        <v>91</v>
      </c>
      <c r="I68" s="140" t="s">
        <v>21</v>
      </c>
      <c r="J68" s="174"/>
    </row>
    <row r="69" hidden="1" customHeight="1" spans="1:10">
      <c r="A69" s="140" t="s">
        <v>85</v>
      </c>
      <c r="B69" s="140" t="s">
        <v>86</v>
      </c>
      <c r="C69" s="171">
        <v>45699</v>
      </c>
      <c r="D69" s="172" t="s">
        <v>17</v>
      </c>
      <c r="E69" s="140" t="s">
        <v>19</v>
      </c>
      <c r="F69" s="140" t="s">
        <v>43</v>
      </c>
      <c r="G69" s="140" t="s">
        <v>21</v>
      </c>
      <c r="H69" s="140" t="s">
        <v>65</v>
      </c>
      <c r="I69" s="140" t="s">
        <v>21</v>
      </c>
      <c r="J69" s="174"/>
    </row>
    <row r="70" hidden="1" customHeight="1" spans="1:10">
      <c r="A70" s="140" t="s">
        <v>85</v>
      </c>
      <c r="B70" s="140" t="s">
        <v>86</v>
      </c>
      <c r="C70" s="171">
        <v>45700</v>
      </c>
      <c r="D70" s="172" t="s">
        <v>18</v>
      </c>
      <c r="E70" s="140" t="s">
        <v>19</v>
      </c>
      <c r="F70" s="140" t="s">
        <v>43</v>
      </c>
      <c r="G70" s="140" t="s">
        <v>21</v>
      </c>
      <c r="H70" s="140" t="s">
        <v>92</v>
      </c>
      <c r="I70" s="140" t="s">
        <v>21</v>
      </c>
      <c r="J70" s="174"/>
    </row>
    <row r="71" customHeight="1" spans="1:10">
      <c r="A71" s="140" t="s">
        <v>85</v>
      </c>
      <c r="B71" s="140" t="s">
        <v>86</v>
      </c>
      <c r="C71" s="171">
        <v>45701</v>
      </c>
      <c r="D71" s="172" t="s">
        <v>23</v>
      </c>
      <c r="E71" s="140" t="s">
        <v>19</v>
      </c>
      <c r="F71" s="140" t="s">
        <v>14</v>
      </c>
      <c r="G71" s="176" t="s">
        <v>68</v>
      </c>
      <c r="H71" s="140" t="s">
        <v>14</v>
      </c>
      <c r="I71" s="176" t="s">
        <v>68</v>
      </c>
      <c r="J71" s="174" t="s">
        <v>93</v>
      </c>
    </row>
    <row r="72" customHeight="1" spans="1:10">
      <c r="A72" s="140" t="s">
        <v>85</v>
      </c>
      <c r="B72" s="140" t="s">
        <v>86</v>
      </c>
      <c r="C72" s="171">
        <v>45702</v>
      </c>
      <c r="D72" s="172" t="s">
        <v>25</v>
      </c>
      <c r="E72" s="140" t="s">
        <v>19</v>
      </c>
      <c r="F72" s="140" t="s">
        <v>14</v>
      </c>
      <c r="G72" s="176" t="s">
        <v>68</v>
      </c>
      <c r="H72" s="140" t="s">
        <v>14</v>
      </c>
      <c r="I72" s="176" t="s">
        <v>68</v>
      </c>
      <c r="J72" s="174" t="s">
        <v>93</v>
      </c>
    </row>
    <row r="73" hidden="1" customHeight="1" spans="1:10">
      <c r="A73" s="140" t="s">
        <v>85</v>
      </c>
      <c r="B73" s="140" t="s">
        <v>86</v>
      </c>
      <c r="C73" s="171">
        <v>45703</v>
      </c>
      <c r="D73" s="172" t="s">
        <v>27</v>
      </c>
      <c r="E73" s="173" t="s">
        <v>13</v>
      </c>
      <c r="F73" s="140" t="s">
        <v>14</v>
      </c>
      <c r="G73" s="140" t="s">
        <v>14</v>
      </c>
      <c r="H73" s="140" t="s">
        <v>14</v>
      </c>
      <c r="I73" s="140" t="s">
        <v>14</v>
      </c>
      <c r="J73" s="174"/>
    </row>
    <row r="74" hidden="1" customHeight="1" spans="1:10">
      <c r="A74" s="140" t="s">
        <v>85</v>
      </c>
      <c r="B74" s="140" t="s">
        <v>86</v>
      </c>
      <c r="C74" s="171">
        <v>45704</v>
      </c>
      <c r="D74" s="172" t="s">
        <v>15</v>
      </c>
      <c r="E74" s="173" t="s">
        <v>13</v>
      </c>
      <c r="F74" s="140" t="s">
        <v>14</v>
      </c>
      <c r="G74" s="140" t="s">
        <v>14</v>
      </c>
      <c r="H74" s="140" t="s">
        <v>14</v>
      </c>
      <c r="I74" s="140" t="s">
        <v>14</v>
      </c>
      <c r="J74" s="174"/>
    </row>
    <row r="75" hidden="1" customHeight="1" spans="1:10">
      <c r="A75" s="140" t="s">
        <v>85</v>
      </c>
      <c r="B75" s="140" t="s">
        <v>86</v>
      </c>
      <c r="C75" s="171">
        <v>45705</v>
      </c>
      <c r="D75" s="172" t="s">
        <v>16</v>
      </c>
      <c r="E75" s="140" t="s">
        <v>19</v>
      </c>
      <c r="F75" s="140" t="s">
        <v>94</v>
      </c>
      <c r="G75" s="140" t="s">
        <v>21</v>
      </c>
      <c r="H75" s="140" t="s">
        <v>95</v>
      </c>
      <c r="I75" s="140" t="s">
        <v>21</v>
      </c>
      <c r="J75" s="174"/>
    </row>
    <row r="76" hidden="1" customHeight="1" spans="1:10">
      <c r="A76" s="140" t="s">
        <v>85</v>
      </c>
      <c r="B76" s="140" t="s">
        <v>86</v>
      </c>
      <c r="C76" s="171">
        <v>45706</v>
      </c>
      <c r="D76" s="172" t="s">
        <v>17</v>
      </c>
      <c r="E76" s="140" t="s">
        <v>19</v>
      </c>
      <c r="F76" s="140" t="s">
        <v>90</v>
      </c>
      <c r="G76" s="140" t="s">
        <v>21</v>
      </c>
      <c r="H76" s="140" t="s">
        <v>96</v>
      </c>
      <c r="I76" s="140" t="s">
        <v>21</v>
      </c>
      <c r="J76" s="174"/>
    </row>
    <row r="77" hidden="1" customHeight="1" spans="1:10">
      <c r="A77" s="140" t="s">
        <v>85</v>
      </c>
      <c r="B77" s="140" t="s">
        <v>86</v>
      </c>
      <c r="C77" s="171">
        <v>45707</v>
      </c>
      <c r="D77" s="172" t="s">
        <v>18</v>
      </c>
      <c r="E77" s="140" t="s">
        <v>19</v>
      </c>
      <c r="F77" s="140" t="s">
        <v>43</v>
      </c>
      <c r="G77" s="140" t="s">
        <v>21</v>
      </c>
      <c r="H77" s="140" t="s">
        <v>97</v>
      </c>
      <c r="I77" s="140" t="s">
        <v>21</v>
      </c>
      <c r="J77" s="175"/>
    </row>
    <row r="78" hidden="1" customHeight="1" spans="1:10">
      <c r="A78" s="140" t="s">
        <v>85</v>
      </c>
      <c r="B78" s="140" t="s">
        <v>86</v>
      </c>
      <c r="C78" s="171">
        <v>45708</v>
      </c>
      <c r="D78" s="172" t="s">
        <v>23</v>
      </c>
      <c r="E78" s="140" t="s">
        <v>19</v>
      </c>
      <c r="F78" s="140" t="s">
        <v>98</v>
      </c>
      <c r="G78" s="140" t="s">
        <v>21</v>
      </c>
      <c r="H78" s="140" t="s">
        <v>99</v>
      </c>
      <c r="I78" s="140" t="s">
        <v>21</v>
      </c>
      <c r="J78" s="174"/>
    </row>
    <row r="79" customHeight="1" spans="1:10">
      <c r="A79" s="140" t="s">
        <v>85</v>
      </c>
      <c r="B79" s="140" t="s">
        <v>86</v>
      </c>
      <c r="C79" s="171">
        <v>45709</v>
      </c>
      <c r="D79" s="172" t="s">
        <v>25</v>
      </c>
      <c r="E79" s="140" t="s">
        <v>19</v>
      </c>
      <c r="F79" s="140" t="s">
        <v>14</v>
      </c>
      <c r="G79" s="176" t="s">
        <v>68</v>
      </c>
      <c r="H79" s="140" t="s">
        <v>14</v>
      </c>
      <c r="I79" s="176" t="s">
        <v>68</v>
      </c>
      <c r="J79" s="174" t="s">
        <v>93</v>
      </c>
    </row>
    <row r="80" hidden="1" customHeight="1" spans="1:10">
      <c r="A80" s="140" t="s">
        <v>85</v>
      </c>
      <c r="B80" s="140" t="s">
        <v>86</v>
      </c>
      <c r="C80" s="171">
        <v>45710</v>
      </c>
      <c r="D80" s="172" t="s">
        <v>27</v>
      </c>
      <c r="E80" s="173" t="s">
        <v>13</v>
      </c>
      <c r="F80" s="140" t="s">
        <v>100</v>
      </c>
      <c r="G80" s="140" t="s">
        <v>21</v>
      </c>
      <c r="H80" s="140" t="s">
        <v>101</v>
      </c>
      <c r="I80" s="140" t="s">
        <v>21</v>
      </c>
      <c r="J80" s="174"/>
    </row>
    <row r="81" hidden="1" customHeight="1" spans="1:10">
      <c r="A81" s="140" t="s">
        <v>85</v>
      </c>
      <c r="B81" s="140" t="s">
        <v>86</v>
      </c>
      <c r="C81" s="171">
        <v>45711</v>
      </c>
      <c r="D81" s="172" t="s">
        <v>15</v>
      </c>
      <c r="E81" s="173" t="s">
        <v>13</v>
      </c>
      <c r="F81" s="140" t="s">
        <v>14</v>
      </c>
      <c r="G81" s="140" t="s">
        <v>14</v>
      </c>
      <c r="H81" s="140" t="s">
        <v>14</v>
      </c>
      <c r="I81" s="140" t="s">
        <v>14</v>
      </c>
      <c r="J81" s="174"/>
    </row>
    <row r="82" customHeight="1" spans="1:10">
      <c r="A82" s="140" t="s">
        <v>85</v>
      </c>
      <c r="B82" s="140" t="s">
        <v>86</v>
      </c>
      <c r="C82" s="171">
        <v>45712</v>
      </c>
      <c r="D82" s="172" t="s">
        <v>16</v>
      </c>
      <c r="E82" s="140" t="s">
        <v>19</v>
      </c>
      <c r="F82" s="140" t="s">
        <v>102</v>
      </c>
      <c r="G82" s="177" t="s">
        <v>103</v>
      </c>
      <c r="H82" s="140" t="s">
        <v>31</v>
      </c>
      <c r="I82" s="140" t="s">
        <v>21</v>
      </c>
      <c r="J82" s="174" t="s">
        <v>69</v>
      </c>
    </row>
    <row r="83" customHeight="1" spans="1:10">
      <c r="A83" s="140" t="s">
        <v>85</v>
      </c>
      <c r="B83" s="140" t="s">
        <v>86</v>
      </c>
      <c r="C83" s="171">
        <v>45713</v>
      </c>
      <c r="D83" s="172" t="s">
        <v>17</v>
      </c>
      <c r="E83" s="140" t="s">
        <v>19</v>
      </c>
      <c r="F83" s="140" t="s">
        <v>14</v>
      </c>
      <c r="G83" s="176" t="s">
        <v>68</v>
      </c>
      <c r="H83" s="140" t="s">
        <v>14</v>
      </c>
      <c r="I83" s="176" t="s">
        <v>68</v>
      </c>
      <c r="J83" s="174" t="s">
        <v>93</v>
      </c>
    </row>
    <row r="84" customHeight="1" spans="1:10">
      <c r="A84" s="140" t="s">
        <v>85</v>
      </c>
      <c r="B84" s="140" t="s">
        <v>86</v>
      </c>
      <c r="C84" s="171">
        <v>45714</v>
      </c>
      <c r="D84" s="172" t="s">
        <v>18</v>
      </c>
      <c r="E84" s="140" t="s">
        <v>19</v>
      </c>
      <c r="F84" s="140" t="s">
        <v>14</v>
      </c>
      <c r="G84" s="176" t="s">
        <v>68</v>
      </c>
      <c r="H84" s="140" t="s">
        <v>14</v>
      </c>
      <c r="I84" s="176" t="s">
        <v>68</v>
      </c>
      <c r="J84" s="174" t="s">
        <v>93</v>
      </c>
    </row>
    <row r="85" customHeight="1" spans="1:10">
      <c r="A85" s="140" t="s">
        <v>85</v>
      </c>
      <c r="B85" s="140" t="s">
        <v>86</v>
      </c>
      <c r="C85" s="171">
        <v>45715</v>
      </c>
      <c r="D85" s="172" t="s">
        <v>23</v>
      </c>
      <c r="E85" s="140" t="s">
        <v>19</v>
      </c>
      <c r="F85" s="140" t="s">
        <v>14</v>
      </c>
      <c r="G85" s="176" t="s">
        <v>68</v>
      </c>
      <c r="H85" s="140" t="s">
        <v>14</v>
      </c>
      <c r="I85" s="176" t="s">
        <v>68</v>
      </c>
      <c r="J85" s="174" t="s">
        <v>93</v>
      </c>
    </row>
    <row r="86" customHeight="1" spans="1:10">
      <c r="A86" s="140" t="s">
        <v>85</v>
      </c>
      <c r="B86" s="140" t="s">
        <v>86</v>
      </c>
      <c r="C86" s="171">
        <v>45716</v>
      </c>
      <c r="D86" s="172" t="s">
        <v>25</v>
      </c>
      <c r="E86" s="140" t="s">
        <v>19</v>
      </c>
      <c r="F86" s="140" t="s">
        <v>14</v>
      </c>
      <c r="G86" s="176" t="s">
        <v>68</v>
      </c>
      <c r="H86" s="140" t="s">
        <v>14</v>
      </c>
      <c r="I86" s="176" t="s">
        <v>68</v>
      </c>
      <c r="J86" s="174" t="s">
        <v>93</v>
      </c>
    </row>
    <row r="87" hidden="1" customHeight="1" spans="1:10">
      <c r="A87" s="140" t="s">
        <v>104</v>
      </c>
      <c r="B87" s="140" t="s">
        <v>105</v>
      </c>
      <c r="C87" s="171">
        <v>45689</v>
      </c>
      <c r="D87" s="172" t="s">
        <v>12</v>
      </c>
      <c r="E87" s="173" t="s">
        <v>13</v>
      </c>
      <c r="F87" s="140" t="s">
        <v>14</v>
      </c>
      <c r="G87" s="140" t="s">
        <v>14</v>
      </c>
      <c r="H87" s="140" t="s">
        <v>14</v>
      </c>
      <c r="I87" s="140" t="s">
        <v>14</v>
      </c>
      <c r="J87" s="174"/>
    </row>
    <row r="88" hidden="1" customHeight="1" spans="1:10">
      <c r="A88" s="140" t="s">
        <v>104</v>
      </c>
      <c r="B88" s="140" t="s">
        <v>105</v>
      </c>
      <c r="C88" s="171">
        <v>45690</v>
      </c>
      <c r="D88" s="172" t="s">
        <v>15</v>
      </c>
      <c r="E88" s="173" t="s">
        <v>13</v>
      </c>
      <c r="F88" s="140" t="s">
        <v>14</v>
      </c>
      <c r="G88" s="140" t="s">
        <v>14</v>
      </c>
      <c r="H88" s="140" t="s">
        <v>14</v>
      </c>
      <c r="I88" s="140" t="s">
        <v>14</v>
      </c>
      <c r="J88" s="174"/>
    </row>
    <row r="89" hidden="1" customHeight="1" spans="1:10">
      <c r="A89" s="140" t="s">
        <v>104</v>
      </c>
      <c r="B89" s="140" t="s">
        <v>105</v>
      </c>
      <c r="C89" s="171">
        <v>45691</v>
      </c>
      <c r="D89" s="172" t="s">
        <v>16</v>
      </c>
      <c r="E89" s="173" t="s">
        <v>13</v>
      </c>
      <c r="F89" s="140" t="s">
        <v>14</v>
      </c>
      <c r="G89" s="140" t="s">
        <v>14</v>
      </c>
      <c r="H89" s="140" t="s">
        <v>14</v>
      </c>
      <c r="I89" s="140" t="s">
        <v>14</v>
      </c>
      <c r="J89" s="174"/>
    </row>
    <row r="90" hidden="1" customHeight="1" spans="1:10">
      <c r="A90" s="140" t="s">
        <v>104</v>
      </c>
      <c r="B90" s="140" t="s">
        <v>105</v>
      </c>
      <c r="C90" s="171">
        <v>45692</v>
      </c>
      <c r="D90" s="172" t="s">
        <v>17</v>
      </c>
      <c r="E90" s="173" t="s">
        <v>13</v>
      </c>
      <c r="F90" s="140" t="s">
        <v>14</v>
      </c>
      <c r="G90" s="140" t="s">
        <v>14</v>
      </c>
      <c r="H90" s="140" t="s">
        <v>14</v>
      </c>
      <c r="I90" s="140" t="s">
        <v>14</v>
      </c>
      <c r="J90" s="174"/>
    </row>
    <row r="91" hidden="1" customHeight="1" spans="1:10">
      <c r="A91" s="140" t="s">
        <v>104</v>
      </c>
      <c r="B91" s="140" t="s">
        <v>105</v>
      </c>
      <c r="C91" s="171">
        <v>45693</v>
      </c>
      <c r="D91" s="172" t="s">
        <v>18</v>
      </c>
      <c r="E91" s="140" t="s">
        <v>19</v>
      </c>
      <c r="F91" s="140" t="s">
        <v>94</v>
      </c>
      <c r="G91" s="140" t="s">
        <v>21</v>
      </c>
      <c r="H91" s="140" t="s">
        <v>106</v>
      </c>
      <c r="I91" s="140" t="s">
        <v>21</v>
      </c>
      <c r="J91" s="174"/>
    </row>
    <row r="92" hidden="1" customHeight="1" spans="1:10">
      <c r="A92" s="140" t="s">
        <v>104</v>
      </c>
      <c r="B92" s="140" t="s">
        <v>105</v>
      </c>
      <c r="C92" s="171">
        <v>45694</v>
      </c>
      <c r="D92" s="172" t="s">
        <v>23</v>
      </c>
      <c r="E92" s="140" t="s">
        <v>19</v>
      </c>
      <c r="F92" s="140" t="s">
        <v>107</v>
      </c>
      <c r="G92" s="140" t="s">
        <v>21</v>
      </c>
      <c r="H92" s="140" t="s">
        <v>31</v>
      </c>
      <c r="I92" s="140" t="s">
        <v>21</v>
      </c>
      <c r="J92" s="174"/>
    </row>
    <row r="93" hidden="1" customHeight="1" spans="1:10">
      <c r="A93" s="140" t="s">
        <v>104</v>
      </c>
      <c r="B93" s="140" t="s">
        <v>105</v>
      </c>
      <c r="C93" s="171">
        <v>45695</v>
      </c>
      <c r="D93" s="172" t="s">
        <v>25</v>
      </c>
      <c r="E93" s="140" t="s">
        <v>19</v>
      </c>
      <c r="F93" s="140" t="s">
        <v>108</v>
      </c>
      <c r="G93" s="140" t="s">
        <v>21</v>
      </c>
      <c r="H93" s="140" t="s">
        <v>50</v>
      </c>
      <c r="I93" s="140" t="s">
        <v>21</v>
      </c>
      <c r="J93" s="174"/>
    </row>
    <row r="94" hidden="1" customHeight="1" spans="1:10">
      <c r="A94" s="140" t="s">
        <v>104</v>
      </c>
      <c r="B94" s="140" t="s">
        <v>105</v>
      </c>
      <c r="C94" s="171">
        <v>45696</v>
      </c>
      <c r="D94" s="172" t="s">
        <v>27</v>
      </c>
      <c r="E94" s="140" t="s">
        <v>19</v>
      </c>
      <c r="F94" s="140" t="s">
        <v>49</v>
      </c>
      <c r="G94" s="140" t="s">
        <v>21</v>
      </c>
      <c r="H94" s="140" t="s">
        <v>109</v>
      </c>
      <c r="I94" s="140" t="s">
        <v>21</v>
      </c>
      <c r="J94" s="174"/>
    </row>
    <row r="95" hidden="1" customHeight="1" spans="1:10">
      <c r="A95" s="140" t="s">
        <v>104</v>
      </c>
      <c r="B95" s="140" t="s">
        <v>105</v>
      </c>
      <c r="C95" s="171">
        <v>45697</v>
      </c>
      <c r="D95" s="172" t="s">
        <v>15</v>
      </c>
      <c r="E95" s="173" t="s">
        <v>13</v>
      </c>
      <c r="F95" s="140" t="s">
        <v>14</v>
      </c>
      <c r="G95" s="140" t="s">
        <v>14</v>
      </c>
      <c r="H95" s="140" t="s">
        <v>14</v>
      </c>
      <c r="I95" s="140" t="s">
        <v>14</v>
      </c>
      <c r="J95" s="174"/>
    </row>
    <row r="96" hidden="1" customHeight="1" spans="1:10">
      <c r="A96" s="140" t="s">
        <v>104</v>
      </c>
      <c r="B96" s="140" t="s">
        <v>105</v>
      </c>
      <c r="C96" s="171">
        <v>45698</v>
      </c>
      <c r="D96" s="172" t="s">
        <v>16</v>
      </c>
      <c r="E96" s="140" t="s">
        <v>19</v>
      </c>
      <c r="F96" s="140" t="s">
        <v>110</v>
      </c>
      <c r="G96" s="140" t="s">
        <v>21</v>
      </c>
      <c r="H96" s="140" t="s">
        <v>111</v>
      </c>
      <c r="I96" s="140" t="s">
        <v>21</v>
      </c>
      <c r="J96" s="174"/>
    </row>
    <row r="97" hidden="1" customHeight="1" spans="1:10">
      <c r="A97" s="140" t="s">
        <v>104</v>
      </c>
      <c r="B97" s="140" t="s">
        <v>105</v>
      </c>
      <c r="C97" s="171">
        <v>45699</v>
      </c>
      <c r="D97" s="172" t="s">
        <v>17</v>
      </c>
      <c r="E97" s="140" t="s">
        <v>19</v>
      </c>
      <c r="F97" s="140" t="s">
        <v>94</v>
      </c>
      <c r="G97" s="140" t="s">
        <v>21</v>
      </c>
      <c r="H97" s="140" t="s">
        <v>71</v>
      </c>
      <c r="I97" s="140" t="s">
        <v>21</v>
      </c>
      <c r="J97" s="174"/>
    </row>
    <row r="98" hidden="1" customHeight="1" spans="1:10">
      <c r="A98" s="140" t="s">
        <v>104</v>
      </c>
      <c r="B98" s="140" t="s">
        <v>105</v>
      </c>
      <c r="C98" s="171">
        <v>45700</v>
      </c>
      <c r="D98" s="172" t="s">
        <v>18</v>
      </c>
      <c r="E98" s="140" t="s">
        <v>19</v>
      </c>
      <c r="F98" s="140" t="s">
        <v>98</v>
      </c>
      <c r="G98" s="140" t="s">
        <v>21</v>
      </c>
      <c r="H98" s="140" t="s">
        <v>112</v>
      </c>
      <c r="I98" s="140" t="s">
        <v>21</v>
      </c>
      <c r="J98" s="174"/>
    </row>
    <row r="99" hidden="1" customHeight="1" spans="1:10">
      <c r="A99" s="140" t="s">
        <v>104</v>
      </c>
      <c r="B99" s="140" t="s">
        <v>105</v>
      </c>
      <c r="C99" s="171">
        <v>45701</v>
      </c>
      <c r="D99" s="172" t="s">
        <v>23</v>
      </c>
      <c r="E99" s="140" t="s">
        <v>19</v>
      </c>
      <c r="F99" s="140" t="s">
        <v>40</v>
      </c>
      <c r="G99" s="140" t="s">
        <v>21</v>
      </c>
      <c r="H99" s="140" t="s">
        <v>113</v>
      </c>
      <c r="I99" s="140" t="s">
        <v>21</v>
      </c>
      <c r="J99" s="174"/>
    </row>
    <row r="100" customHeight="1" spans="1:10">
      <c r="A100" s="140" t="s">
        <v>104</v>
      </c>
      <c r="B100" s="140" t="s">
        <v>105</v>
      </c>
      <c r="C100" s="171">
        <v>45702</v>
      </c>
      <c r="D100" s="172" t="s">
        <v>25</v>
      </c>
      <c r="E100" s="140" t="s">
        <v>19</v>
      </c>
      <c r="F100" s="140" t="s">
        <v>14</v>
      </c>
      <c r="G100" s="176" t="s">
        <v>68</v>
      </c>
      <c r="H100" s="140" t="s">
        <v>114</v>
      </c>
      <c r="I100" s="140" t="s">
        <v>21</v>
      </c>
      <c r="J100" s="174" t="s">
        <v>69</v>
      </c>
    </row>
    <row r="101" hidden="1" customHeight="1" spans="1:10">
      <c r="A101" s="140" t="s">
        <v>104</v>
      </c>
      <c r="B101" s="140" t="s">
        <v>105</v>
      </c>
      <c r="C101" s="171">
        <v>45703</v>
      </c>
      <c r="D101" s="172" t="s">
        <v>27</v>
      </c>
      <c r="E101" s="173" t="s">
        <v>13</v>
      </c>
      <c r="F101" s="140" t="s">
        <v>115</v>
      </c>
      <c r="G101" s="140" t="s">
        <v>21</v>
      </c>
      <c r="H101" s="140" t="s">
        <v>14</v>
      </c>
      <c r="I101" s="140" t="s">
        <v>14</v>
      </c>
      <c r="J101" s="174"/>
    </row>
    <row r="102" hidden="1" customHeight="1" spans="1:10">
      <c r="A102" s="140" t="s">
        <v>104</v>
      </c>
      <c r="B102" s="140" t="s">
        <v>105</v>
      </c>
      <c r="C102" s="171">
        <v>45704</v>
      </c>
      <c r="D102" s="172" t="s">
        <v>15</v>
      </c>
      <c r="E102" s="173" t="s">
        <v>13</v>
      </c>
      <c r="F102" s="140" t="s">
        <v>14</v>
      </c>
      <c r="G102" s="140" t="s">
        <v>14</v>
      </c>
      <c r="H102" s="140" t="s">
        <v>14</v>
      </c>
      <c r="I102" s="140" t="s">
        <v>14</v>
      </c>
      <c r="J102" s="174"/>
    </row>
    <row r="103" hidden="1" customHeight="1" spans="1:10">
      <c r="A103" s="140" t="s">
        <v>104</v>
      </c>
      <c r="B103" s="140" t="s">
        <v>105</v>
      </c>
      <c r="C103" s="171">
        <v>45705</v>
      </c>
      <c r="D103" s="172" t="s">
        <v>16</v>
      </c>
      <c r="E103" s="140" t="s">
        <v>19</v>
      </c>
      <c r="F103" s="140" t="s">
        <v>98</v>
      </c>
      <c r="G103" s="140" t="s">
        <v>21</v>
      </c>
      <c r="H103" s="140" t="s">
        <v>116</v>
      </c>
      <c r="I103" s="140" t="s">
        <v>21</v>
      </c>
      <c r="J103" s="174"/>
    </row>
    <row r="104" hidden="1" customHeight="1" spans="1:10">
      <c r="A104" s="140" t="s">
        <v>104</v>
      </c>
      <c r="B104" s="140" t="s">
        <v>105</v>
      </c>
      <c r="C104" s="171">
        <v>45706</v>
      </c>
      <c r="D104" s="172" t="s">
        <v>17</v>
      </c>
      <c r="E104" s="140" t="s">
        <v>19</v>
      </c>
      <c r="F104" s="140" t="s">
        <v>94</v>
      </c>
      <c r="G104" s="140" t="s">
        <v>21</v>
      </c>
      <c r="H104" s="140" t="s">
        <v>109</v>
      </c>
      <c r="I104" s="140" t="s">
        <v>21</v>
      </c>
      <c r="J104" s="174"/>
    </row>
    <row r="105" hidden="1" customHeight="1" spans="1:10">
      <c r="A105" s="140" t="s">
        <v>104</v>
      </c>
      <c r="B105" s="140" t="s">
        <v>105</v>
      </c>
      <c r="C105" s="171">
        <v>45707</v>
      </c>
      <c r="D105" s="172" t="s">
        <v>18</v>
      </c>
      <c r="E105" s="140" t="s">
        <v>19</v>
      </c>
      <c r="F105" s="140" t="s">
        <v>117</v>
      </c>
      <c r="G105" s="140" t="s">
        <v>21</v>
      </c>
      <c r="H105" s="140" t="s">
        <v>118</v>
      </c>
      <c r="I105" s="140" t="s">
        <v>21</v>
      </c>
      <c r="J105" s="175"/>
    </row>
    <row r="106" hidden="1" customHeight="1" spans="1:10">
      <c r="A106" s="140" t="s">
        <v>104</v>
      </c>
      <c r="B106" s="140" t="s">
        <v>105</v>
      </c>
      <c r="C106" s="171">
        <v>45708</v>
      </c>
      <c r="D106" s="172" t="s">
        <v>23</v>
      </c>
      <c r="E106" s="140" t="s">
        <v>19</v>
      </c>
      <c r="F106" s="140" t="s">
        <v>108</v>
      </c>
      <c r="G106" s="140" t="s">
        <v>21</v>
      </c>
      <c r="H106" s="140" t="s">
        <v>119</v>
      </c>
      <c r="I106" s="140" t="s">
        <v>21</v>
      </c>
      <c r="J106" s="174"/>
    </row>
    <row r="107" customHeight="1" spans="1:10">
      <c r="A107" s="140" t="s">
        <v>104</v>
      </c>
      <c r="B107" s="140" t="s">
        <v>105</v>
      </c>
      <c r="C107" s="171">
        <v>45709</v>
      </c>
      <c r="D107" s="172" t="s">
        <v>25</v>
      </c>
      <c r="E107" s="140" t="s">
        <v>19</v>
      </c>
      <c r="F107" s="140" t="s">
        <v>14</v>
      </c>
      <c r="G107" s="176" t="s">
        <v>68</v>
      </c>
      <c r="H107" s="140" t="s">
        <v>14</v>
      </c>
      <c r="I107" s="176" t="s">
        <v>68</v>
      </c>
      <c r="J107" s="174" t="s">
        <v>69</v>
      </c>
    </row>
    <row r="108" hidden="1" customHeight="1" spans="1:10">
      <c r="A108" s="140" t="s">
        <v>104</v>
      </c>
      <c r="B108" s="140" t="s">
        <v>105</v>
      </c>
      <c r="C108" s="171">
        <v>45710</v>
      </c>
      <c r="D108" s="172" t="s">
        <v>27</v>
      </c>
      <c r="E108" s="173" t="s">
        <v>13</v>
      </c>
      <c r="F108" s="140" t="s">
        <v>14</v>
      </c>
      <c r="G108" s="140" t="s">
        <v>14</v>
      </c>
      <c r="H108" s="140" t="s">
        <v>14</v>
      </c>
      <c r="I108" s="140" t="s">
        <v>14</v>
      </c>
      <c r="J108" s="174"/>
    </row>
    <row r="109" hidden="1" customHeight="1" spans="1:10">
      <c r="A109" s="140" t="s">
        <v>104</v>
      </c>
      <c r="B109" s="140" t="s">
        <v>105</v>
      </c>
      <c r="C109" s="171">
        <v>45711</v>
      </c>
      <c r="D109" s="172" t="s">
        <v>15</v>
      </c>
      <c r="E109" s="173" t="s">
        <v>13</v>
      </c>
      <c r="F109" s="140" t="s">
        <v>14</v>
      </c>
      <c r="G109" s="140" t="s">
        <v>14</v>
      </c>
      <c r="H109" s="140" t="s">
        <v>14</v>
      </c>
      <c r="I109" s="140" t="s">
        <v>14</v>
      </c>
      <c r="J109" s="174"/>
    </row>
    <row r="110" customHeight="1" spans="1:10">
      <c r="A110" s="140" t="s">
        <v>104</v>
      </c>
      <c r="B110" s="140" t="s">
        <v>105</v>
      </c>
      <c r="C110" s="171">
        <v>45712</v>
      </c>
      <c r="D110" s="172" t="s">
        <v>16</v>
      </c>
      <c r="E110" s="140" t="s">
        <v>19</v>
      </c>
      <c r="F110" s="140" t="s">
        <v>14</v>
      </c>
      <c r="G110" s="176" t="s">
        <v>68</v>
      </c>
      <c r="H110" s="140" t="s">
        <v>14</v>
      </c>
      <c r="I110" s="176" t="s">
        <v>68</v>
      </c>
      <c r="J110" s="174" t="s">
        <v>93</v>
      </c>
    </row>
    <row r="111" customHeight="1" spans="1:10">
      <c r="A111" s="140" t="s">
        <v>104</v>
      </c>
      <c r="B111" s="140" t="s">
        <v>105</v>
      </c>
      <c r="C111" s="171">
        <v>45713</v>
      </c>
      <c r="D111" s="172" t="s">
        <v>17</v>
      </c>
      <c r="E111" s="140" t="s">
        <v>19</v>
      </c>
      <c r="F111" s="140" t="s">
        <v>14</v>
      </c>
      <c r="G111" s="176" t="s">
        <v>68</v>
      </c>
      <c r="H111" s="140" t="s">
        <v>14</v>
      </c>
      <c r="I111" s="176" t="s">
        <v>68</v>
      </c>
      <c r="J111" s="174" t="s">
        <v>93</v>
      </c>
    </row>
    <row r="112" customHeight="1" spans="1:10">
      <c r="A112" s="140" t="s">
        <v>104</v>
      </c>
      <c r="B112" s="140" t="s">
        <v>105</v>
      </c>
      <c r="C112" s="171">
        <v>45714</v>
      </c>
      <c r="D112" s="172" t="s">
        <v>18</v>
      </c>
      <c r="E112" s="140" t="s">
        <v>19</v>
      </c>
      <c r="F112" s="140" t="s">
        <v>14</v>
      </c>
      <c r="G112" s="176" t="s">
        <v>68</v>
      </c>
      <c r="H112" s="140" t="s">
        <v>14</v>
      </c>
      <c r="I112" s="176" t="s">
        <v>68</v>
      </c>
      <c r="J112" s="174" t="s">
        <v>93</v>
      </c>
    </row>
    <row r="113" customHeight="1" spans="1:10">
      <c r="A113" s="140" t="s">
        <v>104</v>
      </c>
      <c r="B113" s="140" t="s">
        <v>105</v>
      </c>
      <c r="C113" s="171">
        <v>45715</v>
      </c>
      <c r="D113" s="172" t="s">
        <v>23</v>
      </c>
      <c r="E113" s="140" t="s">
        <v>19</v>
      </c>
      <c r="F113" s="140" t="s">
        <v>14</v>
      </c>
      <c r="G113" s="176" t="s">
        <v>68</v>
      </c>
      <c r="H113" s="140" t="s">
        <v>14</v>
      </c>
      <c r="I113" s="176" t="s">
        <v>68</v>
      </c>
      <c r="J113" s="174" t="s">
        <v>93</v>
      </c>
    </row>
    <row r="114" customHeight="1" spans="1:10">
      <c r="A114" s="140" t="s">
        <v>104</v>
      </c>
      <c r="B114" s="140" t="s">
        <v>105</v>
      </c>
      <c r="C114" s="171">
        <v>45716</v>
      </c>
      <c r="D114" s="172" t="s">
        <v>25</v>
      </c>
      <c r="E114" s="140" t="s">
        <v>19</v>
      </c>
      <c r="F114" s="140" t="s">
        <v>14</v>
      </c>
      <c r="G114" s="176" t="s">
        <v>68</v>
      </c>
      <c r="H114" s="140" t="s">
        <v>14</v>
      </c>
      <c r="I114" s="176" t="s">
        <v>68</v>
      </c>
      <c r="J114" s="174" t="s">
        <v>93</v>
      </c>
    </row>
    <row r="115" hidden="1" customHeight="1" spans="1:10">
      <c r="A115" s="140" t="s">
        <v>120</v>
      </c>
      <c r="B115" s="140" t="s">
        <v>121</v>
      </c>
      <c r="C115" s="171">
        <v>45689</v>
      </c>
      <c r="D115" s="172" t="s">
        <v>12</v>
      </c>
      <c r="E115" s="173" t="s">
        <v>13</v>
      </c>
      <c r="F115" s="140" t="s">
        <v>14</v>
      </c>
      <c r="G115" s="140" t="s">
        <v>14</v>
      </c>
      <c r="H115" s="140" t="s">
        <v>14</v>
      </c>
      <c r="I115" s="140" t="s">
        <v>14</v>
      </c>
      <c r="J115" s="174"/>
    </row>
    <row r="116" hidden="1" customHeight="1" spans="1:10">
      <c r="A116" s="140" t="s">
        <v>120</v>
      </c>
      <c r="B116" s="140" t="s">
        <v>121</v>
      </c>
      <c r="C116" s="171">
        <v>45690</v>
      </c>
      <c r="D116" s="172" t="s">
        <v>15</v>
      </c>
      <c r="E116" s="173" t="s">
        <v>13</v>
      </c>
      <c r="F116" s="140" t="s">
        <v>14</v>
      </c>
      <c r="G116" s="140" t="s">
        <v>14</v>
      </c>
      <c r="H116" s="140" t="s">
        <v>14</v>
      </c>
      <c r="I116" s="140" t="s">
        <v>14</v>
      </c>
      <c r="J116" s="174"/>
    </row>
    <row r="117" hidden="1" customHeight="1" spans="1:10">
      <c r="A117" s="140" t="s">
        <v>120</v>
      </c>
      <c r="B117" s="140" t="s">
        <v>121</v>
      </c>
      <c r="C117" s="171">
        <v>45691</v>
      </c>
      <c r="D117" s="172" t="s">
        <v>16</v>
      </c>
      <c r="E117" s="173" t="s">
        <v>13</v>
      </c>
      <c r="F117" s="140" t="s">
        <v>14</v>
      </c>
      <c r="G117" s="140" t="s">
        <v>14</v>
      </c>
      <c r="H117" s="140" t="s">
        <v>14</v>
      </c>
      <c r="I117" s="140" t="s">
        <v>14</v>
      </c>
      <c r="J117" s="175"/>
    </row>
    <row r="118" hidden="1" customHeight="1" spans="1:10">
      <c r="A118" s="140" t="s">
        <v>120</v>
      </c>
      <c r="B118" s="140" t="s">
        <v>121</v>
      </c>
      <c r="C118" s="171">
        <v>45692</v>
      </c>
      <c r="D118" s="172" t="s">
        <v>17</v>
      </c>
      <c r="E118" s="173" t="s">
        <v>13</v>
      </c>
      <c r="F118" s="140" t="s">
        <v>14</v>
      </c>
      <c r="G118" s="140" t="s">
        <v>14</v>
      </c>
      <c r="H118" s="140" t="s">
        <v>14</v>
      </c>
      <c r="I118" s="140" t="s">
        <v>14</v>
      </c>
      <c r="J118" s="174"/>
    </row>
    <row r="119" hidden="1" customHeight="1" spans="1:10">
      <c r="A119" s="140" t="s">
        <v>120</v>
      </c>
      <c r="B119" s="140" t="s">
        <v>121</v>
      </c>
      <c r="C119" s="171">
        <v>45693</v>
      </c>
      <c r="D119" s="172" t="s">
        <v>18</v>
      </c>
      <c r="E119" s="140" t="s">
        <v>19</v>
      </c>
      <c r="F119" s="140" t="s">
        <v>84</v>
      </c>
      <c r="G119" s="140" t="s">
        <v>21</v>
      </c>
      <c r="H119" s="140" t="s">
        <v>122</v>
      </c>
      <c r="I119" s="140" t="s">
        <v>21</v>
      </c>
      <c r="J119" s="175"/>
    </row>
    <row r="120" hidden="1" customHeight="1" spans="1:10">
      <c r="A120" s="140" t="s">
        <v>120</v>
      </c>
      <c r="B120" s="140" t="s">
        <v>121</v>
      </c>
      <c r="C120" s="171">
        <v>45694</v>
      </c>
      <c r="D120" s="172" t="s">
        <v>23</v>
      </c>
      <c r="E120" s="140" t="s">
        <v>19</v>
      </c>
      <c r="F120" s="140" t="s">
        <v>117</v>
      </c>
      <c r="G120" s="140" t="s">
        <v>21</v>
      </c>
      <c r="H120" s="140" t="s">
        <v>123</v>
      </c>
      <c r="I120" s="140" t="s">
        <v>21</v>
      </c>
      <c r="J120" s="175"/>
    </row>
    <row r="121" hidden="1" customHeight="1" spans="1:10">
      <c r="A121" s="140" t="s">
        <v>120</v>
      </c>
      <c r="B121" s="140" t="s">
        <v>121</v>
      </c>
      <c r="C121" s="171">
        <v>45695</v>
      </c>
      <c r="D121" s="172" t="s">
        <v>25</v>
      </c>
      <c r="E121" s="140" t="s">
        <v>19</v>
      </c>
      <c r="F121" s="140" t="s">
        <v>110</v>
      </c>
      <c r="G121" s="140" t="s">
        <v>21</v>
      </c>
      <c r="H121" s="140" t="s">
        <v>124</v>
      </c>
      <c r="I121" s="140" t="s">
        <v>21</v>
      </c>
      <c r="J121" s="174"/>
    </row>
    <row r="122" hidden="1" customHeight="1" spans="1:10">
      <c r="A122" s="140" t="s">
        <v>120</v>
      </c>
      <c r="B122" s="140" t="s">
        <v>121</v>
      </c>
      <c r="C122" s="171">
        <v>45696</v>
      </c>
      <c r="D122" s="172" t="s">
        <v>27</v>
      </c>
      <c r="E122" s="140" t="s">
        <v>19</v>
      </c>
      <c r="F122" s="140" t="s">
        <v>98</v>
      </c>
      <c r="G122" s="140" t="s">
        <v>21</v>
      </c>
      <c r="H122" s="140" t="s">
        <v>125</v>
      </c>
      <c r="I122" s="140" t="s">
        <v>21</v>
      </c>
      <c r="J122" s="174"/>
    </row>
    <row r="123" hidden="1" customHeight="1" spans="1:10">
      <c r="A123" s="140" t="s">
        <v>120</v>
      </c>
      <c r="B123" s="140" t="s">
        <v>121</v>
      </c>
      <c r="C123" s="171">
        <v>45697</v>
      </c>
      <c r="D123" s="172" t="s">
        <v>15</v>
      </c>
      <c r="E123" s="173" t="s">
        <v>13</v>
      </c>
      <c r="F123" s="140" t="s">
        <v>14</v>
      </c>
      <c r="G123" s="140" t="s">
        <v>14</v>
      </c>
      <c r="H123" s="140" t="s">
        <v>14</v>
      </c>
      <c r="I123" s="140" t="s">
        <v>14</v>
      </c>
      <c r="J123" s="174"/>
    </row>
    <row r="124" hidden="1" customHeight="1" spans="1:10">
      <c r="A124" s="140" t="s">
        <v>120</v>
      </c>
      <c r="B124" s="140" t="s">
        <v>121</v>
      </c>
      <c r="C124" s="171">
        <v>45698</v>
      </c>
      <c r="D124" s="172" t="s">
        <v>16</v>
      </c>
      <c r="E124" s="140" t="s">
        <v>19</v>
      </c>
      <c r="F124" s="140" t="s">
        <v>126</v>
      </c>
      <c r="G124" s="140" t="s">
        <v>21</v>
      </c>
      <c r="H124" s="140" t="s">
        <v>118</v>
      </c>
      <c r="I124" s="140" t="s">
        <v>21</v>
      </c>
      <c r="J124" s="174"/>
    </row>
    <row r="125" hidden="1" customHeight="1" spans="1:10">
      <c r="A125" s="140" t="s">
        <v>120</v>
      </c>
      <c r="B125" s="140" t="s">
        <v>121</v>
      </c>
      <c r="C125" s="171">
        <v>45699</v>
      </c>
      <c r="D125" s="172" t="s">
        <v>17</v>
      </c>
      <c r="E125" s="140" t="s">
        <v>19</v>
      </c>
      <c r="F125" s="140" t="s">
        <v>127</v>
      </c>
      <c r="G125" s="140" t="s">
        <v>21</v>
      </c>
      <c r="H125" s="140" t="s">
        <v>128</v>
      </c>
      <c r="I125" s="140" t="s">
        <v>21</v>
      </c>
      <c r="J125" s="174"/>
    </row>
    <row r="126" customHeight="1" spans="1:10">
      <c r="A126" s="140" t="s">
        <v>120</v>
      </c>
      <c r="B126" s="140" t="s">
        <v>121</v>
      </c>
      <c r="C126" s="171">
        <v>45700</v>
      </c>
      <c r="D126" s="172" t="s">
        <v>18</v>
      </c>
      <c r="E126" s="140" t="s">
        <v>19</v>
      </c>
      <c r="F126" s="140" t="s">
        <v>129</v>
      </c>
      <c r="G126" s="140" t="s">
        <v>21</v>
      </c>
      <c r="H126" s="140" t="s">
        <v>14</v>
      </c>
      <c r="I126" s="176" t="s">
        <v>68</v>
      </c>
      <c r="J126" s="174" t="s">
        <v>69</v>
      </c>
    </row>
    <row r="127" hidden="1" customHeight="1" spans="1:10">
      <c r="A127" s="140" t="s">
        <v>120</v>
      </c>
      <c r="B127" s="140" t="s">
        <v>121</v>
      </c>
      <c r="C127" s="171">
        <v>45701</v>
      </c>
      <c r="D127" s="172" t="s">
        <v>23</v>
      </c>
      <c r="E127" s="140" t="s">
        <v>19</v>
      </c>
      <c r="F127" s="140" t="s">
        <v>107</v>
      </c>
      <c r="G127" s="140" t="s">
        <v>21</v>
      </c>
      <c r="H127" s="140" t="s">
        <v>130</v>
      </c>
      <c r="I127" s="140" t="s">
        <v>21</v>
      </c>
      <c r="J127" s="174"/>
    </row>
    <row r="128" hidden="1" customHeight="1" spans="1:10">
      <c r="A128" s="140" t="s">
        <v>120</v>
      </c>
      <c r="B128" s="140" t="s">
        <v>121</v>
      </c>
      <c r="C128" s="171">
        <v>45702</v>
      </c>
      <c r="D128" s="172" t="s">
        <v>25</v>
      </c>
      <c r="E128" s="140" t="s">
        <v>19</v>
      </c>
      <c r="F128" s="140" t="s">
        <v>131</v>
      </c>
      <c r="G128" s="140" t="s">
        <v>21</v>
      </c>
      <c r="H128" s="140" t="s">
        <v>132</v>
      </c>
      <c r="I128" s="140" t="s">
        <v>21</v>
      </c>
      <c r="J128" s="174"/>
    </row>
    <row r="129" hidden="1" customHeight="1" spans="1:10">
      <c r="A129" s="140" t="s">
        <v>120</v>
      </c>
      <c r="B129" s="140" t="s">
        <v>121</v>
      </c>
      <c r="C129" s="171">
        <v>45703</v>
      </c>
      <c r="D129" s="172" t="s">
        <v>27</v>
      </c>
      <c r="E129" s="173" t="s">
        <v>13</v>
      </c>
      <c r="F129" s="140" t="s">
        <v>74</v>
      </c>
      <c r="G129" s="140" t="s">
        <v>21</v>
      </c>
      <c r="H129" s="140" t="s">
        <v>14</v>
      </c>
      <c r="I129" s="140" t="s">
        <v>14</v>
      </c>
      <c r="J129" s="174"/>
    </row>
    <row r="130" hidden="1" customHeight="1" spans="1:10">
      <c r="A130" s="140" t="s">
        <v>120</v>
      </c>
      <c r="B130" s="140" t="s">
        <v>121</v>
      </c>
      <c r="C130" s="171">
        <v>45704</v>
      </c>
      <c r="D130" s="172" t="s">
        <v>15</v>
      </c>
      <c r="E130" s="173" t="s">
        <v>13</v>
      </c>
      <c r="F130" s="140" t="s">
        <v>14</v>
      </c>
      <c r="G130" s="140" t="s">
        <v>14</v>
      </c>
      <c r="H130" s="140" t="s">
        <v>14</v>
      </c>
      <c r="I130" s="140" t="s">
        <v>14</v>
      </c>
      <c r="J130" s="174"/>
    </row>
    <row r="131" hidden="1" customHeight="1" spans="1:10">
      <c r="A131" s="140" t="s">
        <v>120</v>
      </c>
      <c r="B131" s="140" t="s">
        <v>121</v>
      </c>
      <c r="C131" s="171">
        <v>45705</v>
      </c>
      <c r="D131" s="172" t="s">
        <v>16</v>
      </c>
      <c r="E131" s="140" t="s">
        <v>19</v>
      </c>
      <c r="F131" s="140" t="s">
        <v>133</v>
      </c>
      <c r="G131" s="140" t="s">
        <v>21</v>
      </c>
      <c r="H131" s="140" t="s">
        <v>134</v>
      </c>
      <c r="I131" s="140" t="s">
        <v>21</v>
      </c>
      <c r="J131" s="174"/>
    </row>
    <row r="132" customHeight="1" spans="1:10">
      <c r="A132" s="140" t="s">
        <v>120</v>
      </c>
      <c r="B132" s="140" t="s">
        <v>121</v>
      </c>
      <c r="C132" s="171">
        <v>45706</v>
      </c>
      <c r="D132" s="172" t="s">
        <v>17</v>
      </c>
      <c r="E132" s="140" t="s">
        <v>19</v>
      </c>
      <c r="F132" s="140" t="s">
        <v>135</v>
      </c>
      <c r="G132" s="140" t="s">
        <v>21</v>
      </c>
      <c r="H132" s="140" t="s">
        <v>14</v>
      </c>
      <c r="I132" s="176" t="s">
        <v>68</v>
      </c>
      <c r="J132" s="174" t="s">
        <v>136</v>
      </c>
    </row>
    <row r="133" hidden="1" customHeight="1" spans="1:10">
      <c r="A133" s="140" t="s">
        <v>120</v>
      </c>
      <c r="B133" s="140" t="s">
        <v>121</v>
      </c>
      <c r="C133" s="171">
        <v>45707</v>
      </c>
      <c r="D133" s="172" t="s">
        <v>18</v>
      </c>
      <c r="E133" s="140" t="s">
        <v>19</v>
      </c>
      <c r="F133" s="140" t="s">
        <v>117</v>
      </c>
      <c r="G133" s="140" t="s">
        <v>21</v>
      </c>
      <c r="H133" s="140" t="s">
        <v>61</v>
      </c>
      <c r="I133" s="140" t="s">
        <v>21</v>
      </c>
      <c r="J133" s="174"/>
    </row>
    <row r="134" hidden="1" customHeight="1" spans="1:10">
      <c r="A134" s="140" t="s">
        <v>120</v>
      </c>
      <c r="B134" s="140" t="s">
        <v>121</v>
      </c>
      <c r="C134" s="171">
        <v>45708</v>
      </c>
      <c r="D134" s="172" t="s">
        <v>23</v>
      </c>
      <c r="E134" s="140" t="s">
        <v>19</v>
      </c>
      <c r="F134" s="140" t="s">
        <v>137</v>
      </c>
      <c r="G134" s="140" t="s">
        <v>21</v>
      </c>
      <c r="H134" s="140" t="s">
        <v>138</v>
      </c>
      <c r="I134" s="140" t="s">
        <v>21</v>
      </c>
      <c r="J134" s="174"/>
    </row>
    <row r="135" hidden="1" customHeight="1" spans="1:10">
      <c r="A135" s="140" t="s">
        <v>120</v>
      </c>
      <c r="B135" s="140" t="s">
        <v>121</v>
      </c>
      <c r="C135" s="171">
        <v>45709</v>
      </c>
      <c r="D135" s="172" t="s">
        <v>25</v>
      </c>
      <c r="E135" s="140" t="s">
        <v>19</v>
      </c>
      <c r="F135" s="140" t="s">
        <v>49</v>
      </c>
      <c r="G135" s="140" t="s">
        <v>21</v>
      </c>
      <c r="H135" s="140" t="s">
        <v>37</v>
      </c>
      <c r="I135" s="140" t="s">
        <v>21</v>
      </c>
      <c r="J135" s="174"/>
    </row>
    <row r="136" hidden="1" customHeight="1" spans="1:10">
      <c r="A136" s="140" t="s">
        <v>120</v>
      </c>
      <c r="B136" s="140" t="s">
        <v>121</v>
      </c>
      <c r="C136" s="171">
        <v>45710</v>
      </c>
      <c r="D136" s="172" t="s">
        <v>27</v>
      </c>
      <c r="E136" s="173" t="s">
        <v>13</v>
      </c>
      <c r="F136" s="140" t="s">
        <v>139</v>
      </c>
      <c r="G136" s="140" t="s">
        <v>21</v>
      </c>
      <c r="H136" s="140" t="s">
        <v>140</v>
      </c>
      <c r="I136" s="140" t="s">
        <v>21</v>
      </c>
      <c r="J136" s="174"/>
    </row>
    <row r="137" hidden="1" customHeight="1" spans="1:10">
      <c r="A137" s="140" t="s">
        <v>120</v>
      </c>
      <c r="B137" s="140" t="s">
        <v>121</v>
      </c>
      <c r="C137" s="171">
        <v>45711</v>
      </c>
      <c r="D137" s="172" t="s">
        <v>15</v>
      </c>
      <c r="E137" s="173" t="s">
        <v>13</v>
      </c>
      <c r="F137" s="140" t="s">
        <v>14</v>
      </c>
      <c r="G137" s="140" t="s">
        <v>14</v>
      </c>
      <c r="H137" s="140" t="s">
        <v>14</v>
      </c>
      <c r="I137" s="140" t="s">
        <v>14</v>
      </c>
      <c r="J137" s="174"/>
    </row>
    <row r="138" hidden="1" customHeight="1" spans="1:10">
      <c r="A138" s="140" t="s">
        <v>120</v>
      </c>
      <c r="B138" s="140" t="s">
        <v>121</v>
      </c>
      <c r="C138" s="171">
        <v>45712</v>
      </c>
      <c r="D138" s="172" t="s">
        <v>16</v>
      </c>
      <c r="E138" s="140" t="s">
        <v>19</v>
      </c>
      <c r="F138" s="140" t="s">
        <v>133</v>
      </c>
      <c r="G138" s="140" t="s">
        <v>21</v>
      </c>
      <c r="H138" s="140" t="s">
        <v>141</v>
      </c>
      <c r="I138" s="140" t="s">
        <v>21</v>
      </c>
      <c r="J138" s="174"/>
    </row>
    <row r="139" hidden="1" customHeight="1" spans="1:10">
      <c r="A139" s="140" t="s">
        <v>120</v>
      </c>
      <c r="B139" s="140" t="s">
        <v>121</v>
      </c>
      <c r="C139" s="171">
        <v>45713</v>
      </c>
      <c r="D139" s="172" t="s">
        <v>17</v>
      </c>
      <c r="E139" s="140" t="s">
        <v>19</v>
      </c>
      <c r="F139" s="140" t="s">
        <v>137</v>
      </c>
      <c r="G139" s="140" t="s">
        <v>21</v>
      </c>
      <c r="H139" s="140" t="s">
        <v>142</v>
      </c>
      <c r="I139" s="140" t="s">
        <v>21</v>
      </c>
      <c r="J139" s="174"/>
    </row>
    <row r="140" hidden="1" customHeight="1" spans="1:10">
      <c r="A140" s="140" t="s">
        <v>120</v>
      </c>
      <c r="B140" s="140" t="s">
        <v>121</v>
      </c>
      <c r="C140" s="171">
        <v>45714</v>
      </c>
      <c r="D140" s="172" t="s">
        <v>18</v>
      </c>
      <c r="E140" s="140" t="s">
        <v>19</v>
      </c>
      <c r="F140" s="140" t="s">
        <v>143</v>
      </c>
      <c r="G140" s="140" t="s">
        <v>21</v>
      </c>
      <c r="H140" s="140" t="s">
        <v>144</v>
      </c>
      <c r="I140" s="140" t="s">
        <v>21</v>
      </c>
      <c r="J140" s="175"/>
    </row>
    <row r="141" customHeight="1" spans="1:10">
      <c r="A141" s="140" t="s">
        <v>120</v>
      </c>
      <c r="B141" s="140" t="s">
        <v>121</v>
      </c>
      <c r="C141" s="171">
        <v>45715</v>
      </c>
      <c r="D141" s="172" t="s">
        <v>23</v>
      </c>
      <c r="E141" s="140" t="s">
        <v>19</v>
      </c>
      <c r="F141" s="140" t="s">
        <v>14</v>
      </c>
      <c r="G141" s="176" t="s">
        <v>68</v>
      </c>
      <c r="H141" s="140" t="s">
        <v>145</v>
      </c>
      <c r="I141" s="140" t="s">
        <v>21</v>
      </c>
      <c r="J141" s="174" t="s">
        <v>69</v>
      </c>
    </row>
    <row r="142" hidden="1" customHeight="1" spans="1:10">
      <c r="A142" s="140" t="s">
        <v>120</v>
      </c>
      <c r="B142" s="140" t="s">
        <v>121</v>
      </c>
      <c r="C142" s="171">
        <v>45716</v>
      </c>
      <c r="D142" s="172" t="s">
        <v>25</v>
      </c>
      <c r="E142" s="140" t="s">
        <v>19</v>
      </c>
      <c r="F142" s="140" t="s">
        <v>146</v>
      </c>
      <c r="G142" s="140" t="s">
        <v>21</v>
      </c>
      <c r="H142" s="140" t="s">
        <v>147</v>
      </c>
      <c r="I142" s="140" t="s">
        <v>21</v>
      </c>
      <c r="J142" s="174"/>
    </row>
    <row r="143" hidden="1" customHeight="1" spans="1:10">
      <c r="A143" s="140" t="s">
        <v>148</v>
      </c>
      <c r="B143" s="140" t="s">
        <v>149</v>
      </c>
      <c r="C143" s="171">
        <v>45689</v>
      </c>
      <c r="D143" s="172" t="s">
        <v>12</v>
      </c>
      <c r="E143" s="173" t="s">
        <v>13</v>
      </c>
      <c r="F143" s="140" t="s">
        <v>14</v>
      </c>
      <c r="G143" s="140" t="s">
        <v>14</v>
      </c>
      <c r="H143" s="140" t="s">
        <v>14</v>
      </c>
      <c r="I143" s="140" t="s">
        <v>14</v>
      </c>
      <c r="J143" s="174"/>
    </row>
    <row r="144" hidden="1" customHeight="1" spans="1:10">
      <c r="A144" s="140" t="s">
        <v>148</v>
      </c>
      <c r="B144" s="140" t="s">
        <v>149</v>
      </c>
      <c r="C144" s="171">
        <v>45690</v>
      </c>
      <c r="D144" s="172" t="s">
        <v>15</v>
      </c>
      <c r="E144" s="173" t="s">
        <v>13</v>
      </c>
      <c r="F144" s="140" t="s">
        <v>14</v>
      </c>
      <c r="G144" s="140" t="s">
        <v>14</v>
      </c>
      <c r="H144" s="140" t="s">
        <v>14</v>
      </c>
      <c r="I144" s="140" t="s">
        <v>14</v>
      </c>
      <c r="J144" s="174"/>
    </row>
    <row r="145" hidden="1" customHeight="1" spans="1:10">
      <c r="A145" s="140" t="s">
        <v>148</v>
      </c>
      <c r="B145" s="140" t="s">
        <v>149</v>
      </c>
      <c r="C145" s="171">
        <v>45691</v>
      </c>
      <c r="D145" s="172" t="s">
        <v>16</v>
      </c>
      <c r="E145" s="173" t="s">
        <v>13</v>
      </c>
      <c r="F145" s="140" t="s">
        <v>14</v>
      </c>
      <c r="G145" s="140" t="s">
        <v>14</v>
      </c>
      <c r="H145" s="140" t="s">
        <v>14</v>
      </c>
      <c r="I145" s="140" t="s">
        <v>14</v>
      </c>
      <c r="J145" s="174"/>
    </row>
    <row r="146" hidden="1" customHeight="1" spans="1:10">
      <c r="A146" s="140" t="s">
        <v>148</v>
      </c>
      <c r="B146" s="140" t="s">
        <v>149</v>
      </c>
      <c r="C146" s="171">
        <v>45692</v>
      </c>
      <c r="D146" s="172" t="s">
        <v>17</v>
      </c>
      <c r="E146" s="173" t="s">
        <v>13</v>
      </c>
      <c r="F146" s="140" t="s">
        <v>14</v>
      </c>
      <c r="G146" s="140" t="s">
        <v>14</v>
      </c>
      <c r="H146" s="140" t="s">
        <v>14</v>
      </c>
      <c r="I146" s="140" t="s">
        <v>14</v>
      </c>
      <c r="J146" s="174"/>
    </row>
    <row r="147" hidden="1" customHeight="1" spans="1:10">
      <c r="A147" s="140" t="s">
        <v>148</v>
      </c>
      <c r="B147" s="140" t="s">
        <v>149</v>
      </c>
      <c r="C147" s="171">
        <v>45693</v>
      </c>
      <c r="D147" s="172" t="s">
        <v>18</v>
      </c>
      <c r="E147" s="140" t="s">
        <v>19</v>
      </c>
      <c r="F147" s="140" t="s">
        <v>108</v>
      </c>
      <c r="G147" s="140" t="s">
        <v>21</v>
      </c>
      <c r="H147" s="140" t="s">
        <v>142</v>
      </c>
      <c r="I147" s="140" t="s">
        <v>21</v>
      </c>
      <c r="J147" s="174"/>
    </row>
    <row r="148" hidden="1" customHeight="1" spans="1:10">
      <c r="A148" s="140" t="s">
        <v>148</v>
      </c>
      <c r="B148" s="140" t="s">
        <v>149</v>
      </c>
      <c r="C148" s="171">
        <v>45694</v>
      </c>
      <c r="D148" s="172" t="s">
        <v>23</v>
      </c>
      <c r="E148" s="140" t="s">
        <v>19</v>
      </c>
      <c r="F148" s="140" t="s">
        <v>150</v>
      </c>
      <c r="G148" s="140" t="s">
        <v>21</v>
      </c>
      <c r="H148" s="140" t="s">
        <v>78</v>
      </c>
      <c r="I148" s="140" t="s">
        <v>21</v>
      </c>
      <c r="J148" s="174"/>
    </row>
    <row r="149" hidden="1" customHeight="1" spans="1:10">
      <c r="A149" s="140" t="s">
        <v>148</v>
      </c>
      <c r="B149" s="140" t="s">
        <v>149</v>
      </c>
      <c r="C149" s="171">
        <v>45695</v>
      </c>
      <c r="D149" s="172" t="s">
        <v>25</v>
      </c>
      <c r="E149" s="140" t="s">
        <v>19</v>
      </c>
      <c r="F149" s="140" t="s">
        <v>20</v>
      </c>
      <c r="G149" s="140" t="s">
        <v>21</v>
      </c>
      <c r="H149" s="140" t="s">
        <v>151</v>
      </c>
      <c r="I149" s="140" t="s">
        <v>21</v>
      </c>
      <c r="J149" s="174"/>
    </row>
    <row r="150" hidden="1" customHeight="1" spans="1:10">
      <c r="A150" s="140" t="s">
        <v>148</v>
      </c>
      <c r="B150" s="140" t="s">
        <v>149</v>
      </c>
      <c r="C150" s="171">
        <v>45696</v>
      </c>
      <c r="D150" s="172" t="s">
        <v>27</v>
      </c>
      <c r="E150" s="140" t="s">
        <v>19</v>
      </c>
      <c r="F150" s="140" t="s">
        <v>28</v>
      </c>
      <c r="G150" s="140" t="s">
        <v>21</v>
      </c>
      <c r="H150" s="140" t="s">
        <v>152</v>
      </c>
      <c r="I150" s="140" t="s">
        <v>21</v>
      </c>
      <c r="J150" s="174"/>
    </row>
    <row r="151" hidden="1" customHeight="1" spans="1:10">
      <c r="A151" s="140" t="s">
        <v>148</v>
      </c>
      <c r="B151" s="140" t="s">
        <v>149</v>
      </c>
      <c r="C151" s="171">
        <v>45697</v>
      </c>
      <c r="D151" s="172" t="s">
        <v>15</v>
      </c>
      <c r="E151" s="173" t="s">
        <v>13</v>
      </c>
      <c r="F151" s="140" t="s">
        <v>14</v>
      </c>
      <c r="G151" s="140" t="s">
        <v>14</v>
      </c>
      <c r="H151" s="140" t="s">
        <v>14</v>
      </c>
      <c r="I151" s="140" t="s">
        <v>14</v>
      </c>
      <c r="J151" s="174"/>
    </row>
    <row r="152" hidden="1" customHeight="1" spans="1:10">
      <c r="A152" s="140" t="s">
        <v>148</v>
      </c>
      <c r="B152" s="140" t="s">
        <v>149</v>
      </c>
      <c r="C152" s="171">
        <v>45698</v>
      </c>
      <c r="D152" s="172" t="s">
        <v>16</v>
      </c>
      <c r="E152" s="140" t="s">
        <v>19</v>
      </c>
      <c r="F152" s="140" t="s">
        <v>40</v>
      </c>
      <c r="G152" s="140" t="s">
        <v>21</v>
      </c>
      <c r="H152" s="140" t="s">
        <v>153</v>
      </c>
      <c r="I152" s="140" t="s">
        <v>21</v>
      </c>
      <c r="J152" s="174"/>
    </row>
    <row r="153" hidden="1" customHeight="1" spans="1:10">
      <c r="A153" s="140" t="s">
        <v>148</v>
      </c>
      <c r="B153" s="140" t="s">
        <v>149</v>
      </c>
      <c r="C153" s="171">
        <v>45699</v>
      </c>
      <c r="D153" s="172" t="s">
        <v>17</v>
      </c>
      <c r="E153" s="140" t="s">
        <v>19</v>
      </c>
      <c r="F153" s="140" t="s">
        <v>154</v>
      </c>
      <c r="G153" s="140" t="s">
        <v>21</v>
      </c>
      <c r="H153" s="140" t="s">
        <v>155</v>
      </c>
      <c r="I153" s="140" t="s">
        <v>21</v>
      </c>
      <c r="J153" s="174"/>
    </row>
    <row r="154" hidden="1" customHeight="1" spans="1:10">
      <c r="A154" s="140" t="s">
        <v>148</v>
      </c>
      <c r="B154" s="140" t="s">
        <v>149</v>
      </c>
      <c r="C154" s="171">
        <v>45700</v>
      </c>
      <c r="D154" s="172" t="s">
        <v>18</v>
      </c>
      <c r="E154" s="140" t="s">
        <v>19</v>
      </c>
      <c r="F154" s="140" t="s">
        <v>46</v>
      </c>
      <c r="G154" s="140" t="s">
        <v>21</v>
      </c>
      <c r="H154" s="140" t="s">
        <v>156</v>
      </c>
      <c r="I154" s="140" t="s">
        <v>21</v>
      </c>
      <c r="J154" s="174"/>
    </row>
    <row r="155" customHeight="1" spans="1:10">
      <c r="A155" s="140" t="s">
        <v>148</v>
      </c>
      <c r="B155" s="140" t="s">
        <v>149</v>
      </c>
      <c r="C155" s="171">
        <v>45701</v>
      </c>
      <c r="D155" s="172" t="s">
        <v>23</v>
      </c>
      <c r="E155" s="140" t="s">
        <v>19</v>
      </c>
      <c r="F155" s="140" t="s">
        <v>30</v>
      </c>
      <c r="G155" s="140" t="s">
        <v>21</v>
      </c>
      <c r="H155" s="140" t="s">
        <v>14</v>
      </c>
      <c r="I155" s="176" t="s">
        <v>68</v>
      </c>
      <c r="J155" s="174" t="s">
        <v>69</v>
      </c>
    </row>
    <row r="156" customHeight="1" spans="1:10">
      <c r="A156" s="140" t="s">
        <v>148</v>
      </c>
      <c r="B156" s="140" t="s">
        <v>149</v>
      </c>
      <c r="C156" s="171">
        <v>45702</v>
      </c>
      <c r="D156" s="172" t="s">
        <v>25</v>
      </c>
      <c r="E156" s="140" t="s">
        <v>19</v>
      </c>
      <c r="F156" s="140" t="s">
        <v>157</v>
      </c>
      <c r="G156" s="140" t="s">
        <v>21</v>
      </c>
      <c r="H156" s="140" t="s">
        <v>14</v>
      </c>
      <c r="I156" s="176" t="s">
        <v>68</v>
      </c>
      <c r="J156" s="174" t="s">
        <v>69</v>
      </c>
    </row>
    <row r="157" hidden="1" customHeight="1" spans="1:10">
      <c r="A157" s="140" t="s">
        <v>148</v>
      </c>
      <c r="B157" s="140" t="s">
        <v>149</v>
      </c>
      <c r="C157" s="171">
        <v>45703</v>
      </c>
      <c r="D157" s="172" t="s">
        <v>27</v>
      </c>
      <c r="E157" s="173" t="s">
        <v>13</v>
      </c>
      <c r="F157" s="140" t="s">
        <v>14</v>
      </c>
      <c r="G157" s="140" t="s">
        <v>14</v>
      </c>
      <c r="H157" s="140" t="s">
        <v>14</v>
      </c>
      <c r="I157" s="140" t="s">
        <v>14</v>
      </c>
      <c r="J157" s="174"/>
    </row>
    <row r="158" hidden="1" customHeight="1" spans="1:10">
      <c r="A158" s="140" t="s">
        <v>148</v>
      </c>
      <c r="B158" s="140" t="s">
        <v>149</v>
      </c>
      <c r="C158" s="171">
        <v>45704</v>
      </c>
      <c r="D158" s="172" t="s">
        <v>15</v>
      </c>
      <c r="E158" s="173" t="s">
        <v>13</v>
      </c>
      <c r="F158" s="140" t="s">
        <v>14</v>
      </c>
      <c r="G158" s="140" t="s">
        <v>14</v>
      </c>
      <c r="H158" s="140" t="s">
        <v>14</v>
      </c>
      <c r="I158" s="140" t="s">
        <v>14</v>
      </c>
      <c r="J158" s="174"/>
    </row>
    <row r="159" hidden="1" customHeight="1" spans="1:10">
      <c r="A159" s="140" t="s">
        <v>148</v>
      </c>
      <c r="B159" s="140" t="s">
        <v>149</v>
      </c>
      <c r="C159" s="171">
        <v>45705</v>
      </c>
      <c r="D159" s="172" t="s">
        <v>16</v>
      </c>
      <c r="E159" s="140" t="s">
        <v>19</v>
      </c>
      <c r="F159" s="140" t="s">
        <v>30</v>
      </c>
      <c r="G159" s="140" t="s">
        <v>21</v>
      </c>
      <c r="H159" s="140" t="s">
        <v>116</v>
      </c>
      <c r="I159" s="140" t="s">
        <v>21</v>
      </c>
      <c r="J159" s="175"/>
    </row>
    <row r="160" hidden="1" customHeight="1" spans="1:10">
      <c r="A160" s="140" t="s">
        <v>148</v>
      </c>
      <c r="B160" s="140" t="s">
        <v>149</v>
      </c>
      <c r="C160" s="171">
        <v>45706</v>
      </c>
      <c r="D160" s="172" t="s">
        <v>17</v>
      </c>
      <c r="E160" s="140" t="s">
        <v>19</v>
      </c>
      <c r="F160" s="140" t="s">
        <v>43</v>
      </c>
      <c r="G160" s="140" t="s">
        <v>21</v>
      </c>
      <c r="H160" s="140" t="s">
        <v>158</v>
      </c>
      <c r="I160" s="140" t="s">
        <v>21</v>
      </c>
      <c r="J160" s="174"/>
    </row>
    <row r="161" hidden="1" customHeight="1" spans="1:10">
      <c r="A161" s="140" t="s">
        <v>148</v>
      </c>
      <c r="B161" s="140" t="s">
        <v>149</v>
      </c>
      <c r="C161" s="171">
        <v>45707</v>
      </c>
      <c r="D161" s="172" t="s">
        <v>18</v>
      </c>
      <c r="E161" s="140" t="s">
        <v>19</v>
      </c>
      <c r="F161" s="140" t="s">
        <v>36</v>
      </c>
      <c r="G161" s="140" t="s">
        <v>21</v>
      </c>
      <c r="H161" s="140" t="s">
        <v>159</v>
      </c>
      <c r="I161" s="140" t="s">
        <v>21</v>
      </c>
      <c r="J161" s="174"/>
    </row>
    <row r="162" customHeight="1" spans="1:10">
      <c r="A162" s="140" t="s">
        <v>148</v>
      </c>
      <c r="B162" s="140" t="s">
        <v>149</v>
      </c>
      <c r="C162" s="171">
        <v>45708</v>
      </c>
      <c r="D162" s="172" t="s">
        <v>23</v>
      </c>
      <c r="E162" s="140" t="s">
        <v>19</v>
      </c>
      <c r="F162" s="140" t="s">
        <v>14</v>
      </c>
      <c r="G162" s="176" t="s">
        <v>68</v>
      </c>
      <c r="H162" s="140" t="s">
        <v>160</v>
      </c>
      <c r="I162" s="140" t="s">
        <v>21</v>
      </c>
      <c r="J162" s="174" t="s">
        <v>69</v>
      </c>
    </row>
    <row r="163" customHeight="1" spans="1:10">
      <c r="A163" s="140" t="s">
        <v>148</v>
      </c>
      <c r="B163" s="140" t="s">
        <v>149</v>
      </c>
      <c r="C163" s="171">
        <v>45709</v>
      </c>
      <c r="D163" s="172" t="s">
        <v>25</v>
      </c>
      <c r="E163" s="140" t="s">
        <v>19</v>
      </c>
      <c r="F163" s="140" t="s">
        <v>14</v>
      </c>
      <c r="G163" s="176" t="s">
        <v>68</v>
      </c>
      <c r="H163" s="140" t="s">
        <v>14</v>
      </c>
      <c r="I163" s="176" t="s">
        <v>68</v>
      </c>
      <c r="J163" s="174" t="s">
        <v>93</v>
      </c>
    </row>
    <row r="164" hidden="1" customHeight="1" spans="1:10">
      <c r="A164" s="140" t="s">
        <v>148</v>
      </c>
      <c r="B164" s="140" t="s">
        <v>149</v>
      </c>
      <c r="C164" s="171">
        <v>45710</v>
      </c>
      <c r="D164" s="172" t="s">
        <v>27</v>
      </c>
      <c r="E164" s="173" t="s">
        <v>13</v>
      </c>
      <c r="F164" s="140" t="s">
        <v>14</v>
      </c>
      <c r="G164" s="140" t="s">
        <v>14</v>
      </c>
      <c r="H164" s="140" t="s">
        <v>14</v>
      </c>
      <c r="I164" s="140" t="s">
        <v>14</v>
      </c>
      <c r="J164" s="174"/>
    </row>
    <row r="165" hidden="1" customHeight="1" spans="1:10">
      <c r="A165" s="140" t="s">
        <v>148</v>
      </c>
      <c r="B165" s="140" t="s">
        <v>149</v>
      </c>
      <c r="C165" s="171">
        <v>45711</v>
      </c>
      <c r="D165" s="172" t="s">
        <v>15</v>
      </c>
      <c r="E165" s="173" t="s">
        <v>13</v>
      </c>
      <c r="F165" s="140" t="s">
        <v>14</v>
      </c>
      <c r="G165" s="140" t="s">
        <v>14</v>
      </c>
      <c r="H165" s="140" t="s">
        <v>14</v>
      </c>
      <c r="I165" s="140" t="s">
        <v>14</v>
      </c>
      <c r="J165" s="174"/>
    </row>
    <row r="166" hidden="1" customHeight="1" spans="1:10">
      <c r="A166" s="140" t="s">
        <v>148</v>
      </c>
      <c r="B166" s="140" t="s">
        <v>149</v>
      </c>
      <c r="C166" s="171">
        <v>45712</v>
      </c>
      <c r="D166" s="172" t="s">
        <v>16</v>
      </c>
      <c r="E166" s="140" t="s">
        <v>19</v>
      </c>
      <c r="F166" s="140" t="s">
        <v>36</v>
      </c>
      <c r="G166" s="140" t="s">
        <v>21</v>
      </c>
      <c r="H166" s="140" t="s">
        <v>123</v>
      </c>
      <c r="I166" s="140" t="s">
        <v>21</v>
      </c>
      <c r="J166" s="174"/>
    </row>
    <row r="167" hidden="1" customHeight="1" spans="1:10">
      <c r="A167" s="140" t="s">
        <v>148</v>
      </c>
      <c r="B167" s="140" t="s">
        <v>149</v>
      </c>
      <c r="C167" s="171">
        <v>45713</v>
      </c>
      <c r="D167" s="172" t="s">
        <v>17</v>
      </c>
      <c r="E167" s="140" t="s">
        <v>19</v>
      </c>
      <c r="F167" s="140" t="s">
        <v>51</v>
      </c>
      <c r="G167" s="140" t="s">
        <v>21</v>
      </c>
      <c r="H167" s="140" t="s">
        <v>34</v>
      </c>
      <c r="I167" s="140" t="s">
        <v>21</v>
      </c>
      <c r="J167" s="174"/>
    </row>
    <row r="168" hidden="1" customHeight="1" spans="1:10">
      <c r="A168" s="140" t="s">
        <v>148</v>
      </c>
      <c r="B168" s="140" t="s">
        <v>149</v>
      </c>
      <c r="C168" s="171">
        <v>45714</v>
      </c>
      <c r="D168" s="172" t="s">
        <v>18</v>
      </c>
      <c r="E168" s="140" t="s">
        <v>19</v>
      </c>
      <c r="F168" s="140" t="s">
        <v>36</v>
      </c>
      <c r="G168" s="140" t="s">
        <v>21</v>
      </c>
      <c r="H168" s="140" t="s">
        <v>161</v>
      </c>
      <c r="I168" s="140" t="s">
        <v>21</v>
      </c>
      <c r="J168" s="174"/>
    </row>
    <row r="169" customHeight="1" spans="1:10">
      <c r="A169" s="140" t="s">
        <v>148</v>
      </c>
      <c r="B169" s="140" t="s">
        <v>149</v>
      </c>
      <c r="C169" s="171">
        <v>45715</v>
      </c>
      <c r="D169" s="172" t="s">
        <v>23</v>
      </c>
      <c r="E169" s="140" t="s">
        <v>19</v>
      </c>
      <c r="F169" s="140" t="s">
        <v>162</v>
      </c>
      <c r="G169" s="177" t="s">
        <v>103</v>
      </c>
      <c r="H169" s="140" t="s">
        <v>163</v>
      </c>
      <c r="I169" s="140" t="s">
        <v>21</v>
      </c>
      <c r="J169" s="174" t="s">
        <v>164</v>
      </c>
    </row>
    <row r="170" hidden="1" customHeight="1" spans="1:10">
      <c r="A170" s="140" t="s">
        <v>148</v>
      </c>
      <c r="B170" s="140" t="s">
        <v>149</v>
      </c>
      <c r="C170" s="171">
        <v>45716</v>
      </c>
      <c r="D170" s="172" t="s">
        <v>25</v>
      </c>
      <c r="E170" s="140" t="s">
        <v>19</v>
      </c>
      <c r="F170" s="140" t="s">
        <v>51</v>
      </c>
      <c r="G170" s="140" t="s">
        <v>21</v>
      </c>
      <c r="H170" s="140" t="s">
        <v>65</v>
      </c>
      <c r="I170" s="140" t="s">
        <v>21</v>
      </c>
      <c r="J170" s="174"/>
    </row>
    <row r="171" hidden="1" customHeight="1" spans="1:10">
      <c r="A171" s="140" t="s">
        <v>165</v>
      </c>
      <c r="B171" s="140" t="s">
        <v>166</v>
      </c>
      <c r="C171" s="171">
        <v>45689</v>
      </c>
      <c r="D171" s="172" t="s">
        <v>12</v>
      </c>
      <c r="E171" s="173" t="s">
        <v>13</v>
      </c>
      <c r="F171" s="140" t="s">
        <v>14</v>
      </c>
      <c r="G171" s="140" t="s">
        <v>14</v>
      </c>
      <c r="H171" s="140" t="s">
        <v>14</v>
      </c>
      <c r="I171" s="140" t="s">
        <v>14</v>
      </c>
      <c r="J171" s="174"/>
    </row>
    <row r="172" hidden="1" customHeight="1" spans="1:10">
      <c r="A172" s="140" t="s">
        <v>165</v>
      </c>
      <c r="B172" s="140" t="s">
        <v>166</v>
      </c>
      <c r="C172" s="171">
        <v>45690</v>
      </c>
      <c r="D172" s="172" t="s">
        <v>15</v>
      </c>
      <c r="E172" s="173" t="s">
        <v>13</v>
      </c>
      <c r="F172" s="140" t="s">
        <v>14</v>
      </c>
      <c r="G172" s="140" t="s">
        <v>14</v>
      </c>
      <c r="H172" s="140" t="s">
        <v>14</v>
      </c>
      <c r="I172" s="140" t="s">
        <v>14</v>
      </c>
      <c r="J172" s="174"/>
    </row>
    <row r="173" hidden="1" customHeight="1" spans="1:10">
      <c r="A173" s="140" t="s">
        <v>165</v>
      </c>
      <c r="B173" s="140" t="s">
        <v>166</v>
      </c>
      <c r="C173" s="171">
        <v>45691</v>
      </c>
      <c r="D173" s="172" t="s">
        <v>16</v>
      </c>
      <c r="E173" s="173" t="s">
        <v>13</v>
      </c>
      <c r="F173" s="140" t="s">
        <v>14</v>
      </c>
      <c r="G173" s="140" t="s">
        <v>14</v>
      </c>
      <c r="H173" s="140" t="s">
        <v>14</v>
      </c>
      <c r="I173" s="140" t="s">
        <v>14</v>
      </c>
      <c r="J173" s="174"/>
    </row>
    <row r="174" hidden="1" customHeight="1" spans="1:10">
      <c r="A174" s="140" t="s">
        <v>165</v>
      </c>
      <c r="B174" s="140" t="s">
        <v>166</v>
      </c>
      <c r="C174" s="171">
        <v>45692</v>
      </c>
      <c r="D174" s="172" t="s">
        <v>17</v>
      </c>
      <c r="E174" s="173" t="s">
        <v>13</v>
      </c>
      <c r="F174" s="140" t="s">
        <v>14</v>
      </c>
      <c r="G174" s="140" t="s">
        <v>14</v>
      </c>
      <c r="H174" s="140" t="s">
        <v>14</v>
      </c>
      <c r="I174" s="140" t="s">
        <v>14</v>
      </c>
      <c r="J174" s="174"/>
    </row>
    <row r="175" hidden="1" customHeight="1" spans="1:10">
      <c r="A175" s="140" t="s">
        <v>165</v>
      </c>
      <c r="B175" s="140" t="s">
        <v>166</v>
      </c>
      <c r="C175" s="171">
        <v>45693</v>
      </c>
      <c r="D175" s="172" t="s">
        <v>18</v>
      </c>
      <c r="E175" s="140" t="s">
        <v>19</v>
      </c>
      <c r="F175" s="140" t="s">
        <v>133</v>
      </c>
      <c r="G175" s="140" t="s">
        <v>21</v>
      </c>
      <c r="H175" s="140" t="s">
        <v>167</v>
      </c>
      <c r="I175" s="140" t="s">
        <v>21</v>
      </c>
      <c r="J175" s="174"/>
    </row>
    <row r="176" hidden="1" customHeight="1" spans="1:10">
      <c r="A176" s="140" t="s">
        <v>165</v>
      </c>
      <c r="B176" s="140" t="s">
        <v>166</v>
      </c>
      <c r="C176" s="171">
        <v>45694</v>
      </c>
      <c r="D176" s="172" t="s">
        <v>23</v>
      </c>
      <c r="E176" s="140" t="s">
        <v>19</v>
      </c>
      <c r="F176" s="140" t="s">
        <v>129</v>
      </c>
      <c r="G176" s="140" t="s">
        <v>21</v>
      </c>
      <c r="H176" s="140" t="s">
        <v>168</v>
      </c>
      <c r="I176" s="140" t="s">
        <v>21</v>
      </c>
      <c r="J176" s="174"/>
    </row>
    <row r="177" hidden="1" customHeight="1" spans="1:10">
      <c r="A177" s="140" t="s">
        <v>165</v>
      </c>
      <c r="B177" s="140" t="s">
        <v>166</v>
      </c>
      <c r="C177" s="171">
        <v>45695</v>
      </c>
      <c r="D177" s="172" t="s">
        <v>25</v>
      </c>
      <c r="E177" s="140" t="s">
        <v>19</v>
      </c>
      <c r="F177" s="140" t="s">
        <v>169</v>
      </c>
      <c r="G177" s="140" t="s">
        <v>21</v>
      </c>
      <c r="H177" s="140" t="s">
        <v>170</v>
      </c>
      <c r="I177" s="140" t="s">
        <v>21</v>
      </c>
      <c r="J177" s="174"/>
    </row>
    <row r="178" hidden="1" customHeight="1" spans="1:10">
      <c r="A178" s="140" t="s">
        <v>165</v>
      </c>
      <c r="B178" s="140" t="s">
        <v>166</v>
      </c>
      <c r="C178" s="171">
        <v>45696</v>
      </c>
      <c r="D178" s="172" t="s">
        <v>27</v>
      </c>
      <c r="E178" s="140" t="s">
        <v>19</v>
      </c>
      <c r="F178" s="140" t="s">
        <v>171</v>
      </c>
      <c r="G178" s="140" t="s">
        <v>21</v>
      </c>
      <c r="H178" s="140" t="s">
        <v>172</v>
      </c>
      <c r="I178" s="140" t="s">
        <v>21</v>
      </c>
      <c r="J178" s="174"/>
    </row>
    <row r="179" hidden="1" customHeight="1" spans="1:10">
      <c r="A179" s="140" t="s">
        <v>165</v>
      </c>
      <c r="B179" s="140" t="s">
        <v>166</v>
      </c>
      <c r="C179" s="171">
        <v>45697</v>
      </c>
      <c r="D179" s="172" t="s">
        <v>15</v>
      </c>
      <c r="E179" s="173" t="s">
        <v>13</v>
      </c>
      <c r="F179" s="140" t="s">
        <v>14</v>
      </c>
      <c r="G179" s="140" t="s">
        <v>14</v>
      </c>
      <c r="H179" s="140" t="s">
        <v>14</v>
      </c>
      <c r="I179" s="140" t="s">
        <v>14</v>
      </c>
      <c r="J179" s="174"/>
    </row>
    <row r="180" hidden="1" customHeight="1" spans="1:10">
      <c r="A180" s="140" t="s">
        <v>165</v>
      </c>
      <c r="B180" s="140" t="s">
        <v>166</v>
      </c>
      <c r="C180" s="171">
        <v>45698</v>
      </c>
      <c r="D180" s="172" t="s">
        <v>16</v>
      </c>
      <c r="E180" s="140" t="s">
        <v>19</v>
      </c>
      <c r="F180" s="140" t="s">
        <v>173</v>
      </c>
      <c r="G180" s="140" t="s">
        <v>21</v>
      </c>
      <c r="H180" s="140" t="s">
        <v>168</v>
      </c>
      <c r="I180" s="140" t="s">
        <v>21</v>
      </c>
      <c r="J180" s="174"/>
    </row>
    <row r="181" hidden="1" customHeight="1" spans="1:10">
      <c r="A181" s="140" t="s">
        <v>165</v>
      </c>
      <c r="B181" s="140" t="s">
        <v>166</v>
      </c>
      <c r="C181" s="171">
        <v>45699</v>
      </c>
      <c r="D181" s="172" t="s">
        <v>17</v>
      </c>
      <c r="E181" s="140" t="s">
        <v>19</v>
      </c>
      <c r="F181" s="140" t="s">
        <v>131</v>
      </c>
      <c r="G181" s="140" t="s">
        <v>21</v>
      </c>
      <c r="H181" s="140" t="s">
        <v>174</v>
      </c>
      <c r="I181" s="140" t="s">
        <v>21</v>
      </c>
      <c r="J181" s="174"/>
    </row>
    <row r="182" hidden="1" customHeight="1" spans="1:10">
      <c r="A182" s="140" t="s">
        <v>165</v>
      </c>
      <c r="B182" s="140" t="s">
        <v>166</v>
      </c>
      <c r="C182" s="171">
        <v>45700</v>
      </c>
      <c r="D182" s="172" t="s">
        <v>18</v>
      </c>
      <c r="E182" s="140" t="s">
        <v>19</v>
      </c>
      <c r="F182" s="140" t="s">
        <v>131</v>
      </c>
      <c r="G182" s="140" t="s">
        <v>21</v>
      </c>
      <c r="H182" s="140" t="s">
        <v>175</v>
      </c>
      <c r="I182" s="140" t="s">
        <v>21</v>
      </c>
      <c r="J182" s="174"/>
    </row>
    <row r="183" hidden="1" customHeight="1" spans="1:10">
      <c r="A183" s="140" t="s">
        <v>165</v>
      </c>
      <c r="B183" s="140" t="s">
        <v>166</v>
      </c>
      <c r="C183" s="171">
        <v>45701</v>
      </c>
      <c r="D183" s="172" t="s">
        <v>23</v>
      </c>
      <c r="E183" s="140" t="s">
        <v>19</v>
      </c>
      <c r="F183" s="140" t="s">
        <v>137</v>
      </c>
      <c r="G183" s="140" t="s">
        <v>21</v>
      </c>
      <c r="H183" s="140" t="s">
        <v>53</v>
      </c>
      <c r="I183" s="140" t="s">
        <v>21</v>
      </c>
      <c r="J183" s="174"/>
    </row>
    <row r="184" hidden="1" customHeight="1" spans="1:10">
      <c r="A184" s="140" t="s">
        <v>165</v>
      </c>
      <c r="B184" s="140" t="s">
        <v>166</v>
      </c>
      <c r="C184" s="171">
        <v>45702</v>
      </c>
      <c r="D184" s="172" t="s">
        <v>25</v>
      </c>
      <c r="E184" s="140" t="s">
        <v>19</v>
      </c>
      <c r="F184" s="140" t="s">
        <v>70</v>
      </c>
      <c r="G184" s="140" t="s">
        <v>21</v>
      </c>
      <c r="H184" s="140" t="s">
        <v>174</v>
      </c>
      <c r="I184" s="140" t="s">
        <v>21</v>
      </c>
      <c r="J184" s="174"/>
    </row>
    <row r="185" hidden="1" customHeight="1" spans="1:10">
      <c r="A185" s="140" t="s">
        <v>165</v>
      </c>
      <c r="B185" s="140" t="s">
        <v>166</v>
      </c>
      <c r="C185" s="171">
        <v>45703</v>
      </c>
      <c r="D185" s="172" t="s">
        <v>27</v>
      </c>
      <c r="E185" s="173" t="s">
        <v>13</v>
      </c>
      <c r="F185" s="140" t="s">
        <v>14</v>
      </c>
      <c r="G185" s="140" t="s">
        <v>14</v>
      </c>
      <c r="H185" s="140" t="s">
        <v>14</v>
      </c>
      <c r="I185" s="140" t="s">
        <v>14</v>
      </c>
      <c r="J185" s="174"/>
    </row>
    <row r="186" hidden="1" customHeight="1" spans="1:10">
      <c r="A186" s="140" t="s">
        <v>165</v>
      </c>
      <c r="B186" s="140" t="s">
        <v>166</v>
      </c>
      <c r="C186" s="171">
        <v>45704</v>
      </c>
      <c r="D186" s="172" t="s">
        <v>15</v>
      </c>
      <c r="E186" s="173" t="s">
        <v>13</v>
      </c>
      <c r="F186" s="140" t="s">
        <v>14</v>
      </c>
      <c r="G186" s="140" t="s">
        <v>14</v>
      </c>
      <c r="H186" s="140" t="s">
        <v>14</v>
      </c>
      <c r="I186" s="140" t="s">
        <v>14</v>
      </c>
      <c r="J186" s="174"/>
    </row>
    <row r="187" hidden="1" customHeight="1" spans="1:10">
      <c r="A187" s="140" t="s">
        <v>165</v>
      </c>
      <c r="B187" s="140" t="s">
        <v>166</v>
      </c>
      <c r="C187" s="171">
        <v>45705</v>
      </c>
      <c r="D187" s="172" t="s">
        <v>16</v>
      </c>
      <c r="E187" s="140" t="s">
        <v>19</v>
      </c>
      <c r="F187" s="140" t="s">
        <v>63</v>
      </c>
      <c r="G187" s="140" t="s">
        <v>21</v>
      </c>
      <c r="H187" s="140" t="s">
        <v>176</v>
      </c>
      <c r="I187" s="140" t="s">
        <v>21</v>
      </c>
      <c r="J187" s="174"/>
    </row>
    <row r="188" hidden="1" customHeight="1" spans="1:10">
      <c r="A188" s="140" t="s">
        <v>165</v>
      </c>
      <c r="B188" s="140" t="s">
        <v>166</v>
      </c>
      <c r="C188" s="171">
        <v>45706</v>
      </c>
      <c r="D188" s="172" t="s">
        <v>17</v>
      </c>
      <c r="E188" s="140" t="s">
        <v>19</v>
      </c>
      <c r="F188" s="140" t="s">
        <v>177</v>
      </c>
      <c r="G188" s="140" t="s">
        <v>21</v>
      </c>
      <c r="H188" s="140" t="s">
        <v>178</v>
      </c>
      <c r="I188" s="140" t="s">
        <v>21</v>
      </c>
      <c r="J188" s="174"/>
    </row>
    <row r="189" hidden="1" customHeight="1" spans="1:10">
      <c r="A189" s="140" t="s">
        <v>165</v>
      </c>
      <c r="B189" s="140" t="s">
        <v>166</v>
      </c>
      <c r="C189" s="171">
        <v>45707</v>
      </c>
      <c r="D189" s="172" t="s">
        <v>18</v>
      </c>
      <c r="E189" s="140" t="s">
        <v>19</v>
      </c>
      <c r="F189" s="140" t="s">
        <v>30</v>
      </c>
      <c r="G189" s="140" t="s">
        <v>21</v>
      </c>
      <c r="H189" s="140" t="s">
        <v>122</v>
      </c>
      <c r="I189" s="140" t="s">
        <v>21</v>
      </c>
      <c r="J189" s="174"/>
    </row>
    <row r="190" hidden="1" customHeight="1" spans="1:10">
      <c r="A190" s="140" t="s">
        <v>165</v>
      </c>
      <c r="B190" s="140" t="s">
        <v>166</v>
      </c>
      <c r="C190" s="171">
        <v>45708</v>
      </c>
      <c r="D190" s="172" t="s">
        <v>23</v>
      </c>
      <c r="E190" s="140" t="s">
        <v>19</v>
      </c>
      <c r="F190" s="140" t="s">
        <v>179</v>
      </c>
      <c r="G190" s="140" t="s">
        <v>21</v>
      </c>
      <c r="H190" s="140" t="s">
        <v>180</v>
      </c>
      <c r="I190" s="140" t="s">
        <v>21</v>
      </c>
      <c r="J190" s="174"/>
    </row>
    <row r="191" hidden="1" customHeight="1" spans="1:10">
      <c r="A191" s="140" t="s">
        <v>165</v>
      </c>
      <c r="B191" s="140" t="s">
        <v>166</v>
      </c>
      <c r="C191" s="171">
        <v>45709</v>
      </c>
      <c r="D191" s="172" t="s">
        <v>25</v>
      </c>
      <c r="E191" s="140" t="s">
        <v>19</v>
      </c>
      <c r="F191" s="140" t="s">
        <v>28</v>
      </c>
      <c r="G191" s="140" t="s">
        <v>21</v>
      </c>
      <c r="H191" s="140" t="s">
        <v>181</v>
      </c>
      <c r="I191" s="140" t="s">
        <v>21</v>
      </c>
      <c r="J191" s="174"/>
    </row>
    <row r="192" hidden="1" customHeight="1" spans="1:10">
      <c r="A192" s="140" t="s">
        <v>165</v>
      </c>
      <c r="B192" s="140" t="s">
        <v>166</v>
      </c>
      <c r="C192" s="171">
        <v>45710</v>
      </c>
      <c r="D192" s="172" t="s">
        <v>27</v>
      </c>
      <c r="E192" s="173" t="s">
        <v>13</v>
      </c>
      <c r="F192" s="140" t="s">
        <v>14</v>
      </c>
      <c r="G192" s="140" t="s">
        <v>14</v>
      </c>
      <c r="H192" s="140" t="s">
        <v>14</v>
      </c>
      <c r="I192" s="140" t="s">
        <v>14</v>
      </c>
      <c r="J192" s="174"/>
    </row>
    <row r="193" hidden="1" customHeight="1" spans="1:10">
      <c r="A193" s="140" t="s">
        <v>165</v>
      </c>
      <c r="B193" s="140" t="s">
        <v>166</v>
      </c>
      <c r="C193" s="171">
        <v>45711</v>
      </c>
      <c r="D193" s="172" t="s">
        <v>15</v>
      </c>
      <c r="E193" s="173" t="s">
        <v>13</v>
      </c>
      <c r="F193" s="140" t="s">
        <v>14</v>
      </c>
      <c r="G193" s="140" t="s">
        <v>14</v>
      </c>
      <c r="H193" s="140" t="s">
        <v>14</v>
      </c>
      <c r="I193" s="140" t="s">
        <v>14</v>
      </c>
      <c r="J193" s="174"/>
    </row>
    <row r="194" hidden="1" customHeight="1" spans="1:10">
      <c r="A194" s="140" t="s">
        <v>165</v>
      </c>
      <c r="B194" s="140" t="s">
        <v>166</v>
      </c>
      <c r="C194" s="171">
        <v>45712</v>
      </c>
      <c r="D194" s="172" t="s">
        <v>16</v>
      </c>
      <c r="E194" s="140" t="s">
        <v>19</v>
      </c>
      <c r="F194" s="140" t="s">
        <v>76</v>
      </c>
      <c r="G194" s="140" t="s">
        <v>21</v>
      </c>
      <c r="H194" s="140" t="s">
        <v>182</v>
      </c>
      <c r="I194" s="140" t="s">
        <v>21</v>
      </c>
      <c r="J194" s="174"/>
    </row>
    <row r="195" hidden="1" customHeight="1" spans="1:10">
      <c r="A195" s="140" t="s">
        <v>165</v>
      </c>
      <c r="B195" s="140" t="s">
        <v>166</v>
      </c>
      <c r="C195" s="171">
        <v>45713</v>
      </c>
      <c r="D195" s="172" t="s">
        <v>17</v>
      </c>
      <c r="E195" s="140" t="s">
        <v>19</v>
      </c>
      <c r="F195" s="140" t="s">
        <v>183</v>
      </c>
      <c r="G195" s="140" t="s">
        <v>21</v>
      </c>
      <c r="H195" s="140" t="s">
        <v>184</v>
      </c>
      <c r="I195" s="140" t="s">
        <v>21</v>
      </c>
      <c r="J195" s="174"/>
    </row>
    <row r="196" hidden="1" customHeight="1" spans="1:10">
      <c r="A196" s="140" t="s">
        <v>165</v>
      </c>
      <c r="B196" s="140" t="s">
        <v>166</v>
      </c>
      <c r="C196" s="171">
        <v>45714</v>
      </c>
      <c r="D196" s="172" t="s">
        <v>18</v>
      </c>
      <c r="E196" s="140" t="s">
        <v>19</v>
      </c>
      <c r="F196" s="140" t="s">
        <v>58</v>
      </c>
      <c r="G196" s="140" t="s">
        <v>21</v>
      </c>
      <c r="H196" s="140" t="s">
        <v>175</v>
      </c>
      <c r="I196" s="140" t="s">
        <v>21</v>
      </c>
      <c r="J196" s="174"/>
    </row>
    <row r="197" hidden="1" customHeight="1" spans="1:10">
      <c r="A197" s="140" t="s">
        <v>165</v>
      </c>
      <c r="B197" s="140" t="s">
        <v>166</v>
      </c>
      <c r="C197" s="171">
        <v>45715</v>
      </c>
      <c r="D197" s="172" t="s">
        <v>23</v>
      </c>
      <c r="E197" s="140" t="s">
        <v>19</v>
      </c>
      <c r="F197" s="140" t="s">
        <v>146</v>
      </c>
      <c r="G197" s="140" t="s">
        <v>21</v>
      </c>
      <c r="H197" s="140" t="s">
        <v>185</v>
      </c>
      <c r="I197" s="140" t="s">
        <v>21</v>
      </c>
      <c r="J197" s="174"/>
    </row>
    <row r="198" hidden="1" customHeight="1" spans="1:10">
      <c r="A198" s="140" t="s">
        <v>165</v>
      </c>
      <c r="B198" s="140" t="s">
        <v>166</v>
      </c>
      <c r="C198" s="171">
        <v>45716</v>
      </c>
      <c r="D198" s="172" t="s">
        <v>25</v>
      </c>
      <c r="E198" s="140" t="s">
        <v>19</v>
      </c>
      <c r="F198" s="140" t="s">
        <v>143</v>
      </c>
      <c r="G198" s="140" t="s">
        <v>21</v>
      </c>
      <c r="H198" s="140" t="s">
        <v>186</v>
      </c>
      <c r="I198" s="140" t="s">
        <v>21</v>
      </c>
      <c r="J198" s="174"/>
    </row>
    <row r="199" hidden="1" customHeight="1" spans="1:10">
      <c r="A199" s="140" t="s">
        <v>187</v>
      </c>
      <c r="B199" s="140" t="s">
        <v>166</v>
      </c>
      <c r="C199" s="171">
        <v>45689</v>
      </c>
      <c r="D199" s="172" t="s">
        <v>12</v>
      </c>
      <c r="E199" s="173" t="s">
        <v>13</v>
      </c>
      <c r="F199" s="140" t="s">
        <v>14</v>
      </c>
      <c r="G199" s="140" t="s">
        <v>14</v>
      </c>
      <c r="H199" s="140" t="s">
        <v>14</v>
      </c>
      <c r="I199" s="140" t="s">
        <v>14</v>
      </c>
      <c r="J199" s="174"/>
    </row>
    <row r="200" hidden="1" customHeight="1" spans="1:10">
      <c r="A200" s="140" t="s">
        <v>187</v>
      </c>
      <c r="B200" s="140" t="s">
        <v>166</v>
      </c>
      <c r="C200" s="171">
        <v>45690</v>
      </c>
      <c r="D200" s="172" t="s">
        <v>15</v>
      </c>
      <c r="E200" s="173" t="s">
        <v>13</v>
      </c>
      <c r="F200" s="140" t="s">
        <v>14</v>
      </c>
      <c r="G200" s="140" t="s">
        <v>14</v>
      </c>
      <c r="H200" s="140" t="s">
        <v>14</v>
      </c>
      <c r="I200" s="140" t="s">
        <v>14</v>
      </c>
      <c r="J200" s="174"/>
    </row>
    <row r="201" hidden="1" customHeight="1" spans="1:10">
      <c r="A201" s="140" t="s">
        <v>187</v>
      </c>
      <c r="B201" s="140" t="s">
        <v>166</v>
      </c>
      <c r="C201" s="171">
        <v>45691</v>
      </c>
      <c r="D201" s="172" t="s">
        <v>16</v>
      </c>
      <c r="E201" s="173" t="s">
        <v>13</v>
      </c>
      <c r="F201" s="140" t="s">
        <v>14</v>
      </c>
      <c r="G201" s="140" t="s">
        <v>14</v>
      </c>
      <c r="H201" s="140" t="s">
        <v>14</v>
      </c>
      <c r="I201" s="140" t="s">
        <v>14</v>
      </c>
      <c r="J201" s="174"/>
    </row>
    <row r="202" hidden="1" customHeight="1" spans="1:10">
      <c r="A202" s="140" t="s">
        <v>187</v>
      </c>
      <c r="B202" s="140" t="s">
        <v>166</v>
      </c>
      <c r="C202" s="171">
        <v>45692</v>
      </c>
      <c r="D202" s="172" t="s">
        <v>17</v>
      </c>
      <c r="E202" s="173" t="s">
        <v>13</v>
      </c>
      <c r="F202" s="140" t="s">
        <v>14</v>
      </c>
      <c r="G202" s="140" t="s">
        <v>14</v>
      </c>
      <c r="H202" s="140" t="s">
        <v>14</v>
      </c>
      <c r="I202" s="140" t="s">
        <v>14</v>
      </c>
      <c r="J202" s="174"/>
    </row>
    <row r="203" hidden="1" customHeight="1" spans="1:10">
      <c r="A203" s="140" t="s">
        <v>187</v>
      </c>
      <c r="B203" s="140" t="s">
        <v>166</v>
      </c>
      <c r="C203" s="171">
        <v>45693</v>
      </c>
      <c r="D203" s="172" t="s">
        <v>18</v>
      </c>
      <c r="E203" s="140" t="s">
        <v>19</v>
      </c>
      <c r="F203" s="140" t="s">
        <v>76</v>
      </c>
      <c r="G203" s="140" t="s">
        <v>21</v>
      </c>
      <c r="H203" s="140" t="s">
        <v>155</v>
      </c>
      <c r="I203" s="140" t="s">
        <v>21</v>
      </c>
      <c r="J203" s="174"/>
    </row>
    <row r="204" hidden="1" customHeight="1" spans="1:10">
      <c r="A204" s="140" t="s">
        <v>187</v>
      </c>
      <c r="B204" s="140" t="s">
        <v>166</v>
      </c>
      <c r="C204" s="171">
        <v>45694</v>
      </c>
      <c r="D204" s="172" t="s">
        <v>23</v>
      </c>
      <c r="E204" s="140" t="s">
        <v>19</v>
      </c>
      <c r="F204" s="140" t="s">
        <v>143</v>
      </c>
      <c r="G204" s="140" t="s">
        <v>21</v>
      </c>
      <c r="H204" s="140" t="s">
        <v>45</v>
      </c>
      <c r="I204" s="140" t="s">
        <v>21</v>
      </c>
      <c r="J204" s="174"/>
    </row>
    <row r="205" hidden="1" customHeight="1" spans="1:10">
      <c r="A205" s="140" t="s">
        <v>187</v>
      </c>
      <c r="B205" s="140" t="s">
        <v>166</v>
      </c>
      <c r="C205" s="171">
        <v>45695</v>
      </c>
      <c r="D205" s="172" t="s">
        <v>25</v>
      </c>
      <c r="E205" s="140" t="s">
        <v>19</v>
      </c>
      <c r="F205" s="140" t="s">
        <v>150</v>
      </c>
      <c r="G205" s="140" t="s">
        <v>21</v>
      </c>
      <c r="H205" s="140" t="s">
        <v>170</v>
      </c>
      <c r="I205" s="140" t="s">
        <v>21</v>
      </c>
      <c r="J205" s="174"/>
    </row>
    <row r="206" hidden="1" customHeight="1" spans="1:10">
      <c r="A206" s="140" t="s">
        <v>187</v>
      </c>
      <c r="B206" s="140" t="s">
        <v>166</v>
      </c>
      <c r="C206" s="171">
        <v>45696</v>
      </c>
      <c r="D206" s="172" t="s">
        <v>27</v>
      </c>
      <c r="E206" s="140" t="s">
        <v>19</v>
      </c>
      <c r="F206" s="140" t="s">
        <v>188</v>
      </c>
      <c r="G206" s="140" t="s">
        <v>21</v>
      </c>
      <c r="H206" s="140" t="s">
        <v>52</v>
      </c>
      <c r="I206" s="140" t="s">
        <v>21</v>
      </c>
      <c r="J206" s="174"/>
    </row>
    <row r="207" hidden="1" customHeight="1" spans="1:10">
      <c r="A207" s="140" t="s">
        <v>187</v>
      </c>
      <c r="B207" s="140" t="s">
        <v>166</v>
      </c>
      <c r="C207" s="171">
        <v>45697</v>
      </c>
      <c r="D207" s="172" t="s">
        <v>15</v>
      </c>
      <c r="E207" s="173" t="s">
        <v>13</v>
      </c>
      <c r="F207" s="140" t="s">
        <v>14</v>
      </c>
      <c r="G207" s="140" t="s">
        <v>14</v>
      </c>
      <c r="H207" s="140" t="s">
        <v>14</v>
      </c>
      <c r="I207" s="140" t="s">
        <v>14</v>
      </c>
      <c r="J207" s="174"/>
    </row>
    <row r="208" hidden="1" customHeight="1" spans="1:10">
      <c r="A208" s="140" t="s">
        <v>187</v>
      </c>
      <c r="B208" s="140" t="s">
        <v>166</v>
      </c>
      <c r="C208" s="171">
        <v>45698</v>
      </c>
      <c r="D208" s="172" t="s">
        <v>16</v>
      </c>
      <c r="E208" s="140" t="s">
        <v>19</v>
      </c>
      <c r="F208" s="140" t="s">
        <v>143</v>
      </c>
      <c r="G208" s="140" t="s">
        <v>21</v>
      </c>
      <c r="H208" s="140" t="s">
        <v>73</v>
      </c>
      <c r="I208" s="140" t="s">
        <v>21</v>
      </c>
      <c r="J208" s="174"/>
    </row>
    <row r="209" hidden="1" customHeight="1" spans="1:10">
      <c r="A209" s="140" t="s">
        <v>187</v>
      </c>
      <c r="B209" s="140" t="s">
        <v>166</v>
      </c>
      <c r="C209" s="171">
        <v>45699</v>
      </c>
      <c r="D209" s="172" t="s">
        <v>17</v>
      </c>
      <c r="E209" s="140" t="s">
        <v>19</v>
      </c>
      <c r="F209" s="140" t="s">
        <v>137</v>
      </c>
      <c r="G209" s="140" t="s">
        <v>21</v>
      </c>
      <c r="H209" s="140" t="s">
        <v>189</v>
      </c>
      <c r="I209" s="140" t="s">
        <v>21</v>
      </c>
      <c r="J209" s="174"/>
    </row>
    <row r="210" hidden="1" customHeight="1" spans="1:10">
      <c r="A210" s="140" t="s">
        <v>187</v>
      </c>
      <c r="B210" s="140" t="s">
        <v>166</v>
      </c>
      <c r="C210" s="171">
        <v>45700</v>
      </c>
      <c r="D210" s="172" t="s">
        <v>18</v>
      </c>
      <c r="E210" s="140" t="s">
        <v>19</v>
      </c>
      <c r="F210" s="140" t="s">
        <v>94</v>
      </c>
      <c r="G210" s="140" t="s">
        <v>21</v>
      </c>
      <c r="H210" s="140" t="s">
        <v>178</v>
      </c>
      <c r="I210" s="140" t="s">
        <v>21</v>
      </c>
      <c r="J210" s="174"/>
    </row>
    <row r="211" hidden="1" customHeight="1" spans="1:10">
      <c r="A211" s="140" t="s">
        <v>187</v>
      </c>
      <c r="B211" s="140" t="s">
        <v>166</v>
      </c>
      <c r="C211" s="171">
        <v>45701</v>
      </c>
      <c r="D211" s="172" t="s">
        <v>23</v>
      </c>
      <c r="E211" s="140" t="s">
        <v>19</v>
      </c>
      <c r="F211" s="140" t="s">
        <v>146</v>
      </c>
      <c r="G211" s="140" t="s">
        <v>21</v>
      </c>
      <c r="H211" s="140" t="s">
        <v>190</v>
      </c>
      <c r="I211" s="140" t="s">
        <v>21</v>
      </c>
      <c r="J211" s="174"/>
    </row>
    <row r="212" hidden="1" customHeight="1" spans="1:10">
      <c r="A212" s="140" t="s">
        <v>187</v>
      </c>
      <c r="B212" s="140" t="s">
        <v>166</v>
      </c>
      <c r="C212" s="171">
        <v>45702</v>
      </c>
      <c r="D212" s="172" t="s">
        <v>25</v>
      </c>
      <c r="E212" s="140" t="s">
        <v>19</v>
      </c>
      <c r="F212" s="140" t="s">
        <v>36</v>
      </c>
      <c r="G212" s="140" t="s">
        <v>21</v>
      </c>
      <c r="H212" s="140" t="s">
        <v>191</v>
      </c>
      <c r="I212" s="140" t="s">
        <v>21</v>
      </c>
      <c r="J212" s="174"/>
    </row>
    <row r="213" hidden="1" customHeight="1" spans="1:10">
      <c r="A213" s="140" t="s">
        <v>187</v>
      </c>
      <c r="B213" s="140" t="s">
        <v>166</v>
      </c>
      <c r="C213" s="171">
        <v>45703</v>
      </c>
      <c r="D213" s="172" t="s">
        <v>27</v>
      </c>
      <c r="E213" s="173" t="s">
        <v>13</v>
      </c>
      <c r="F213" s="140" t="s">
        <v>14</v>
      </c>
      <c r="G213" s="140" t="s">
        <v>14</v>
      </c>
      <c r="H213" s="140" t="s">
        <v>14</v>
      </c>
      <c r="I213" s="140" t="s">
        <v>14</v>
      </c>
      <c r="J213" s="174"/>
    </row>
    <row r="214" hidden="1" customHeight="1" spans="1:10">
      <c r="A214" s="140" t="s">
        <v>187</v>
      </c>
      <c r="B214" s="140" t="s">
        <v>166</v>
      </c>
      <c r="C214" s="171">
        <v>45704</v>
      </c>
      <c r="D214" s="172" t="s">
        <v>15</v>
      </c>
      <c r="E214" s="173" t="s">
        <v>13</v>
      </c>
      <c r="F214" s="140" t="s">
        <v>14</v>
      </c>
      <c r="G214" s="140" t="s">
        <v>14</v>
      </c>
      <c r="H214" s="140" t="s">
        <v>14</v>
      </c>
      <c r="I214" s="140" t="s">
        <v>14</v>
      </c>
      <c r="J214" s="174"/>
    </row>
    <row r="215" hidden="1" customHeight="1" spans="1:10">
      <c r="A215" s="140" t="s">
        <v>187</v>
      </c>
      <c r="B215" s="140" t="s">
        <v>166</v>
      </c>
      <c r="C215" s="171">
        <v>45705</v>
      </c>
      <c r="D215" s="172" t="s">
        <v>16</v>
      </c>
      <c r="E215" s="140" t="s">
        <v>19</v>
      </c>
      <c r="F215" s="140" t="s">
        <v>98</v>
      </c>
      <c r="G215" s="140" t="s">
        <v>21</v>
      </c>
      <c r="H215" s="140" t="s">
        <v>170</v>
      </c>
      <c r="I215" s="140" t="s">
        <v>21</v>
      </c>
      <c r="J215" s="174"/>
    </row>
    <row r="216" hidden="1" customHeight="1" spans="1:10">
      <c r="A216" s="140" t="s">
        <v>187</v>
      </c>
      <c r="B216" s="140" t="s">
        <v>166</v>
      </c>
      <c r="C216" s="171">
        <v>45706</v>
      </c>
      <c r="D216" s="172" t="s">
        <v>17</v>
      </c>
      <c r="E216" s="140" t="s">
        <v>19</v>
      </c>
      <c r="F216" s="140" t="s">
        <v>157</v>
      </c>
      <c r="G216" s="140" t="s">
        <v>21</v>
      </c>
      <c r="H216" s="140" t="s">
        <v>181</v>
      </c>
      <c r="I216" s="140" t="s">
        <v>21</v>
      </c>
      <c r="J216" s="174"/>
    </row>
    <row r="217" hidden="1" customHeight="1" spans="1:10">
      <c r="A217" s="140" t="s">
        <v>187</v>
      </c>
      <c r="B217" s="140" t="s">
        <v>166</v>
      </c>
      <c r="C217" s="171">
        <v>45707</v>
      </c>
      <c r="D217" s="172" t="s">
        <v>18</v>
      </c>
      <c r="E217" s="140" t="s">
        <v>19</v>
      </c>
      <c r="F217" s="140" t="s">
        <v>30</v>
      </c>
      <c r="G217" s="140" t="s">
        <v>21</v>
      </c>
      <c r="H217" s="140" t="s">
        <v>192</v>
      </c>
      <c r="I217" s="140" t="s">
        <v>21</v>
      </c>
      <c r="J217" s="174"/>
    </row>
    <row r="218" hidden="1" customHeight="1" spans="1:10">
      <c r="A218" s="140" t="s">
        <v>187</v>
      </c>
      <c r="B218" s="140" t="s">
        <v>166</v>
      </c>
      <c r="C218" s="171">
        <v>45708</v>
      </c>
      <c r="D218" s="172" t="s">
        <v>23</v>
      </c>
      <c r="E218" s="140" t="s">
        <v>19</v>
      </c>
      <c r="F218" s="140" t="s">
        <v>154</v>
      </c>
      <c r="G218" s="140" t="s">
        <v>21</v>
      </c>
      <c r="H218" s="140" t="s">
        <v>73</v>
      </c>
      <c r="I218" s="140" t="s">
        <v>21</v>
      </c>
      <c r="J218" s="174"/>
    </row>
    <row r="219" hidden="1" customHeight="1" spans="1:10">
      <c r="A219" s="140" t="s">
        <v>187</v>
      </c>
      <c r="B219" s="140" t="s">
        <v>166</v>
      </c>
      <c r="C219" s="171">
        <v>45709</v>
      </c>
      <c r="D219" s="172" t="s">
        <v>25</v>
      </c>
      <c r="E219" s="140" t="s">
        <v>19</v>
      </c>
      <c r="F219" s="140" t="s">
        <v>157</v>
      </c>
      <c r="G219" s="140" t="s">
        <v>21</v>
      </c>
      <c r="H219" s="140" t="s">
        <v>42</v>
      </c>
      <c r="I219" s="140" t="s">
        <v>21</v>
      </c>
      <c r="J219" s="174"/>
    </row>
    <row r="220" hidden="1" customHeight="1" spans="1:10">
      <c r="A220" s="140" t="s">
        <v>187</v>
      </c>
      <c r="B220" s="140" t="s">
        <v>166</v>
      </c>
      <c r="C220" s="171">
        <v>45710</v>
      </c>
      <c r="D220" s="172" t="s">
        <v>27</v>
      </c>
      <c r="E220" s="173" t="s">
        <v>13</v>
      </c>
      <c r="F220" s="140" t="s">
        <v>14</v>
      </c>
      <c r="G220" s="140" t="s">
        <v>14</v>
      </c>
      <c r="H220" s="140" t="s">
        <v>14</v>
      </c>
      <c r="I220" s="140" t="s">
        <v>14</v>
      </c>
      <c r="J220" s="174"/>
    </row>
    <row r="221" hidden="1" customHeight="1" spans="1:10">
      <c r="A221" s="140" t="s">
        <v>187</v>
      </c>
      <c r="B221" s="140" t="s">
        <v>166</v>
      </c>
      <c r="C221" s="171">
        <v>45711</v>
      </c>
      <c r="D221" s="172" t="s">
        <v>15</v>
      </c>
      <c r="E221" s="173" t="s">
        <v>13</v>
      </c>
      <c r="F221" s="140" t="s">
        <v>14</v>
      </c>
      <c r="G221" s="140" t="s">
        <v>14</v>
      </c>
      <c r="H221" s="140" t="s">
        <v>14</v>
      </c>
      <c r="I221" s="140" t="s">
        <v>14</v>
      </c>
      <c r="J221" s="174"/>
    </row>
    <row r="222" hidden="1" customHeight="1" spans="1:10">
      <c r="A222" s="140" t="s">
        <v>187</v>
      </c>
      <c r="B222" s="140" t="s">
        <v>166</v>
      </c>
      <c r="C222" s="171">
        <v>45712</v>
      </c>
      <c r="D222" s="172" t="s">
        <v>16</v>
      </c>
      <c r="E222" s="140" t="s">
        <v>19</v>
      </c>
      <c r="F222" s="140" t="s">
        <v>193</v>
      </c>
      <c r="G222" s="140" t="s">
        <v>21</v>
      </c>
      <c r="H222" s="140" t="s">
        <v>168</v>
      </c>
      <c r="I222" s="140" t="s">
        <v>21</v>
      </c>
      <c r="J222" s="174"/>
    </row>
    <row r="223" hidden="1" customHeight="1" spans="1:10">
      <c r="A223" s="140" t="s">
        <v>187</v>
      </c>
      <c r="B223" s="140" t="s">
        <v>166</v>
      </c>
      <c r="C223" s="171">
        <v>45713</v>
      </c>
      <c r="D223" s="172" t="s">
        <v>17</v>
      </c>
      <c r="E223" s="140" t="s">
        <v>19</v>
      </c>
      <c r="F223" s="140" t="s">
        <v>157</v>
      </c>
      <c r="G223" s="140" t="s">
        <v>21</v>
      </c>
      <c r="H223" s="140" t="s">
        <v>170</v>
      </c>
      <c r="I223" s="140" t="s">
        <v>21</v>
      </c>
      <c r="J223" s="174"/>
    </row>
    <row r="224" hidden="1" customHeight="1" spans="1:10">
      <c r="A224" s="140" t="s">
        <v>187</v>
      </c>
      <c r="B224" s="140" t="s">
        <v>166</v>
      </c>
      <c r="C224" s="171">
        <v>45714</v>
      </c>
      <c r="D224" s="172" t="s">
        <v>18</v>
      </c>
      <c r="E224" s="140" t="s">
        <v>19</v>
      </c>
      <c r="F224" s="140" t="s">
        <v>157</v>
      </c>
      <c r="G224" s="140" t="s">
        <v>21</v>
      </c>
      <c r="H224" s="140" t="s">
        <v>194</v>
      </c>
      <c r="I224" s="140" t="s">
        <v>21</v>
      </c>
      <c r="J224" s="174"/>
    </row>
    <row r="225" hidden="1" customHeight="1" spans="1:10">
      <c r="A225" s="140" t="s">
        <v>187</v>
      </c>
      <c r="B225" s="140" t="s">
        <v>166</v>
      </c>
      <c r="C225" s="171">
        <v>45715</v>
      </c>
      <c r="D225" s="172" t="s">
        <v>23</v>
      </c>
      <c r="E225" s="140" t="s">
        <v>19</v>
      </c>
      <c r="F225" s="140" t="s">
        <v>188</v>
      </c>
      <c r="G225" s="140" t="s">
        <v>21</v>
      </c>
      <c r="H225" s="140" t="s">
        <v>50</v>
      </c>
      <c r="I225" s="140" t="s">
        <v>21</v>
      </c>
      <c r="J225" s="174"/>
    </row>
    <row r="226" hidden="1" customHeight="1" spans="1:10">
      <c r="A226" s="140" t="s">
        <v>187</v>
      </c>
      <c r="B226" s="140" t="s">
        <v>166</v>
      </c>
      <c r="C226" s="171">
        <v>45716</v>
      </c>
      <c r="D226" s="172" t="s">
        <v>25</v>
      </c>
      <c r="E226" s="140" t="s">
        <v>19</v>
      </c>
      <c r="F226" s="140" t="s">
        <v>195</v>
      </c>
      <c r="G226" s="140" t="s">
        <v>21</v>
      </c>
      <c r="H226" s="140" t="s">
        <v>196</v>
      </c>
      <c r="I226" s="140" t="s">
        <v>21</v>
      </c>
      <c r="J226" s="174"/>
    </row>
    <row r="227" hidden="1" customHeight="1" spans="1:10">
      <c r="A227" s="140" t="s">
        <v>197</v>
      </c>
      <c r="B227" s="140" t="s">
        <v>198</v>
      </c>
      <c r="C227" s="171">
        <v>45689</v>
      </c>
      <c r="D227" s="172" t="s">
        <v>12</v>
      </c>
      <c r="E227" s="173" t="s">
        <v>13</v>
      </c>
      <c r="F227" s="140" t="s">
        <v>14</v>
      </c>
      <c r="G227" s="140" t="s">
        <v>14</v>
      </c>
      <c r="H227" s="140" t="s">
        <v>14</v>
      </c>
      <c r="I227" s="140" t="s">
        <v>14</v>
      </c>
      <c r="J227" s="175"/>
    </row>
    <row r="228" hidden="1" customHeight="1" spans="1:10">
      <c r="A228" s="140" t="s">
        <v>197</v>
      </c>
      <c r="B228" s="140" t="s">
        <v>198</v>
      </c>
      <c r="C228" s="171">
        <v>45690</v>
      </c>
      <c r="D228" s="172" t="s">
        <v>15</v>
      </c>
      <c r="E228" s="173" t="s">
        <v>13</v>
      </c>
      <c r="F228" s="140" t="s">
        <v>14</v>
      </c>
      <c r="G228" s="140" t="s">
        <v>14</v>
      </c>
      <c r="H228" s="140" t="s">
        <v>14</v>
      </c>
      <c r="I228" s="140" t="s">
        <v>14</v>
      </c>
      <c r="J228" s="175"/>
    </row>
    <row r="229" hidden="1" customHeight="1" spans="1:10">
      <c r="A229" s="140" t="s">
        <v>197</v>
      </c>
      <c r="B229" s="140" t="s">
        <v>198</v>
      </c>
      <c r="C229" s="171">
        <v>45691</v>
      </c>
      <c r="D229" s="172" t="s">
        <v>16</v>
      </c>
      <c r="E229" s="173" t="s">
        <v>13</v>
      </c>
      <c r="F229" s="140" t="s">
        <v>14</v>
      </c>
      <c r="G229" s="140" t="s">
        <v>14</v>
      </c>
      <c r="H229" s="140" t="s">
        <v>14</v>
      </c>
      <c r="I229" s="140" t="s">
        <v>14</v>
      </c>
      <c r="J229" s="174"/>
    </row>
    <row r="230" hidden="1" customHeight="1" spans="1:10">
      <c r="A230" s="140" t="s">
        <v>197</v>
      </c>
      <c r="B230" s="140" t="s">
        <v>198</v>
      </c>
      <c r="C230" s="171">
        <v>45692</v>
      </c>
      <c r="D230" s="172" t="s">
        <v>17</v>
      </c>
      <c r="E230" s="173" t="s">
        <v>13</v>
      </c>
      <c r="F230" s="140" t="s">
        <v>14</v>
      </c>
      <c r="G230" s="140" t="s">
        <v>14</v>
      </c>
      <c r="H230" s="140" t="s">
        <v>14</v>
      </c>
      <c r="I230" s="140" t="s">
        <v>14</v>
      </c>
      <c r="J230" s="174"/>
    </row>
    <row r="231" hidden="1" customHeight="1" spans="1:10">
      <c r="A231" s="140" t="s">
        <v>197</v>
      </c>
      <c r="B231" s="140" t="s">
        <v>198</v>
      </c>
      <c r="C231" s="171">
        <v>45693</v>
      </c>
      <c r="D231" s="172" t="s">
        <v>18</v>
      </c>
      <c r="E231" s="140" t="s">
        <v>19</v>
      </c>
      <c r="F231" s="140" t="s">
        <v>143</v>
      </c>
      <c r="G231" s="140" t="s">
        <v>21</v>
      </c>
      <c r="H231" s="140" t="s">
        <v>184</v>
      </c>
      <c r="I231" s="140" t="s">
        <v>21</v>
      </c>
      <c r="J231" s="174"/>
    </row>
    <row r="232" customHeight="1" spans="1:10">
      <c r="A232" s="140" t="s">
        <v>197</v>
      </c>
      <c r="B232" s="140" t="s">
        <v>198</v>
      </c>
      <c r="C232" s="171">
        <v>45694</v>
      </c>
      <c r="D232" s="172" t="s">
        <v>23</v>
      </c>
      <c r="E232" s="140" t="s">
        <v>19</v>
      </c>
      <c r="F232" s="140" t="s">
        <v>14</v>
      </c>
      <c r="G232" s="176" t="s">
        <v>68</v>
      </c>
      <c r="H232" s="140" t="s">
        <v>14</v>
      </c>
      <c r="I232" s="176" t="s">
        <v>68</v>
      </c>
      <c r="J232" s="175" t="s">
        <v>69</v>
      </c>
    </row>
    <row r="233" hidden="1" customHeight="1" spans="1:10">
      <c r="A233" s="140" t="s">
        <v>197</v>
      </c>
      <c r="B233" s="140" t="s">
        <v>198</v>
      </c>
      <c r="C233" s="171">
        <v>45695</v>
      </c>
      <c r="D233" s="172" t="s">
        <v>25</v>
      </c>
      <c r="E233" s="140" t="s">
        <v>19</v>
      </c>
      <c r="F233" s="140" t="s">
        <v>98</v>
      </c>
      <c r="G233" s="140" t="s">
        <v>21</v>
      </c>
      <c r="H233" s="140" t="s">
        <v>199</v>
      </c>
      <c r="I233" s="140" t="s">
        <v>21</v>
      </c>
      <c r="J233" s="174"/>
    </row>
    <row r="234" hidden="1" customHeight="1" spans="1:10">
      <c r="A234" s="140" t="s">
        <v>197</v>
      </c>
      <c r="B234" s="140" t="s">
        <v>198</v>
      </c>
      <c r="C234" s="171">
        <v>45696</v>
      </c>
      <c r="D234" s="172" t="s">
        <v>27</v>
      </c>
      <c r="E234" s="140" t="s">
        <v>19</v>
      </c>
      <c r="F234" s="140" t="s">
        <v>110</v>
      </c>
      <c r="G234" s="140" t="s">
        <v>21</v>
      </c>
      <c r="H234" s="140" t="s">
        <v>200</v>
      </c>
      <c r="I234" s="140" t="s">
        <v>21</v>
      </c>
      <c r="J234" s="174"/>
    </row>
    <row r="235" hidden="1" customHeight="1" spans="1:10">
      <c r="A235" s="140" t="s">
        <v>197</v>
      </c>
      <c r="B235" s="140" t="s">
        <v>198</v>
      </c>
      <c r="C235" s="171">
        <v>45697</v>
      </c>
      <c r="D235" s="172" t="s">
        <v>15</v>
      </c>
      <c r="E235" s="173" t="s">
        <v>13</v>
      </c>
      <c r="F235" s="140" t="s">
        <v>14</v>
      </c>
      <c r="G235" s="140" t="s">
        <v>14</v>
      </c>
      <c r="H235" s="140" t="s">
        <v>14</v>
      </c>
      <c r="I235" s="140" t="s">
        <v>14</v>
      </c>
      <c r="J235" s="174"/>
    </row>
    <row r="236" hidden="1" customHeight="1" spans="1:10">
      <c r="A236" s="140" t="s">
        <v>197</v>
      </c>
      <c r="B236" s="140" t="s">
        <v>198</v>
      </c>
      <c r="C236" s="171">
        <v>45698</v>
      </c>
      <c r="D236" s="172" t="s">
        <v>16</v>
      </c>
      <c r="E236" s="140" t="s">
        <v>19</v>
      </c>
      <c r="F236" s="140" t="s">
        <v>139</v>
      </c>
      <c r="G236" s="140" t="s">
        <v>21</v>
      </c>
      <c r="H236" s="140" t="s">
        <v>31</v>
      </c>
      <c r="I236" s="140" t="s">
        <v>21</v>
      </c>
      <c r="J236" s="174"/>
    </row>
    <row r="237" hidden="1" customHeight="1" spans="1:10">
      <c r="A237" s="140" t="s">
        <v>197</v>
      </c>
      <c r="B237" s="140" t="s">
        <v>198</v>
      </c>
      <c r="C237" s="171">
        <v>45699</v>
      </c>
      <c r="D237" s="172" t="s">
        <v>17</v>
      </c>
      <c r="E237" s="140" t="s">
        <v>19</v>
      </c>
      <c r="F237" s="140" t="s">
        <v>107</v>
      </c>
      <c r="G237" s="140" t="s">
        <v>21</v>
      </c>
      <c r="H237" s="140" t="s">
        <v>201</v>
      </c>
      <c r="I237" s="140" t="s">
        <v>21</v>
      </c>
      <c r="J237" s="174"/>
    </row>
    <row r="238" hidden="1" customHeight="1" spans="1:10">
      <c r="A238" s="140" t="s">
        <v>197</v>
      </c>
      <c r="B238" s="140" t="s">
        <v>198</v>
      </c>
      <c r="C238" s="171">
        <v>45700</v>
      </c>
      <c r="D238" s="172" t="s">
        <v>18</v>
      </c>
      <c r="E238" s="140" t="s">
        <v>19</v>
      </c>
      <c r="F238" s="140" t="s">
        <v>143</v>
      </c>
      <c r="G238" s="140" t="s">
        <v>21</v>
      </c>
      <c r="H238" s="140" t="s">
        <v>189</v>
      </c>
      <c r="I238" s="140" t="s">
        <v>21</v>
      </c>
      <c r="J238" s="174"/>
    </row>
    <row r="239" hidden="1" customHeight="1" spans="1:10">
      <c r="A239" s="140" t="s">
        <v>197</v>
      </c>
      <c r="B239" s="140" t="s">
        <v>198</v>
      </c>
      <c r="C239" s="171">
        <v>45701</v>
      </c>
      <c r="D239" s="172" t="s">
        <v>23</v>
      </c>
      <c r="E239" s="140" t="s">
        <v>19</v>
      </c>
      <c r="F239" s="140" t="s">
        <v>51</v>
      </c>
      <c r="G239" s="140" t="s">
        <v>21</v>
      </c>
      <c r="H239" s="140" t="s">
        <v>95</v>
      </c>
      <c r="I239" s="140" t="s">
        <v>21</v>
      </c>
      <c r="J239" s="174"/>
    </row>
    <row r="240" hidden="1" customHeight="1" spans="1:10">
      <c r="A240" s="140" t="s">
        <v>197</v>
      </c>
      <c r="B240" s="140" t="s">
        <v>198</v>
      </c>
      <c r="C240" s="171">
        <v>45702</v>
      </c>
      <c r="D240" s="172" t="s">
        <v>25</v>
      </c>
      <c r="E240" s="140" t="s">
        <v>19</v>
      </c>
      <c r="F240" s="140" t="s">
        <v>133</v>
      </c>
      <c r="G240" s="140" t="s">
        <v>21</v>
      </c>
      <c r="H240" s="140" t="s">
        <v>158</v>
      </c>
      <c r="I240" s="140" t="s">
        <v>21</v>
      </c>
      <c r="J240" s="174"/>
    </row>
    <row r="241" hidden="1" customHeight="1" spans="1:10">
      <c r="A241" s="140" t="s">
        <v>197</v>
      </c>
      <c r="B241" s="140" t="s">
        <v>198</v>
      </c>
      <c r="C241" s="171">
        <v>45703</v>
      </c>
      <c r="D241" s="172" t="s">
        <v>27</v>
      </c>
      <c r="E241" s="173" t="s">
        <v>13</v>
      </c>
      <c r="F241" s="140" t="s">
        <v>14</v>
      </c>
      <c r="G241" s="140" t="s">
        <v>14</v>
      </c>
      <c r="H241" s="140" t="s">
        <v>14</v>
      </c>
      <c r="I241" s="140" t="s">
        <v>14</v>
      </c>
      <c r="J241" s="174"/>
    </row>
    <row r="242" hidden="1" customHeight="1" spans="1:10">
      <c r="A242" s="140" t="s">
        <v>197</v>
      </c>
      <c r="B242" s="140" t="s">
        <v>198</v>
      </c>
      <c r="C242" s="171">
        <v>45704</v>
      </c>
      <c r="D242" s="172" t="s">
        <v>15</v>
      </c>
      <c r="E242" s="173" t="s">
        <v>13</v>
      </c>
      <c r="F242" s="140" t="s">
        <v>14</v>
      </c>
      <c r="G242" s="140" t="s">
        <v>14</v>
      </c>
      <c r="H242" s="140" t="s">
        <v>14</v>
      </c>
      <c r="I242" s="140" t="s">
        <v>14</v>
      </c>
      <c r="J242" s="174"/>
    </row>
    <row r="243" hidden="1" customHeight="1" spans="1:10">
      <c r="A243" s="140" t="s">
        <v>197</v>
      </c>
      <c r="B243" s="140" t="s">
        <v>198</v>
      </c>
      <c r="C243" s="171">
        <v>45705</v>
      </c>
      <c r="D243" s="172" t="s">
        <v>16</v>
      </c>
      <c r="E243" s="140" t="s">
        <v>19</v>
      </c>
      <c r="F243" s="140" t="s">
        <v>139</v>
      </c>
      <c r="G243" s="140" t="s">
        <v>21</v>
      </c>
      <c r="H243" s="140" t="s">
        <v>54</v>
      </c>
      <c r="I243" s="140" t="s">
        <v>21</v>
      </c>
      <c r="J243" s="174"/>
    </row>
    <row r="244" hidden="1" customHeight="1" spans="1:10">
      <c r="A244" s="140" t="s">
        <v>197</v>
      </c>
      <c r="B244" s="140" t="s">
        <v>198</v>
      </c>
      <c r="C244" s="171">
        <v>45706</v>
      </c>
      <c r="D244" s="172" t="s">
        <v>17</v>
      </c>
      <c r="E244" s="140" t="s">
        <v>19</v>
      </c>
      <c r="F244" s="140" t="s">
        <v>195</v>
      </c>
      <c r="G244" s="140" t="s">
        <v>21</v>
      </c>
      <c r="H244" s="140" t="s">
        <v>79</v>
      </c>
      <c r="I244" s="140" t="s">
        <v>21</v>
      </c>
      <c r="J244" s="174"/>
    </row>
    <row r="245" hidden="1" customHeight="1" spans="1:10">
      <c r="A245" s="140" t="s">
        <v>197</v>
      </c>
      <c r="B245" s="140" t="s">
        <v>198</v>
      </c>
      <c r="C245" s="171">
        <v>45707</v>
      </c>
      <c r="D245" s="172" t="s">
        <v>18</v>
      </c>
      <c r="E245" s="140" t="s">
        <v>19</v>
      </c>
      <c r="F245" s="140" t="s">
        <v>143</v>
      </c>
      <c r="G245" s="140" t="s">
        <v>21</v>
      </c>
      <c r="H245" s="140" t="s">
        <v>71</v>
      </c>
      <c r="I245" s="140" t="s">
        <v>21</v>
      </c>
      <c r="J245" s="174"/>
    </row>
    <row r="246" hidden="1" customHeight="1" spans="1:10">
      <c r="A246" s="140" t="s">
        <v>197</v>
      </c>
      <c r="B246" s="140" t="s">
        <v>198</v>
      </c>
      <c r="C246" s="171">
        <v>45708</v>
      </c>
      <c r="D246" s="172" t="s">
        <v>23</v>
      </c>
      <c r="E246" s="140" t="s">
        <v>19</v>
      </c>
      <c r="F246" s="140" t="s">
        <v>177</v>
      </c>
      <c r="G246" s="140" t="s">
        <v>21</v>
      </c>
      <c r="H246" s="140" t="s">
        <v>123</v>
      </c>
      <c r="I246" s="140" t="s">
        <v>21</v>
      </c>
      <c r="J246" s="174"/>
    </row>
    <row r="247" hidden="1" customHeight="1" spans="1:10">
      <c r="A247" s="140" t="s">
        <v>197</v>
      </c>
      <c r="B247" s="140" t="s">
        <v>198</v>
      </c>
      <c r="C247" s="171">
        <v>45709</v>
      </c>
      <c r="D247" s="172" t="s">
        <v>25</v>
      </c>
      <c r="E247" s="140" t="s">
        <v>19</v>
      </c>
      <c r="F247" s="140" t="s">
        <v>94</v>
      </c>
      <c r="G247" s="140" t="s">
        <v>21</v>
      </c>
      <c r="H247" s="140" t="s">
        <v>202</v>
      </c>
      <c r="I247" s="140" t="s">
        <v>21</v>
      </c>
      <c r="J247" s="174"/>
    </row>
    <row r="248" hidden="1" customHeight="1" spans="1:10">
      <c r="A248" s="140" t="s">
        <v>197</v>
      </c>
      <c r="B248" s="140" t="s">
        <v>198</v>
      </c>
      <c r="C248" s="171">
        <v>45710</v>
      </c>
      <c r="D248" s="172" t="s">
        <v>27</v>
      </c>
      <c r="E248" s="173" t="s">
        <v>13</v>
      </c>
      <c r="F248" s="140" t="s">
        <v>14</v>
      </c>
      <c r="G248" s="140" t="s">
        <v>14</v>
      </c>
      <c r="H248" s="140" t="s">
        <v>14</v>
      </c>
      <c r="I248" s="140" t="s">
        <v>14</v>
      </c>
      <c r="J248" s="174"/>
    </row>
    <row r="249" hidden="1" customHeight="1" spans="1:10">
      <c r="A249" s="140" t="s">
        <v>197</v>
      </c>
      <c r="B249" s="140" t="s">
        <v>198</v>
      </c>
      <c r="C249" s="171">
        <v>45711</v>
      </c>
      <c r="D249" s="172" t="s">
        <v>15</v>
      </c>
      <c r="E249" s="173" t="s">
        <v>13</v>
      </c>
      <c r="F249" s="140" t="s">
        <v>14</v>
      </c>
      <c r="G249" s="140" t="s">
        <v>14</v>
      </c>
      <c r="H249" s="140" t="s">
        <v>14</v>
      </c>
      <c r="I249" s="140" t="s">
        <v>14</v>
      </c>
      <c r="J249" s="174"/>
    </row>
    <row r="250" hidden="1" customHeight="1" spans="1:10">
      <c r="A250" s="140" t="s">
        <v>197</v>
      </c>
      <c r="B250" s="140" t="s">
        <v>198</v>
      </c>
      <c r="C250" s="171">
        <v>45712</v>
      </c>
      <c r="D250" s="172" t="s">
        <v>16</v>
      </c>
      <c r="E250" s="140" t="s">
        <v>19</v>
      </c>
      <c r="F250" s="140" t="s">
        <v>20</v>
      </c>
      <c r="G250" s="140" t="s">
        <v>21</v>
      </c>
      <c r="H250" s="140" t="s">
        <v>73</v>
      </c>
      <c r="I250" s="140" t="s">
        <v>21</v>
      </c>
      <c r="J250" s="174"/>
    </row>
    <row r="251" hidden="1" customHeight="1" spans="1:10">
      <c r="A251" s="140" t="s">
        <v>197</v>
      </c>
      <c r="B251" s="140" t="s">
        <v>198</v>
      </c>
      <c r="C251" s="171">
        <v>45713</v>
      </c>
      <c r="D251" s="172" t="s">
        <v>17</v>
      </c>
      <c r="E251" s="140" t="s">
        <v>19</v>
      </c>
      <c r="F251" s="140" t="s">
        <v>143</v>
      </c>
      <c r="G251" s="140" t="s">
        <v>21</v>
      </c>
      <c r="H251" s="140" t="s">
        <v>158</v>
      </c>
      <c r="I251" s="140" t="s">
        <v>21</v>
      </c>
      <c r="J251" s="174"/>
    </row>
    <row r="252" hidden="1" customHeight="1" spans="1:10">
      <c r="A252" s="140" t="s">
        <v>197</v>
      </c>
      <c r="B252" s="140" t="s">
        <v>198</v>
      </c>
      <c r="C252" s="171">
        <v>45714</v>
      </c>
      <c r="D252" s="172" t="s">
        <v>18</v>
      </c>
      <c r="E252" s="140" t="s">
        <v>19</v>
      </c>
      <c r="F252" s="140" t="s">
        <v>94</v>
      </c>
      <c r="G252" s="140" t="s">
        <v>21</v>
      </c>
      <c r="H252" s="140" t="s">
        <v>142</v>
      </c>
      <c r="I252" s="140" t="s">
        <v>21</v>
      </c>
      <c r="J252" s="174"/>
    </row>
    <row r="253" hidden="1" customHeight="1" spans="1:10">
      <c r="A253" s="140" t="s">
        <v>197</v>
      </c>
      <c r="B253" s="140" t="s">
        <v>198</v>
      </c>
      <c r="C253" s="171">
        <v>45715</v>
      </c>
      <c r="D253" s="172" t="s">
        <v>23</v>
      </c>
      <c r="E253" s="140" t="s">
        <v>19</v>
      </c>
      <c r="F253" s="140" t="s">
        <v>146</v>
      </c>
      <c r="G253" s="140" t="s">
        <v>21</v>
      </c>
      <c r="H253" s="140" t="s">
        <v>163</v>
      </c>
      <c r="I253" s="140" t="s">
        <v>21</v>
      </c>
      <c r="J253" s="174"/>
    </row>
    <row r="254" hidden="1" customHeight="1" spans="1:10">
      <c r="A254" s="140" t="s">
        <v>197</v>
      </c>
      <c r="B254" s="140" t="s">
        <v>198</v>
      </c>
      <c r="C254" s="171">
        <v>45716</v>
      </c>
      <c r="D254" s="172" t="s">
        <v>25</v>
      </c>
      <c r="E254" s="140" t="s">
        <v>19</v>
      </c>
      <c r="F254" s="140" t="s">
        <v>195</v>
      </c>
      <c r="G254" s="140" t="s">
        <v>21</v>
      </c>
      <c r="H254" s="140" t="s">
        <v>152</v>
      </c>
      <c r="I254" s="140" t="s">
        <v>21</v>
      </c>
      <c r="J254" s="174"/>
    </row>
    <row r="255" customHeight="1" spans="1:10">
      <c r="A255" s="140" t="s">
        <v>203</v>
      </c>
      <c r="B255" s="140" t="s">
        <v>166</v>
      </c>
      <c r="C255" s="171">
        <v>45708</v>
      </c>
      <c r="D255" s="172" t="s">
        <v>23</v>
      </c>
      <c r="E255" s="140" t="s">
        <v>19</v>
      </c>
      <c r="F255" s="140" t="s">
        <v>14</v>
      </c>
      <c r="G255" s="176" t="s">
        <v>68</v>
      </c>
      <c r="H255" s="140" t="s">
        <v>53</v>
      </c>
      <c r="I255" s="140" t="s">
        <v>21</v>
      </c>
      <c r="J255" s="174" t="s">
        <v>204</v>
      </c>
    </row>
    <row r="256" hidden="1" customHeight="1" spans="1:10">
      <c r="A256" s="140" t="s">
        <v>203</v>
      </c>
      <c r="B256" s="140" t="s">
        <v>166</v>
      </c>
      <c r="C256" s="171">
        <v>45709</v>
      </c>
      <c r="D256" s="172" t="s">
        <v>25</v>
      </c>
      <c r="E256" s="140" t="s">
        <v>19</v>
      </c>
      <c r="F256" s="140" t="s">
        <v>28</v>
      </c>
      <c r="G256" s="140" t="s">
        <v>21</v>
      </c>
      <c r="H256" s="140" t="s">
        <v>122</v>
      </c>
      <c r="I256" s="140" t="s">
        <v>21</v>
      </c>
      <c r="J256" s="174"/>
    </row>
    <row r="257" hidden="1" customHeight="1" spans="1:10">
      <c r="A257" s="140" t="s">
        <v>203</v>
      </c>
      <c r="B257" s="140" t="s">
        <v>166</v>
      </c>
      <c r="C257" s="171">
        <v>45710</v>
      </c>
      <c r="D257" s="172" t="s">
        <v>27</v>
      </c>
      <c r="E257" s="173" t="s">
        <v>13</v>
      </c>
      <c r="F257" s="140" t="s">
        <v>14</v>
      </c>
      <c r="G257" s="140" t="s">
        <v>14</v>
      </c>
      <c r="H257" s="140" t="s">
        <v>14</v>
      </c>
      <c r="I257" s="140" t="s">
        <v>14</v>
      </c>
      <c r="J257" s="174"/>
    </row>
    <row r="258" hidden="1" customHeight="1" spans="1:10">
      <c r="A258" s="140" t="s">
        <v>203</v>
      </c>
      <c r="B258" s="140" t="s">
        <v>166</v>
      </c>
      <c r="C258" s="171">
        <v>45711</v>
      </c>
      <c r="D258" s="172" t="s">
        <v>15</v>
      </c>
      <c r="E258" s="173" t="s">
        <v>13</v>
      </c>
      <c r="F258" s="140" t="s">
        <v>14</v>
      </c>
      <c r="G258" s="140" t="s">
        <v>14</v>
      </c>
      <c r="H258" s="140" t="s">
        <v>14</v>
      </c>
      <c r="I258" s="140" t="s">
        <v>14</v>
      </c>
      <c r="J258" s="174"/>
    </row>
    <row r="259" hidden="1" customHeight="1" spans="1:10">
      <c r="A259" s="140" t="s">
        <v>203</v>
      </c>
      <c r="B259" s="140" t="s">
        <v>166</v>
      </c>
      <c r="C259" s="171">
        <v>45712</v>
      </c>
      <c r="D259" s="172" t="s">
        <v>16</v>
      </c>
      <c r="E259" s="140" t="s">
        <v>19</v>
      </c>
      <c r="F259" s="140" t="s">
        <v>30</v>
      </c>
      <c r="G259" s="140" t="s">
        <v>21</v>
      </c>
      <c r="H259" s="140" t="s">
        <v>205</v>
      </c>
      <c r="I259" s="140" t="s">
        <v>21</v>
      </c>
      <c r="J259" s="174"/>
    </row>
    <row r="260" hidden="1" customHeight="1" spans="1:10">
      <c r="A260" s="140" t="s">
        <v>203</v>
      </c>
      <c r="B260" s="140" t="s">
        <v>166</v>
      </c>
      <c r="C260" s="171">
        <v>45713</v>
      </c>
      <c r="D260" s="172" t="s">
        <v>17</v>
      </c>
      <c r="E260" s="140" t="s">
        <v>19</v>
      </c>
      <c r="F260" s="140" t="s">
        <v>40</v>
      </c>
      <c r="G260" s="140" t="s">
        <v>21</v>
      </c>
      <c r="H260" s="140" t="s">
        <v>206</v>
      </c>
      <c r="I260" s="140" t="s">
        <v>21</v>
      </c>
      <c r="J260" s="174"/>
    </row>
    <row r="261" hidden="1" customHeight="1" spans="1:10">
      <c r="A261" s="140" t="s">
        <v>203</v>
      </c>
      <c r="B261" s="140" t="s">
        <v>166</v>
      </c>
      <c r="C261" s="171">
        <v>45714</v>
      </c>
      <c r="D261" s="172" t="s">
        <v>18</v>
      </c>
      <c r="E261" s="140" t="s">
        <v>19</v>
      </c>
      <c r="F261" s="140" t="s">
        <v>30</v>
      </c>
      <c r="G261" s="140" t="s">
        <v>21</v>
      </c>
      <c r="H261" s="140" t="s">
        <v>167</v>
      </c>
      <c r="I261" s="140" t="s">
        <v>21</v>
      </c>
      <c r="J261" s="174"/>
    </row>
    <row r="262" hidden="1" customHeight="1" spans="1:10">
      <c r="A262" s="140" t="s">
        <v>203</v>
      </c>
      <c r="B262" s="140" t="s">
        <v>166</v>
      </c>
      <c r="C262" s="171">
        <v>45715</v>
      </c>
      <c r="D262" s="172" t="s">
        <v>23</v>
      </c>
      <c r="E262" s="140" t="s">
        <v>19</v>
      </c>
      <c r="F262" s="140" t="s">
        <v>157</v>
      </c>
      <c r="G262" s="140" t="s">
        <v>21</v>
      </c>
      <c r="H262" s="140" t="s">
        <v>73</v>
      </c>
      <c r="I262" s="140" t="s">
        <v>21</v>
      </c>
      <c r="J262" s="174"/>
    </row>
    <row r="263" hidden="1" customHeight="1" spans="1:10">
      <c r="A263" s="140" t="s">
        <v>203</v>
      </c>
      <c r="B263" s="140" t="s">
        <v>166</v>
      </c>
      <c r="C263" s="171">
        <v>45716</v>
      </c>
      <c r="D263" s="172" t="s">
        <v>25</v>
      </c>
      <c r="E263" s="140" t="s">
        <v>19</v>
      </c>
      <c r="F263" s="140" t="s">
        <v>28</v>
      </c>
      <c r="G263" s="140" t="s">
        <v>21</v>
      </c>
      <c r="H263" s="140" t="s">
        <v>207</v>
      </c>
      <c r="I263" s="140" t="s">
        <v>21</v>
      </c>
      <c r="J263" s="174"/>
    </row>
    <row r="264" hidden="1" customHeight="1" spans="1:10">
      <c r="A264" s="140" t="s">
        <v>208</v>
      </c>
      <c r="B264" s="140" t="s">
        <v>166</v>
      </c>
      <c r="C264" s="171">
        <v>45689</v>
      </c>
      <c r="D264" s="172" t="s">
        <v>12</v>
      </c>
      <c r="E264" s="173" t="s">
        <v>13</v>
      </c>
      <c r="F264" s="140" t="s">
        <v>14</v>
      </c>
      <c r="G264" s="140" t="s">
        <v>14</v>
      </c>
      <c r="H264" s="140" t="s">
        <v>14</v>
      </c>
      <c r="I264" s="140" t="s">
        <v>14</v>
      </c>
      <c r="J264" s="174"/>
    </row>
    <row r="265" hidden="1" customHeight="1" spans="1:10">
      <c r="A265" s="140" t="s">
        <v>208</v>
      </c>
      <c r="B265" s="140" t="s">
        <v>166</v>
      </c>
      <c r="C265" s="171">
        <v>45690</v>
      </c>
      <c r="D265" s="172" t="s">
        <v>15</v>
      </c>
      <c r="E265" s="173" t="s">
        <v>13</v>
      </c>
      <c r="F265" s="140" t="s">
        <v>14</v>
      </c>
      <c r="G265" s="140" t="s">
        <v>14</v>
      </c>
      <c r="H265" s="140" t="s">
        <v>14</v>
      </c>
      <c r="I265" s="140" t="s">
        <v>14</v>
      </c>
      <c r="J265" s="174"/>
    </row>
    <row r="266" hidden="1" customHeight="1" spans="1:10">
      <c r="A266" s="140" t="s">
        <v>208</v>
      </c>
      <c r="B266" s="140" t="s">
        <v>166</v>
      </c>
      <c r="C266" s="171">
        <v>45691</v>
      </c>
      <c r="D266" s="172" t="s">
        <v>16</v>
      </c>
      <c r="E266" s="173" t="s">
        <v>13</v>
      </c>
      <c r="F266" s="140" t="s">
        <v>14</v>
      </c>
      <c r="G266" s="140" t="s">
        <v>14</v>
      </c>
      <c r="H266" s="140" t="s">
        <v>14</v>
      </c>
      <c r="I266" s="140" t="s">
        <v>14</v>
      </c>
      <c r="J266" s="174"/>
    </row>
    <row r="267" hidden="1" customHeight="1" spans="1:10">
      <c r="A267" s="140" t="s">
        <v>208</v>
      </c>
      <c r="B267" s="140" t="s">
        <v>166</v>
      </c>
      <c r="C267" s="171">
        <v>45692</v>
      </c>
      <c r="D267" s="172" t="s">
        <v>17</v>
      </c>
      <c r="E267" s="173" t="s">
        <v>13</v>
      </c>
      <c r="F267" s="140" t="s">
        <v>14</v>
      </c>
      <c r="G267" s="140" t="s">
        <v>14</v>
      </c>
      <c r="H267" s="140" t="s">
        <v>14</v>
      </c>
      <c r="I267" s="140" t="s">
        <v>14</v>
      </c>
      <c r="J267" s="174"/>
    </row>
    <row r="268" hidden="1" customHeight="1" spans="1:10">
      <c r="A268" s="140" t="s">
        <v>208</v>
      </c>
      <c r="B268" s="140" t="s">
        <v>166</v>
      </c>
      <c r="C268" s="171">
        <v>45693</v>
      </c>
      <c r="D268" s="172" t="s">
        <v>18</v>
      </c>
      <c r="E268" s="140" t="s">
        <v>19</v>
      </c>
      <c r="F268" s="140" t="s">
        <v>51</v>
      </c>
      <c r="G268" s="140" t="s">
        <v>21</v>
      </c>
      <c r="H268" s="140" t="s">
        <v>206</v>
      </c>
      <c r="I268" s="140" t="s">
        <v>21</v>
      </c>
      <c r="J268" s="174"/>
    </row>
    <row r="269" hidden="1" customHeight="1" spans="1:10">
      <c r="A269" s="140" t="s">
        <v>208</v>
      </c>
      <c r="B269" s="140" t="s">
        <v>166</v>
      </c>
      <c r="C269" s="171">
        <v>45694</v>
      </c>
      <c r="D269" s="172" t="s">
        <v>23</v>
      </c>
      <c r="E269" s="140" t="s">
        <v>19</v>
      </c>
      <c r="F269" s="140" t="s">
        <v>157</v>
      </c>
      <c r="G269" s="140" t="s">
        <v>21</v>
      </c>
      <c r="H269" s="140" t="s">
        <v>45</v>
      </c>
      <c r="I269" s="140" t="s">
        <v>21</v>
      </c>
      <c r="J269" s="174"/>
    </row>
    <row r="270" hidden="1" customHeight="1" spans="1:10">
      <c r="A270" s="140" t="s">
        <v>208</v>
      </c>
      <c r="B270" s="140" t="s">
        <v>166</v>
      </c>
      <c r="C270" s="171">
        <v>45695</v>
      </c>
      <c r="D270" s="172" t="s">
        <v>25</v>
      </c>
      <c r="E270" s="140" t="s">
        <v>19</v>
      </c>
      <c r="F270" s="140" t="s">
        <v>46</v>
      </c>
      <c r="G270" s="140" t="s">
        <v>21</v>
      </c>
      <c r="H270" s="140" t="s">
        <v>178</v>
      </c>
      <c r="I270" s="140" t="s">
        <v>21</v>
      </c>
      <c r="J270" s="174"/>
    </row>
    <row r="271" hidden="1" customHeight="1" spans="1:10">
      <c r="A271" s="140" t="s">
        <v>208</v>
      </c>
      <c r="B271" s="140" t="s">
        <v>166</v>
      </c>
      <c r="C271" s="171">
        <v>45696</v>
      </c>
      <c r="D271" s="172" t="s">
        <v>27</v>
      </c>
      <c r="E271" s="140" t="s">
        <v>19</v>
      </c>
      <c r="F271" s="140" t="s">
        <v>209</v>
      </c>
      <c r="G271" s="140" t="s">
        <v>21</v>
      </c>
      <c r="H271" s="140" t="s">
        <v>206</v>
      </c>
      <c r="I271" s="140" t="s">
        <v>21</v>
      </c>
      <c r="J271" s="174"/>
    </row>
    <row r="272" hidden="1" customHeight="1" spans="1:10">
      <c r="A272" s="140" t="s">
        <v>208</v>
      </c>
      <c r="B272" s="140" t="s">
        <v>166</v>
      </c>
      <c r="C272" s="171">
        <v>45697</v>
      </c>
      <c r="D272" s="172" t="s">
        <v>15</v>
      </c>
      <c r="E272" s="173" t="s">
        <v>13</v>
      </c>
      <c r="F272" s="140" t="s">
        <v>14</v>
      </c>
      <c r="G272" s="140" t="s">
        <v>14</v>
      </c>
      <c r="H272" s="140" t="s">
        <v>14</v>
      </c>
      <c r="I272" s="140" t="s">
        <v>14</v>
      </c>
      <c r="J272" s="174"/>
    </row>
    <row r="273" hidden="1" customHeight="1" spans="1:10">
      <c r="A273" s="140" t="s">
        <v>208</v>
      </c>
      <c r="B273" s="140" t="s">
        <v>166</v>
      </c>
      <c r="C273" s="171">
        <v>45698</v>
      </c>
      <c r="D273" s="172" t="s">
        <v>16</v>
      </c>
      <c r="E273" s="140" t="s">
        <v>19</v>
      </c>
      <c r="F273" s="140" t="s">
        <v>46</v>
      </c>
      <c r="G273" s="140" t="s">
        <v>21</v>
      </c>
      <c r="H273" s="140" t="s">
        <v>45</v>
      </c>
      <c r="I273" s="140" t="s">
        <v>21</v>
      </c>
      <c r="J273" s="174"/>
    </row>
    <row r="274" hidden="1" customHeight="1" spans="1:10">
      <c r="A274" s="140" t="s">
        <v>208</v>
      </c>
      <c r="B274" s="140" t="s">
        <v>166</v>
      </c>
      <c r="C274" s="171">
        <v>45699</v>
      </c>
      <c r="D274" s="172" t="s">
        <v>17</v>
      </c>
      <c r="E274" s="140" t="s">
        <v>19</v>
      </c>
      <c r="F274" s="140" t="s">
        <v>46</v>
      </c>
      <c r="G274" s="140" t="s">
        <v>21</v>
      </c>
      <c r="H274" s="140" t="s">
        <v>210</v>
      </c>
      <c r="I274" s="140" t="s">
        <v>21</v>
      </c>
      <c r="J274" s="174"/>
    </row>
    <row r="275" hidden="1" customHeight="1" spans="1:10">
      <c r="A275" s="140" t="s">
        <v>208</v>
      </c>
      <c r="B275" s="140" t="s">
        <v>166</v>
      </c>
      <c r="C275" s="171">
        <v>45700</v>
      </c>
      <c r="D275" s="172" t="s">
        <v>18</v>
      </c>
      <c r="E275" s="140" t="s">
        <v>19</v>
      </c>
      <c r="F275" s="140" t="s">
        <v>46</v>
      </c>
      <c r="G275" s="140" t="s">
        <v>21</v>
      </c>
      <c r="H275" s="140" t="s">
        <v>210</v>
      </c>
      <c r="I275" s="140" t="s">
        <v>21</v>
      </c>
      <c r="J275" s="174"/>
    </row>
    <row r="276" hidden="1" customHeight="1" spans="1:10">
      <c r="A276" s="140" t="s">
        <v>208</v>
      </c>
      <c r="B276" s="140" t="s">
        <v>166</v>
      </c>
      <c r="C276" s="171">
        <v>45701</v>
      </c>
      <c r="D276" s="172" t="s">
        <v>23</v>
      </c>
      <c r="E276" s="140" t="s">
        <v>19</v>
      </c>
      <c r="F276" s="140" t="s">
        <v>51</v>
      </c>
      <c r="G276" s="140" t="s">
        <v>21</v>
      </c>
      <c r="H276" s="140" t="s">
        <v>78</v>
      </c>
      <c r="I276" s="140" t="s">
        <v>21</v>
      </c>
      <c r="J276" s="174"/>
    </row>
    <row r="277" hidden="1" customHeight="1" spans="1:10">
      <c r="A277" s="140" t="s">
        <v>208</v>
      </c>
      <c r="B277" s="140" t="s">
        <v>166</v>
      </c>
      <c r="C277" s="171">
        <v>45702</v>
      </c>
      <c r="D277" s="172" t="s">
        <v>25</v>
      </c>
      <c r="E277" s="140" t="s">
        <v>19</v>
      </c>
      <c r="F277" s="140" t="s">
        <v>209</v>
      </c>
      <c r="G277" s="140" t="s">
        <v>21</v>
      </c>
      <c r="H277" s="140" t="s">
        <v>170</v>
      </c>
      <c r="I277" s="140" t="s">
        <v>21</v>
      </c>
      <c r="J277" s="174"/>
    </row>
    <row r="278" hidden="1" customHeight="1" spans="1:10">
      <c r="A278" s="140" t="s">
        <v>208</v>
      </c>
      <c r="B278" s="140" t="s">
        <v>166</v>
      </c>
      <c r="C278" s="171">
        <v>45703</v>
      </c>
      <c r="D278" s="172" t="s">
        <v>27</v>
      </c>
      <c r="E278" s="173" t="s">
        <v>13</v>
      </c>
      <c r="F278" s="140" t="s">
        <v>14</v>
      </c>
      <c r="G278" s="140" t="s">
        <v>14</v>
      </c>
      <c r="H278" s="140" t="s">
        <v>14</v>
      </c>
      <c r="I278" s="140" t="s">
        <v>14</v>
      </c>
      <c r="J278" s="174"/>
    </row>
    <row r="279" hidden="1" customHeight="1" spans="1:10">
      <c r="A279" s="140" t="s">
        <v>208</v>
      </c>
      <c r="B279" s="140" t="s">
        <v>166</v>
      </c>
      <c r="C279" s="171">
        <v>45704</v>
      </c>
      <c r="D279" s="172" t="s">
        <v>15</v>
      </c>
      <c r="E279" s="173" t="s">
        <v>13</v>
      </c>
      <c r="F279" s="140" t="s">
        <v>14</v>
      </c>
      <c r="G279" s="140" t="s">
        <v>14</v>
      </c>
      <c r="H279" s="140" t="s">
        <v>14</v>
      </c>
      <c r="I279" s="140" t="s">
        <v>14</v>
      </c>
      <c r="J279" s="174"/>
    </row>
    <row r="280" hidden="1" customHeight="1" spans="1:10">
      <c r="A280" s="140" t="s">
        <v>208</v>
      </c>
      <c r="B280" s="140" t="s">
        <v>166</v>
      </c>
      <c r="C280" s="171">
        <v>45705</v>
      </c>
      <c r="D280" s="172" t="s">
        <v>16</v>
      </c>
      <c r="E280" s="140" t="s">
        <v>19</v>
      </c>
      <c r="F280" s="140" t="s">
        <v>209</v>
      </c>
      <c r="G280" s="140" t="s">
        <v>21</v>
      </c>
      <c r="H280" s="140" t="s">
        <v>35</v>
      </c>
      <c r="I280" s="140" t="s">
        <v>21</v>
      </c>
      <c r="J280" s="174"/>
    </row>
    <row r="281" hidden="1" customHeight="1" spans="1:10">
      <c r="A281" s="140" t="s">
        <v>208</v>
      </c>
      <c r="B281" s="140" t="s">
        <v>166</v>
      </c>
      <c r="C281" s="171">
        <v>45706</v>
      </c>
      <c r="D281" s="172" t="s">
        <v>17</v>
      </c>
      <c r="E281" s="140" t="s">
        <v>19</v>
      </c>
      <c r="F281" s="140" t="s">
        <v>51</v>
      </c>
      <c r="G281" s="140" t="s">
        <v>21</v>
      </c>
      <c r="H281" s="140" t="s">
        <v>205</v>
      </c>
      <c r="I281" s="140" t="s">
        <v>21</v>
      </c>
      <c r="J281" s="174"/>
    </row>
    <row r="282" customHeight="1" spans="1:10">
      <c r="A282" s="140" t="s">
        <v>208</v>
      </c>
      <c r="B282" s="140" t="s">
        <v>166</v>
      </c>
      <c r="C282" s="171">
        <v>45707</v>
      </c>
      <c r="D282" s="172" t="s">
        <v>18</v>
      </c>
      <c r="E282" s="140" t="s">
        <v>19</v>
      </c>
      <c r="F282" s="140" t="s">
        <v>211</v>
      </c>
      <c r="G282" s="177" t="s">
        <v>103</v>
      </c>
      <c r="H282" s="140" t="s">
        <v>212</v>
      </c>
      <c r="I282" s="140" t="s">
        <v>21</v>
      </c>
      <c r="J282" s="174" t="s">
        <v>69</v>
      </c>
    </row>
    <row r="283" hidden="1" customHeight="1" spans="1:10">
      <c r="A283" s="140" t="s">
        <v>208</v>
      </c>
      <c r="B283" s="140" t="s">
        <v>166</v>
      </c>
      <c r="C283" s="171">
        <v>45708</v>
      </c>
      <c r="D283" s="172" t="s">
        <v>23</v>
      </c>
      <c r="E283" s="140" t="s">
        <v>19</v>
      </c>
      <c r="F283" s="140" t="s">
        <v>20</v>
      </c>
      <c r="G283" s="140" t="s">
        <v>21</v>
      </c>
      <c r="H283" s="140" t="s">
        <v>212</v>
      </c>
      <c r="I283" s="140" t="s">
        <v>21</v>
      </c>
      <c r="J283" s="174"/>
    </row>
    <row r="284" hidden="1" customHeight="1" spans="1:10">
      <c r="A284" s="140" t="s">
        <v>208</v>
      </c>
      <c r="B284" s="140" t="s">
        <v>166</v>
      </c>
      <c r="C284" s="171">
        <v>45709</v>
      </c>
      <c r="D284" s="172" t="s">
        <v>25</v>
      </c>
      <c r="E284" s="140" t="s">
        <v>19</v>
      </c>
      <c r="F284" s="140" t="s">
        <v>20</v>
      </c>
      <c r="G284" s="140" t="s">
        <v>21</v>
      </c>
      <c r="H284" s="140" t="s">
        <v>206</v>
      </c>
      <c r="I284" s="140" t="s">
        <v>21</v>
      </c>
      <c r="J284" s="174"/>
    </row>
    <row r="285" hidden="1" customHeight="1" spans="1:10">
      <c r="A285" s="140" t="s">
        <v>208</v>
      </c>
      <c r="B285" s="140" t="s">
        <v>166</v>
      </c>
      <c r="C285" s="171">
        <v>45710</v>
      </c>
      <c r="D285" s="172" t="s">
        <v>27</v>
      </c>
      <c r="E285" s="173" t="s">
        <v>13</v>
      </c>
      <c r="F285" s="140" t="s">
        <v>14</v>
      </c>
      <c r="G285" s="140" t="s">
        <v>14</v>
      </c>
      <c r="H285" s="140" t="s">
        <v>14</v>
      </c>
      <c r="I285" s="140" t="s">
        <v>14</v>
      </c>
      <c r="J285" s="174"/>
    </row>
    <row r="286" hidden="1" customHeight="1" spans="1:10">
      <c r="A286" s="140" t="s">
        <v>208</v>
      </c>
      <c r="B286" s="140" t="s">
        <v>166</v>
      </c>
      <c r="C286" s="171">
        <v>45711</v>
      </c>
      <c r="D286" s="172" t="s">
        <v>15</v>
      </c>
      <c r="E286" s="173" t="s">
        <v>13</v>
      </c>
      <c r="F286" s="140" t="s">
        <v>14</v>
      </c>
      <c r="G286" s="140" t="s">
        <v>14</v>
      </c>
      <c r="H286" s="140" t="s">
        <v>14</v>
      </c>
      <c r="I286" s="140" t="s">
        <v>14</v>
      </c>
      <c r="J286" s="174"/>
    </row>
    <row r="287" hidden="1" customHeight="1" spans="1:10">
      <c r="A287" s="140" t="s">
        <v>208</v>
      </c>
      <c r="B287" s="140" t="s">
        <v>166</v>
      </c>
      <c r="C287" s="171">
        <v>45712</v>
      </c>
      <c r="D287" s="172" t="s">
        <v>16</v>
      </c>
      <c r="E287" s="140" t="s">
        <v>19</v>
      </c>
      <c r="F287" s="140" t="s">
        <v>46</v>
      </c>
      <c r="G287" s="140" t="s">
        <v>21</v>
      </c>
      <c r="H287" s="140" t="s">
        <v>163</v>
      </c>
      <c r="I287" s="140" t="s">
        <v>21</v>
      </c>
      <c r="J287" s="174"/>
    </row>
    <row r="288" hidden="1" customHeight="1" spans="1:10">
      <c r="A288" s="140" t="s">
        <v>208</v>
      </c>
      <c r="B288" s="140" t="s">
        <v>166</v>
      </c>
      <c r="C288" s="171">
        <v>45713</v>
      </c>
      <c r="D288" s="172" t="s">
        <v>17</v>
      </c>
      <c r="E288" s="140" t="s">
        <v>19</v>
      </c>
      <c r="F288" s="140" t="s">
        <v>43</v>
      </c>
      <c r="G288" s="140" t="s">
        <v>21</v>
      </c>
      <c r="H288" s="140" t="s">
        <v>122</v>
      </c>
      <c r="I288" s="140" t="s">
        <v>21</v>
      </c>
      <c r="J288" s="178"/>
    </row>
    <row r="289" hidden="1" customHeight="1" spans="1:10">
      <c r="A289" s="140" t="s">
        <v>208</v>
      </c>
      <c r="B289" s="140" t="s">
        <v>166</v>
      </c>
      <c r="C289" s="171">
        <v>45714</v>
      </c>
      <c r="D289" s="172" t="s">
        <v>18</v>
      </c>
      <c r="E289" s="140" t="s">
        <v>19</v>
      </c>
      <c r="F289" s="140" t="s">
        <v>209</v>
      </c>
      <c r="G289" s="140" t="s">
        <v>21</v>
      </c>
      <c r="H289" s="140" t="s">
        <v>213</v>
      </c>
      <c r="I289" s="140" t="s">
        <v>21</v>
      </c>
      <c r="J289" s="174"/>
    </row>
    <row r="290" customHeight="1" spans="1:10">
      <c r="A290" s="140" t="s">
        <v>208</v>
      </c>
      <c r="B290" s="140" t="s">
        <v>166</v>
      </c>
      <c r="C290" s="171">
        <v>45715</v>
      </c>
      <c r="D290" s="172" t="s">
        <v>23</v>
      </c>
      <c r="E290" s="140" t="s">
        <v>19</v>
      </c>
      <c r="F290" s="140" t="s">
        <v>214</v>
      </c>
      <c r="G290" s="177" t="s">
        <v>103</v>
      </c>
      <c r="H290" s="140" t="s">
        <v>35</v>
      </c>
      <c r="I290" s="140" t="s">
        <v>21</v>
      </c>
      <c r="J290" s="174" t="s">
        <v>69</v>
      </c>
    </row>
    <row r="291" hidden="1" customHeight="1" spans="1:10">
      <c r="A291" s="140" t="s">
        <v>208</v>
      </c>
      <c r="B291" s="140" t="s">
        <v>166</v>
      </c>
      <c r="C291" s="171">
        <v>45716</v>
      </c>
      <c r="D291" s="172" t="s">
        <v>25</v>
      </c>
      <c r="E291" s="140" t="s">
        <v>19</v>
      </c>
      <c r="F291" s="140" t="s">
        <v>90</v>
      </c>
      <c r="G291" s="140" t="s">
        <v>21</v>
      </c>
      <c r="H291" s="140" t="s">
        <v>215</v>
      </c>
      <c r="I291" s="140" t="s">
        <v>21</v>
      </c>
      <c r="J291" s="174"/>
    </row>
    <row r="292" hidden="1" customHeight="1" spans="1:10">
      <c r="A292" s="140" t="s">
        <v>216</v>
      </c>
      <c r="B292" s="140" t="s">
        <v>217</v>
      </c>
      <c r="C292" s="171">
        <v>45689</v>
      </c>
      <c r="D292" s="172" t="s">
        <v>12</v>
      </c>
      <c r="E292" s="173" t="s">
        <v>13</v>
      </c>
      <c r="F292" s="140" t="s">
        <v>14</v>
      </c>
      <c r="G292" s="140" t="s">
        <v>14</v>
      </c>
      <c r="H292" s="140" t="s">
        <v>14</v>
      </c>
      <c r="I292" s="140" t="s">
        <v>14</v>
      </c>
      <c r="J292" s="174"/>
    </row>
    <row r="293" hidden="1" customHeight="1" spans="1:10">
      <c r="A293" s="140" t="s">
        <v>216</v>
      </c>
      <c r="B293" s="140" t="s">
        <v>217</v>
      </c>
      <c r="C293" s="171">
        <v>45690</v>
      </c>
      <c r="D293" s="172" t="s">
        <v>15</v>
      </c>
      <c r="E293" s="173" t="s">
        <v>13</v>
      </c>
      <c r="F293" s="140" t="s">
        <v>14</v>
      </c>
      <c r="G293" s="140" t="s">
        <v>14</v>
      </c>
      <c r="H293" s="140" t="s">
        <v>14</v>
      </c>
      <c r="I293" s="140" t="s">
        <v>14</v>
      </c>
      <c r="J293" s="178"/>
    </row>
    <row r="294" hidden="1" customHeight="1" spans="1:10">
      <c r="A294" s="140" t="s">
        <v>216</v>
      </c>
      <c r="B294" s="140" t="s">
        <v>217</v>
      </c>
      <c r="C294" s="171">
        <v>45691</v>
      </c>
      <c r="D294" s="172" t="s">
        <v>16</v>
      </c>
      <c r="E294" s="173" t="s">
        <v>13</v>
      </c>
      <c r="F294" s="140" t="s">
        <v>14</v>
      </c>
      <c r="G294" s="140" t="s">
        <v>14</v>
      </c>
      <c r="H294" s="140" t="s">
        <v>14</v>
      </c>
      <c r="I294" s="140" t="s">
        <v>14</v>
      </c>
      <c r="J294" s="174"/>
    </row>
    <row r="295" hidden="1" customHeight="1" spans="1:10">
      <c r="A295" s="140" t="s">
        <v>216</v>
      </c>
      <c r="B295" s="140" t="s">
        <v>217</v>
      </c>
      <c r="C295" s="171">
        <v>45692</v>
      </c>
      <c r="D295" s="172" t="s">
        <v>17</v>
      </c>
      <c r="E295" s="173" t="s">
        <v>13</v>
      </c>
      <c r="F295" s="140" t="s">
        <v>14</v>
      </c>
      <c r="G295" s="140" t="s">
        <v>14</v>
      </c>
      <c r="H295" s="140" t="s">
        <v>14</v>
      </c>
      <c r="I295" s="140" t="s">
        <v>14</v>
      </c>
      <c r="J295" s="178"/>
    </row>
    <row r="296" hidden="1" customHeight="1" spans="1:10">
      <c r="A296" s="140" t="s">
        <v>216</v>
      </c>
      <c r="B296" s="140" t="s">
        <v>217</v>
      </c>
      <c r="C296" s="171">
        <v>45693</v>
      </c>
      <c r="D296" s="172" t="s">
        <v>18</v>
      </c>
      <c r="E296" s="140" t="s">
        <v>19</v>
      </c>
      <c r="F296" s="140" t="s">
        <v>20</v>
      </c>
      <c r="G296" s="140" t="s">
        <v>21</v>
      </c>
      <c r="H296" s="140" t="s">
        <v>218</v>
      </c>
      <c r="I296" s="140" t="s">
        <v>21</v>
      </c>
      <c r="J296" s="174"/>
    </row>
    <row r="297" customHeight="1" spans="1:10">
      <c r="A297" s="140" t="s">
        <v>216</v>
      </c>
      <c r="B297" s="140" t="s">
        <v>217</v>
      </c>
      <c r="C297" s="171">
        <v>45694</v>
      </c>
      <c r="D297" s="172" t="s">
        <v>23</v>
      </c>
      <c r="E297" s="140" t="s">
        <v>19</v>
      </c>
      <c r="F297" s="140" t="s">
        <v>14</v>
      </c>
      <c r="G297" s="176" t="s">
        <v>68</v>
      </c>
      <c r="H297" s="140" t="s">
        <v>219</v>
      </c>
      <c r="I297" s="140" t="s">
        <v>21</v>
      </c>
      <c r="J297" s="174" t="s">
        <v>136</v>
      </c>
    </row>
    <row r="298" hidden="1" customHeight="1" spans="1:10">
      <c r="A298" s="140" t="s">
        <v>216</v>
      </c>
      <c r="B298" s="140" t="s">
        <v>217</v>
      </c>
      <c r="C298" s="171">
        <v>45695</v>
      </c>
      <c r="D298" s="172" t="s">
        <v>25</v>
      </c>
      <c r="E298" s="140" t="s">
        <v>19</v>
      </c>
      <c r="F298" s="140" t="s">
        <v>36</v>
      </c>
      <c r="G298" s="140" t="s">
        <v>21</v>
      </c>
      <c r="H298" s="140" t="s">
        <v>220</v>
      </c>
      <c r="I298" s="140" t="s">
        <v>21</v>
      </c>
      <c r="J298" s="174"/>
    </row>
    <row r="299" hidden="1" customHeight="1" spans="1:10">
      <c r="A299" s="140" t="s">
        <v>216</v>
      </c>
      <c r="B299" s="140" t="s">
        <v>217</v>
      </c>
      <c r="C299" s="171">
        <v>45696</v>
      </c>
      <c r="D299" s="172" t="s">
        <v>27</v>
      </c>
      <c r="E299" s="140" t="s">
        <v>19</v>
      </c>
      <c r="F299" s="140" t="s">
        <v>43</v>
      </c>
      <c r="G299" s="140" t="s">
        <v>21</v>
      </c>
      <c r="H299" s="140" t="s">
        <v>221</v>
      </c>
      <c r="I299" s="140" t="s">
        <v>21</v>
      </c>
      <c r="J299" s="174"/>
    </row>
    <row r="300" hidden="1" customHeight="1" spans="1:10">
      <c r="A300" s="140" t="s">
        <v>216</v>
      </c>
      <c r="B300" s="140" t="s">
        <v>217</v>
      </c>
      <c r="C300" s="171">
        <v>45697</v>
      </c>
      <c r="D300" s="172" t="s">
        <v>15</v>
      </c>
      <c r="E300" s="173" t="s">
        <v>13</v>
      </c>
      <c r="F300" s="140" t="s">
        <v>222</v>
      </c>
      <c r="G300" s="140" t="s">
        <v>21</v>
      </c>
      <c r="H300" s="140" t="s">
        <v>14</v>
      </c>
      <c r="I300" s="140" t="s">
        <v>14</v>
      </c>
      <c r="J300" s="174"/>
    </row>
    <row r="301" customHeight="1" spans="1:10">
      <c r="A301" s="140" t="s">
        <v>216</v>
      </c>
      <c r="B301" s="140" t="s">
        <v>217</v>
      </c>
      <c r="C301" s="171">
        <v>45698</v>
      </c>
      <c r="D301" s="172" t="s">
        <v>16</v>
      </c>
      <c r="E301" s="140" t="s">
        <v>19</v>
      </c>
      <c r="F301" s="140" t="s">
        <v>14</v>
      </c>
      <c r="G301" s="176" t="s">
        <v>68</v>
      </c>
      <c r="H301" s="140" t="s">
        <v>190</v>
      </c>
      <c r="I301" s="140" t="s">
        <v>21</v>
      </c>
      <c r="J301" s="174" t="s">
        <v>136</v>
      </c>
    </row>
    <row r="302" customHeight="1" spans="1:10">
      <c r="A302" s="140" t="s">
        <v>216</v>
      </c>
      <c r="B302" s="140" t="s">
        <v>217</v>
      </c>
      <c r="C302" s="171">
        <v>45699</v>
      </c>
      <c r="D302" s="172" t="s">
        <v>17</v>
      </c>
      <c r="E302" s="140" t="s">
        <v>19</v>
      </c>
      <c r="F302" s="140" t="s">
        <v>223</v>
      </c>
      <c r="G302" s="140" t="s">
        <v>21</v>
      </c>
      <c r="H302" s="140" t="s">
        <v>224</v>
      </c>
      <c r="I302" s="140" t="s">
        <v>21</v>
      </c>
      <c r="J302" s="174" t="s">
        <v>93</v>
      </c>
    </row>
    <row r="303" hidden="1" customHeight="1" spans="1:10">
      <c r="A303" s="140" t="s">
        <v>216</v>
      </c>
      <c r="B303" s="140" t="s">
        <v>217</v>
      </c>
      <c r="C303" s="171">
        <v>45700</v>
      </c>
      <c r="D303" s="172" t="s">
        <v>18</v>
      </c>
      <c r="E303" s="140" t="s">
        <v>19</v>
      </c>
      <c r="F303" s="140" t="s">
        <v>36</v>
      </c>
      <c r="G303" s="140" t="s">
        <v>21</v>
      </c>
      <c r="H303" s="140" t="s">
        <v>26</v>
      </c>
      <c r="I303" s="140" t="s">
        <v>21</v>
      </c>
      <c r="J303" s="174"/>
    </row>
    <row r="304" hidden="1" customHeight="1" spans="1:10">
      <c r="A304" s="140" t="s">
        <v>216</v>
      </c>
      <c r="B304" s="140" t="s">
        <v>217</v>
      </c>
      <c r="C304" s="171">
        <v>45701</v>
      </c>
      <c r="D304" s="172" t="s">
        <v>23</v>
      </c>
      <c r="E304" s="140" t="s">
        <v>19</v>
      </c>
      <c r="F304" s="140" t="s">
        <v>43</v>
      </c>
      <c r="G304" s="140" t="s">
        <v>21</v>
      </c>
      <c r="H304" s="140" t="s">
        <v>225</v>
      </c>
      <c r="I304" s="140" t="s">
        <v>21</v>
      </c>
      <c r="J304" s="174"/>
    </row>
    <row r="305" hidden="1" customHeight="1" spans="1:10">
      <c r="A305" s="140" t="s">
        <v>216</v>
      </c>
      <c r="B305" s="140" t="s">
        <v>217</v>
      </c>
      <c r="C305" s="171">
        <v>45702</v>
      </c>
      <c r="D305" s="172" t="s">
        <v>25</v>
      </c>
      <c r="E305" s="140" t="s">
        <v>19</v>
      </c>
      <c r="F305" s="140" t="s">
        <v>43</v>
      </c>
      <c r="G305" s="140" t="s">
        <v>21</v>
      </c>
      <c r="H305" s="140" t="s">
        <v>207</v>
      </c>
      <c r="I305" s="140" t="s">
        <v>21</v>
      </c>
      <c r="J305" s="174"/>
    </row>
    <row r="306" hidden="1" customHeight="1" spans="1:10">
      <c r="A306" s="140" t="s">
        <v>216</v>
      </c>
      <c r="B306" s="140" t="s">
        <v>217</v>
      </c>
      <c r="C306" s="171">
        <v>45703</v>
      </c>
      <c r="D306" s="172" t="s">
        <v>27</v>
      </c>
      <c r="E306" s="173" t="s">
        <v>13</v>
      </c>
      <c r="F306" s="140" t="s">
        <v>226</v>
      </c>
      <c r="G306" s="140" t="s">
        <v>21</v>
      </c>
      <c r="H306" s="140" t="s">
        <v>227</v>
      </c>
      <c r="I306" s="140" t="s">
        <v>21</v>
      </c>
      <c r="J306" s="174"/>
    </row>
    <row r="307" hidden="1" customHeight="1" spans="1:10">
      <c r="A307" s="140" t="s">
        <v>216</v>
      </c>
      <c r="B307" s="140" t="s">
        <v>217</v>
      </c>
      <c r="C307" s="171">
        <v>45704</v>
      </c>
      <c r="D307" s="172" t="s">
        <v>15</v>
      </c>
      <c r="E307" s="173" t="s">
        <v>13</v>
      </c>
      <c r="F307" s="140" t="s">
        <v>14</v>
      </c>
      <c r="G307" s="140" t="s">
        <v>14</v>
      </c>
      <c r="H307" s="140" t="s">
        <v>14</v>
      </c>
      <c r="I307" s="140" t="s">
        <v>14</v>
      </c>
      <c r="J307" s="174"/>
    </row>
    <row r="308" hidden="1" customHeight="1" spans="1:10">
      <c r="A308" s="140" t="s">
        <v>216</v>
      </c>
      <c r="B308" s="140" t="s">
        <v>217</v>
      </c>
      <c r="C308" s="171">
        <v>45705</v>
      </c>
      <c r="D308" s="172" t="s">
        <v>16</v>
      </c>
      <c r="E308" s="140" t="s">
        <v>19</v>
      </c>
      <c r="F308" s="140" t="s">
        <v>46</v>
      </c>
      <c r="G308" s="140" t="s">
        <v>21</v>
      </c>
      <c r="H308" s="140" t="s">
        <v>228</v>
      </c>
      <c r="I308" s="140" t="s">
        <v>21</v>
      </c>
      <c r="J308" s="174"/>
    </row>
    <row r="309" hidden="1" customHeight="1" spans="1:10">
      <c r="A309" s="140" t="s">
        <v>216</v>
      </c>
      <c r="B309" s="140" t="s">
        <v>217</v>
      </c>
      <c r="C309" s="171">
        <v>45706</v>
      </c>
      <c r="D309" s="172" t="s">
        <v>17</v>
      </c>
      <c r="E309" s="140" t="s">
        <v>19</v>
      </c>
      <c r="F309" s="140" t="s">
        <v>143</v>
      </c>
      <c r="G309" s="140" t="s">
        <v>21</v>
      </c>
      <c r="H309" s="140" t="s">
        <v>59</v>
      </c>
      <c r="I309" s="140" t="s">
        <v>21</v>
      </c>
      <c r="J309" s="174"/>
    </row>
    <row r="310" customHeight="1" spans="1:10">
      <c r="A310" s="140" t="s">
        <v>216</v>
      </c>
      <c r="B310" s="140" t="s">
        <v>217</v>
      </c>
      <c r="C310" s="171">
        <v>45707</v>
      </c>
      <c r="D310" s="172" t="s">
        <v>18</v>
      </c>
      <c r="E310" s="140" t="s">
        <v>19</v>
      </c>
      <c r="F310" s="140" t="s">
        <v>43</v>
      </c>
      <c r="G310" s="140" t="s">
        <v>21</v>
      </c>
      <c r="H310" s="140" t="s">
        <v>14</v>
      </c>
      <c r="I310" s="176" t="s">
        <v>68</v>
      </c>
      <c r="J310" s="174" t="s">
        <v>93</v>
      </c>
    </row>
    <row r="311" customHeight="1" spans="1:10">
      <c r="A311" s="140" t="s">
        <v>216</v>
      </c>
      <c r="B311" s="140" t="s">
        <v>217</v>
      </c>
      <c r="C311" s="171">
        <v>45708</v>
      </c>
      <c r="D311" s="172" t="s">
        <v>23</v>
      </c>
      <c r="E311" s="140" t="s">
        <v>19</v>
      </c>
      <c r="F311" s="140" t="s">
        <v>14</v>
      </c>
      <c r="G311" s="176" t="s">
        <v>68</v>
      </c>
      <c r="H311" s="140" t="s">
        <v>91</v>
      </c>
      <c r="I311" s="140" t="s">
        <v>21</v>
      </c>
      <c r="J311" s="174" t="s">
        <v>93</v>
      </c>
    </row>
    <row r="312" customHeight="1" spans="1:10">
      <c r="A312" s="140" t="s">
        <v>216</v>
      </c>
      <c r="B312" s="140" t="s">
        <v>217</v>
      </c>
      <c r="C312" s="171">
        <v>45709</v>
      </c>
      <c r="D312" s="172" t="s">
        <v>25</v>
      </c>
      <c r="E312" s="140" t="s">
        <v>19</v>
      </c>
      <c r="F312" s="140" t="s">
        <v>209</v>
      </c>
      <c r="G312" s="140" t="s">
        <v>21</v>
      </c>
      <c r="H312" s="140" t="s">
        <v>14</v>
      </c>
      <c r="I312" s="176" t="s">
        <v>68</v>
      </c>
      <c r="J312" s="174" t="s">
        <v>69</v>
      </c>
    </row>
    <row r="313" hidden="1" customHeight="1" spans="1:10">
      <c r="A313" s="140" t="s">
        <v>216</v>
      </c>
      <c r="B313" s="140" t="s">
        <v>217</v>
      </c>
      <c r="C313" s="171">
        <v>45710</v>
      </c>
      <c r="D313" s="172" t="s">
        <v>27</v>
      </c>
      <c r="E313" s="173" t="s">
        <v>13</v>
      </c>
      <c r="F313" s="140" t="s">
        <v>14</v>
      </c>
      <c r="G313" s="140" t="s">
        <v>14</v>
      </c>
      <c r="H313" s="140" t="s">
        <v>14</v>
      </c>
      <c r="I313" s="140" t="s">
        <v>14</v>
      </c>
      <c r="J313" s="174"/>
    </row>
    <row r="314" hidden="1" customHeight="1" spans="1:10">
      <c r="A314" s="140" t="s">
        <v>216</v>
      </c>
      <c r="B314" s="140" t="s">
        <v>217</v>
      </c>
      <c r="C314" s="171">
        <v>45711</v>
      </c>
      <c r="D314" s="172" t="s">
        <v>15</v>
      </c>
      <c r="E314" s="173" t="s">
        <v>13</v>
      </c>
      <c r="F314" s="140" t="s">
        <v>14</v>
      </c>
      <c r="G314" s="140" t="s">
        <v>14</v>
      </c>
      <c r="H314" s="140" t="s">
        <v>14</v>
      </c>
      <c r="I314" s="140" t="s">
        <v>14</v>
      </c>
      <c r="J314" s="174"/>
    </row>
    <row r="315" customHeight="1" spans="1:10">
      <c r="A315" s="140" t="s">
        <v>216</v>
      </c>
      <c r="B315" s="140" t="s">
        <v>217</v>
      </c>
      <c r="C315" s="171">
        <v>45712</v>
      </c>
      <c r="D315" s="172" t="s">
        <v>16</v>
      </c>
      <c r="E315" s="140" t="s">
        <v>19</v>
      </c>
      <c r="F315" s="140" t="s">
        <v>14</v>
      </c>
      <c r="G315" s="176" t="s">
        <v>68</v>
      </c>
      <c r="H315" s="140" t="s">
        <v>228</v>
      </c>
      <c r="I315" s="140" t="s">
        <v>21</v>
      </c>
      <c r="J315" s="174" t="s">
        <v>69</v>
      </c>
    </row>
    <row r="316" customHeight="1" spans="1:10">
      <c r="A316" s="140" t="s">
        <v>216</v>
      </c>
      <c r="B316" s="140" t="s">
        <v>217</v>
      </c>
      <c r="C316" s="171">
        <v>45713</v>
      </c>
      <c r="D316" s="172" t="s">
        <v>17</v>
      </c>
      <c r="E316" s="140" t="s">
        <v>19</v>
      </c>
      <c r="F316" s="140" t="s">
        <v>90</v>
      </c>
      <c r="G316" s="140" t="s">
        <v>21</v>
      </c>
      <c r="H316" s="140" t="s">
        <v>14</v>
      </c>
      <c r="I316" s="176" t="s">
        <v>68</v>
      </c>
      <c r="J316" s="174" t="s">
        <v>69</v>
      </c>
    </row>
    <row r="317" hidden="1" customHeight="1" spans="1:10">
      <c r="A317" s="140" t="s">
        <v>216</v>
      </c>
      <c r="B317" s="140" t="s">
        <v>217</v>
      </c>
      <c r="C317" s="171">
        <v>45714</v>
      </c>
      <c r="D317" s="172" t="s">
        <v>18</v>
      </c>
      <c r="E317" s="140" t="s">
        <v>19</v>
      </c>
      <c r="F317" s="140" t="s">
        <v>146</v>
      </c>
      <c r="G317" s="140" t="s">
        <v>21</v>
      </c>
      <c r="H317" s="140" t="s">
        <v>88</v>
      </c>
      <c r="I317" s="140" t="s">
        <v>21</v>
      </c>
      <c r="J317" s="174"/>
    </row>
    <row r="318" customHeight="1" spans="1:10">
      <c r="A318" s="140" t="s">
        <v>216</v>
      </c>
      <c r="B318" s="140" t="s">
        <v>217</v>
      </c>
      <c r="C318" s="171">
        <v>45715</v>
      </c>
      <c r="D318" s="172" t="s">
        <v>23</v>
      </c>
      <c r="E318" s="140" t="s">
        <v>19</v>
      </c>
      <c r="F318" s="140" t="s">
        <v>14</v>
      </c>
      <c r="G318" s="176" t="s">
        <v>68</v>
      </c>
      <c r="H318" s="140" t="s">
        <v>14</v>
      </c>
      <c r="I318" s="176" t="s">
        <v>68</v>
      </c>
      <c r="J318" s="174" t="s">
        <v>93</v>
      </c>
    </row>
    <row r="319" hidden="1" customHeight="1" spans="1:10">
      <c r="A319" s="140" t="s">
        <v>216</v>
      </c>
      <c r="B319" s="140" t="s">
        <v>217</v>
      </c>
      <c r="C319" s="171">
        <v>45716</v>
      </c>
      <c r="D319" s="172" t="s">
        <v>25</v>
      </c>
      <c r="E319" s="140" t="s">
        <v>19</v>
      </c>
      <c r="F319" s="140" t="s">
        <v>43</v>
      </c>
      <c r="G319" s="140" t="s">
        <v>21</v>
      </c>
      <c r="H319" s="140" t="s">
        <v>144</v>
      </c>
      <c r="I319" s="140" t="s">
        <v>21</v>
      </c>
      <c r="J319" s="174"/>
    </row>
    <row r="320" hidden="1" customHeight="1" spans="1:10">
      <c r="A320" s="140" t="s">
        <v>229</v>
      </c>
      <c r="B320" s="140" t="s">
        <v>230</v>
      </c>
      <c r="C320" s="171">
        <v>45689</v>
      </c>
      <c r="D320" s="172" t="s">
        <v>12</v>
      </c>
      <c r="E320" s="173" t="s">
        <v>13</v>
      </c>
      <c r="F320" s="140" t="s">
        <v>14</v>
      </c>
      <c r="G320" s="140" t="s">
        <v>14</v>
      </c>
      <c r="H320" s="140" t="s">
        <v>14</v>
      </c>
      <c r="I320" s="140" t="s">
        <v>14</v>
      </c>
      <c r="J320" s="174"/>
    </row>
    <row r="321" hidden="1" customHeight="1" spans="1:10">
      <c r="A321" s="140" t="s">
        <v>229</v>
      </c>
      <c r="B321" s="140" t="s">
        <v>230</v>
      </c>
      <c r="C321" s="171">
        <v>45690</v>
      </c>
      <c r="D321" s="172" t="s">
        <v>15</v>
      </c>
      <c r="E321" s="173" t="s">
        <v>13</v>
      </c>
      <c r="F321" s="140" t="s">
        <v>14</v>
      </c>
      <c r="G321" s="140" t="s">
        <v>14</v>
      </c>
      <c r="H321" s="140" t="s">
        <v>14</v>
      </c>
      <c r="I321" s="140" t="s">
        <v>14</v>
      </c>
      <c r="J321" s="179"/>
    </row>
    <row r="322" hidden="1" customHeight="1" spans="1:10">
      <c r="A322" s="140" t="s">
        <v>229</v>
      </c>
      <c r="B322" s="140" t="s">
        <v>230</v>
      </c>
      <c r="C322" s="171">
        <v>45691</v>
      </c>
      <c r="D322" s="172" t="s">
        <v>16</v>
      </c>
      <c r="E322" s="173" t="s">
        <v>13</v>
      </c>
      <c r="F322" s="140" t="s">
        <v>14</v>
      </c>
      <c r="G322" s="140" t="s">
        <v>14</v>
      </c>
      <c r="H322" s="140" t="s">
        <v>14</v>
      </c>
      <c r="I322" s="140" t="s">
        <v>14</v>
      </c>
      <c r="J322" s="174"/>
    </row>
    <row r="323" hidden="1" customHeight="1" spans="1:10">
      <c r="A323" s="140" t="s">
        <v>229</v>
      </c>
      <c r="B323" s="140" t="s">
        <v>230</v>
      </c>
      <c r="C323" s="171">
        <v>45692</v>
      </c>
      <c r="D323" s="172" t="s">
        <v>17</v>
      </c>
      <c r="E323" s="173" t="s">
        <v>13</v>
      </c>
      <c r="F323" s="140" t="s">
        <v>14</v>
      </c>
      <c r="G323" s="140" t="s">
        <v>14</v>
      </c>
      <c r="H323" s="140" t="s">
        <v>14</v>
      </c>
      <c r="I323" s="140" t="s">
        <v>14</v>
      </c>
      <c r="J323" s="175"/>
    </row>
    <row r="324" hidden="1" customHeight="1" spans="1:10">
      <c r="A324" s="140" t="s">
        <v>229</v>
      </c>
      <c r="B324" s="140" t="s">
        <v>230</v>
      </c>
      <c r="C324" s="171">
        <v>45693</v>
      </c>
      <c r="D324" s="172" t="s">
        <v>18</v>
      </c>
      <c r="E324" s="140" t="s">
        <v>19</v>
      </c>
      <c r="F324" s="140" t="s">
        <v>43</v>
      </c>
      <c r="G324" s="140" t="s">
        <v>21</v>
      </c>
      <c r="H324" s="140" t="s">
        <v>155</v>
      </c>
      <c r="I324" s="140" t="s">
        <v>21</v>
      </c>
      <c r="J324" s="175"/>
    </row>
    <row r="325" hidden="1" customHeight="1" spans="1:10">
      <c r="A325" s="140" t="s">
        <v>229</v>
      </c>
      <c r="B325" s="140" t="s">
        <v>230</v>
      </c>
      <c r="C325" s="171">
        <v>45694</v>
      </c>
      <c r="D325" s="172" t="s">
        <v>23</v>
      </c>
      <c r="E325" s="140" t="s">
        <v>19</v>
      </c>
      <c r="F325" s="140" t="s">
        <v>28</v>
      </c>
      <c r="G325" s="140" t="s">
        <v>21</v>
      </c>
      <c r="H325" s="140" t="s">
        <v>168</v>
      </c>
      <c r="I325" s="140" t="s">
        <v>21</v>
      </c>
      <c r="J325" s="174"/>
    </row>
    <row r="326" hidden="1" customHeight="1" spans="1:10">
      <c r="A326" s="140" t="s">
        <v>229</v>
      </c>
      <c r="B326" s="140" t="s">
        <v>230</v>
      </c>
      <c r="C326" s="171">
        <v>45695</v>
      </c>
      <c r="D326" s="172" t="s">
        <v>25</v>
      </c>
      <c r="E326" s="140" t="s">
        <v>19</v>
      </c>
      <c r="F326" s="140" t="s">
        <v>43</v>
      </c>
      <c r="G326" s="140" t="s">
        <v>21</v>
      </c>
      <c r="H326" s="140" t="s">
        <v>178</v>
      </c>
      <c r="I326" s="140" t="s">
        <v>21</v>
      </c>
      <c r="J326" s="174"/>
    </row>
    <row r="327" hidden="1" customHeight="1" spans="1:10">
      <c r="A327" s="140" t="s">
        <v>229</v>
      </c>
      <c r="B327" s="140" t="s">
        <v>230</v>
      </c>
      <c r="C327" s="171">
        <v>45696</v>
      </c>
      <c r="D327" s="172" t="s">
        <v>27</v>
      </c>
      <c r="E327" s="140" t="s">
        <v>19</v>
      </c>
      <c r="F327" s="140" t="s">
        <v>43</v>
      </c>
      <c r="G327" s="140" t="s">
        <v>21</v>
      </c>
      <c r="H327" s="140" t="s">
        <v>199</v>
      </c>
      <c r="I327" s="140" t="s">
        <v>21</v>
      </c>
      <c r="J327" s="175"/>
    </row>
    <row r="328" hidden="1" customHeight="1" spans="1:10">
      <c r="A328" s="140" t="s">
        <v>229</v>
      </c>
      <c r="B328" s="140" t="s">
        <v>230</v>
      </c>
      <c r="C328" s="171">
        <v>45697</v>
      </c>
      <c r="D328" s="172" t="s">
        <v>15</v>
      </c>
      <c r="E328" s="173" t="s">
        <v>13</v>
      </c>
      <c r="F328" s="140" t="s">
        <v>14</v>
      </c>
      <c r="G328" s="140" t="s">
        <v>14</v>
      </c>
      <c r="H328" s="140" t="s">
        <v>14</v>
      </c>
      <c r="I328" s="140" t="s">
        <v>14</v>
      </c>
      <c r="J328" s="174"/>
    </row>
    <row r="329" hidden="1" customHeight="1" spans="1:10">
      <c r="A329" s="140" t="s">
        <v>229</v>
      </c>
      <c r="B329" s="140" t="s">
        <v>230</v>
      </c>
      <c r="C329" s="171">
        <v>45698</v>
      </c>
      <c r="D329" s="172" t="s">
        <v>16</v>
      </c>
      <c r="E329" s="140" t="s">
        <v>19</v>
      </c>
      <c r="F329" s="140" t="s">
        <v>43</v>
      </c>
      <c r="G329" s="140" t="s">
        <v>21</v>
      </c>
      <c r="H329" s="140" t="s">
        <v>123</v>
      </c>
      <c r="I329" s="140" t="s">
        <v>21</v>
      </c>
      <c r="J329" s="174"/>
    </row>
    <row r="330" hidden="1" customHeight="1" spans="1:10">
      <c r="A330" s="140" t="s">
        <v>229</v>
      </c>
      <c r="B330" s="140" t="s">
        <v>230</v>
      </c>
      <c r="C330" s="171">
        <v>45699</v>
      </c>
      <c r="D330" s="172" t="s">
        <v>17</v>
      </c>
      <c r="E330" s="140" t="s">
        <v>19</v>
      </c>
      <c r="F330" s="140" t="s">
        <v>20</v>
      </c>
      <c r="G330" s="140" t="s">
        <v>21</v>
      </c>
      <c r="H330" s="140" t="s">
        <v>200</v>
      </c>
      <c r="I330" s="140" t="s">
        <v>21</v>
      </c>
      <c r="J330" s="174"/>
    </row>
    <row r="331" customHeight="1" spans="1:10">
      <c r="A331" s="140" t="s">
        <v>229</v>
      </c>
      <c r="B331" s="140" t="s">
        <v>230</v>
      </c>
      <c r="C331" s="171">
        <v>45700</v>
      </c>
      <c r="D331" s="172" t="s">
        <v>18</v>
      </c>
      <c r="E331" s="140" t="s">
        <v>19</v>
      </c>
      <c r="F331" s="140" t="s">
        <v>14</v>
      </c>
      <c r="G331" s="176" t="s">
        <v>68</v>
      </c>
      <c r="H331" s="140" t="s">
        <v>231</v>
      </c>
      <c r="I331" s="140" t="s">
        <v>21</v>
      </c>
      <c r="J331" s="174" t="s">
        <v>69</v>
      </c>
    </row>
    <row r="332" hidden="1" customHeight="1" spans="1:10">
      <c r="A332" s="140" t="s">
        <v>229</v>
      </c>
      <c r="B332" s="140" t="s">
        <v>230</v>
      </c>
      <c r="C332" s="171">
        <v>45701</v>
      </c>
      <c r="D332" s="172" t="s">
        <v>23</v>
      </c>
      <c r="E332" s="140" t="s">
        <v>19</v>
      </c>
      <c r="F332" s="140" t="s">
        <v>28</v>
      </c>
      <c r="G332" s="140" t="s">
        <v>21</v>
      </c>
      <c r="H332" s="140" t="s">
        <v>50</v>
      </c>
      <c r="I332" s="140" t="s">
        <v>21</v>
      </c>
      <c r="J332" s="174"/>
    </row>
    <row r="333" hidden="1" customHeight="1" spans="1:10">
      <c r="A333" s="140" t="s">
        <v>229</v>
      </c>
      <c r="B333" s="140" t="s">
        <v>230</v>
      </c>
      <c r="C333" s="171">
        <v>45702</v>
      </c>
      <c r="D333" s="172" t="s">
        <v>25</v>
      </c>
      <c r="E333" s="140" t="s">
        <v>19</v>
      </c>
      <c r="F333" s="140" t="s">
        <v>90</v>
      </c>
      <c r="G333" s="140" t="s">
        <v>21</v>
      </c>
      <c r="H333" s="140" t="s">
        <v>206</v>
      </c>
      <c r="I333" s="140" t="s">
        <v>21</v>
      </c>
      <c r="J333" s="174"/>
    </row>
    <row r="334" hidden="1" customHeight="1" spans="1:10">
      <c r="A334" s="140" t="s">
        <v>229</v>
      </c>
      <c r="B334" s="140" t="s">
        <v>230</v>
      </c>
      <c r="C334" s="171">
        <v>45703</v>
      </c>
      <c r="D334" s="172" t="s">
        <v>27</v>
      </c>
      <c r="E334" s="173" t="s">
        <v>13</v>
      </c>
      <c r="F334" s="140" t="s">
        <v>14</v>
      </c>
      <c r="G334" s="140" t="s">
        <v>14</v>
      </c>
      <c r="H334" s="140" t="s">
        <v>14</v>
      </c>
      <c r="I334" s="140" t="s">
        <v>14</v>
      </c>
      <c r="J334" s="174"/>
    </row>
    <row r="335" hidden="1" customHeight="1" spans="1:10">
      <c r="A335" s="140" t="s">
        <v>229</v>
      </c>
      <c r="B335" s="140" t="s">
        <v>230</v>
      </c>
      <c r="C335" s="171">
        <v>45704</v>
      </c>
      <c r="D335" s="172" t="s">
        <v>15</v>
      </c>
      <c r="E335" s="173" t="s">
        <v>13</v>
      </c>
      <c r="F335" s="140" t="s">
        <v>14</v>
      </c>
      <c r="G335" s="140" t="s">
        <v>14</v>
      </c>
      <c r="H335" s="140" t="s">
        <v>14</v>
      </c>
      <c r="I335" s="140" t="s">
        <v>14</v>
      </c>
      <c r="J335" s="174"/>
    </row>
    <row r="336" hidden="1" customHeight="1" spans="1:10">
      <c r="A336" s="140" t="s">
        <v>229</v>
      </c>
      <c r="B336" s="140" t="s">
        <v>230</v>
      </c>
      <c r="C336" s="171">
        <v>45705</v>
      </c>
      <c r="D336" s="172" t="s">
        <v>16</v>
      </c>
      <c r="E336" s="140" t="s">
        <v>19</v>
      </c>
      <c r="F336" s="140" t="s">
        <v>20</v>
      </c>
      <c r="G336" s="140" t="s">
        <v>21</v>
      </c>
      <c r="H336" s="140" t="s">
        <v>168</v>
      </c>
      <c r="I336" s="140" t="s">
        <v>21</v>
      </c>
      <c r="J336" s="174"/>
    </row>
    <row r="337" hidden="1" customHeight="1" spans="1:10">
      <c r="A337" s="140" t="s">
        <v>229</v>
      </c>
      <c r="B337" s="140" t="s">
        <v>230</v>
      </c>
      <c r="C337" s="171">
        <v>45706</v>
      </c>
      <c r="D337" s="172" t="s">
        <v>17</v>
      </c>
      <c r="E337" s="140" t="s">
        <v>19</v>
      </c>
      <c r="F337" s="140" t="s">
        <v>46</v>
      </c>
      <c r="G337" s="140" t="s">
        <v>21</v>
      </c>
      <c r="H337" s="140" t="s">
        <v>200</v>
      </c>
      <c r="I337" s="140" t="s">
        <v>21</v>
      </c>
      <c r="J337" s="174"/>
    </row>
    <row r="338" customHeight="1" spans="1:10">
      <c r="A338" s="140" t="s">
        <v>229</v>
      </c>
      <c r="B338" s="140" t="s">
        <v>230</v>
      </c>
      <c r="C338" s="171">
        <v>45707</v>
      </c>
      <c r="D338" s="172" t="s">
        <v>18</v>
      </c>
      <c r="E338" s="140" t="s">
        <v>19</v>
      </c>
      <c r="F338" s="140" t="s">
        <v>14</v>
      </c>
      <c r="G338" s="176" t="s">
        <v>68</v>
      </c>
      <c r="H338" s="140" t="s">
        <v>215</v>
      </c>
      <c r="I338" s="140" t="s">
        <v>21</v>
      </c>
      <c r="J338" s="174" t="s">
        <v>69</v>
      </c>
    </row>
    <row r="339" hidden="1" customHeight="1" spans="1:10">
      <c r="A339" s="140" t="s">
        <v>229</v>
      </c>
      <c r="B339" s="140" t="s">
        <v>230</v>
      </c>
      <c r="C339" s="171">
        <v>45708</v>
      </c>
      <c r="D339" s="172" t="s">
        <v>23</v>
      </c>
      <c r="E339" s="140" t="s">
        <v>19</v>
      </c>
      <c r="F339" s="140" t="s">
        <v>90</v>
      </c>
      <c r="G339" s="140" t="s">
        <v>21</v>
      </c>
      <c r="H339" s="140" t="s">
        <v>168</v>
      </c>
      <c r="I339" s="140" t="s">
        <v>21</v>
      </c>
      <c r="J339" s="174"/>
    </row>
    <row r="340" hidden="1" customHeight="1" spans="1:10">
      <c r="A340" s="140" t="s">
        <v>229</v>
      </c>
      <c r="B340" s="140" t="s">
        <v>230</v>
      </c>
      <c r="C340" s="171">
        <v>45709</v>
      </c>
      <c r="D340" s="172" t="s">
        <v>25</v>
      </c>
      <c r="E340" s="140" t="s">
        <v>19</v>
      </c>
      <c r="F340" s="140" t="s">
        <v>20</v>
      </c>
      <c r="G340" s="140" t="s">
        <v>21</v>
      </c>
      <c r="H340" s="140" t="s">
        <v>42</v>
      </c>
      <c r="I340" s="140" t="s">
        <v>21</v>
      </c>
      <c r="J340" s="174"/>
    </row>
    <row r="341" hidden="1" customHeight="1" spans="1:10">
      <c r="A341" s="140" t="s">
        <v>229</v>
      </c>
      <c r="B341" s="140" t="s">
        <v>230</v>
      </c>
      <c r="C341" s="171">
        <v>45710</v>
      </c>
      <c r="D341" s="172" t="s">
        <v>27</v>
      </c>
      <c r="E341" s="173" t="s">
        <v>13</v>
      </c>
      <c r="F341" s="140" t="s">
        <v>14</v>
      </c>
      <c r="G341" s="140" t="s">
        <v>14</v>
      </c>
      <c r="H341" s="140" t="s">
        <v>14</v>
      </c>
      <c r="I341" s="140" t="s">
        <v>14</v>
      </c>
      <c r="J341" s="174"/>
    </row>
    <row r="342" hidden="1" customHeight="1" spans="1:10">
      <c r="A342" s="140" t="s">
        <v>229</v>
      </c>
      <c r="B342" s="140" t="s">
        <v>230</v>
      </c>
      <c r="C342" s="171">
        <v>45711</v>
      </c>
      <c r="D342" s="172" t="s">
        <v>15</v>
      </c>
      <c r="E342" s="173" t="s">
        <v>13</v>
      </c>
      <c r="F342" s="140" t="s">
        <v>14</v>
      </c>
      <c r="G342" s="140" t="s">
        <v>14</v>
      </c>
      <c r="H342" s="140" t="s">
        <v>14</v>
      </c>
      <c r="I342" s="140" t="s">
        <v>14</v>
      </c>
      <c r="J342" s="174"/>
    </row>
    <row r="343" hidden="1" customHeight="1" spans="1:10">
      <c r="A343" s="140" t="s">
        <v>229</v>
      </c>
      <c r="B343" s="140" t="s">
        <v>230</v>
      </c>
      <c r="C343" s="171">
        <v>45712</v>
      </c>
      <c r="D343" s="172" t="s">
        <v>16</v>
      </c>
      <c r="E343" s="140" t="s">
        <v>19</v>
      </c>
      <c r="F343" s="140" t="s">
        <v>43</v>
      </c>
      <c r="G343" s="140" t="s">
        <v>21</v>
      </c>
      <c r="H343" s="140" t="s">
        <v>78</v>
      </c>
      <c r="I343" s="140" t="s">
        <v>21</v>
      </c>
      <c r="J343" s="174"/>
    </row>
    <row r="344" customHeight="1" spans="1:10">
      <c r="A344" s="140" t="s">
        <v>229</v>
      </c>
      <c r="B344" s="140" t="s">
        <v>230</v>
      </c>
      <c r="C344" s="171">
        <v>45713</v>
      </c>
      <c r="D344" s="172" t="s">
        <v>17</v>
      </c>
      <c r="E344" s="140" t="s">
        <v>19</v>
      </c>
      <c r="F344" s="140" t="s">
        <v>14</v>
      </c>
      <c r="G344" s="176" t="s">
        <v>68</v>
      </c>
      <c r="H344" s="140" t="s">
        <v>232</v>
      </c>
      <c r="I344" s="140" t="s">
        <v>21</v>
      </c>
      <c r="J344" s="174" t="s">
        <v>69</v>
      </c>
    </row>
    <row r="345" hidden="1" customHeight="1" spans="1:10">
      <c r="A345" s="140" t="s">
        <v>229</v>
      </c>
      <c r="B345" s="140" t="s">
        <v>230</v>
      </c>
      <c r="C345" s="171">
        <v>45714</v>
      </c>
      <c r="D345" s="172" t="s">
        <v>18</v>
      </c>
      <c r="E345" s="140" t="s">
        <v>19</v>
      </c>
      <c r="F345" s="140" t="s">
        <v>90</v>
      </c>
      <c r="G345" s="140" t="s">
        <v>21</v>
      </c>
      <c r="H345" s="140" t="s">
        <v>178</v>
      </c>
      <c r="I345" s="140" t="s">
        <v>21</v>
      </c>
      <c r="J345" s="174"/>
    </row>
    <row r="346" hidden="1" customHeight="1" spans="1:10">
      <c r="A346" s="140" t="s">
        <v>229</v>
      </c>
      <c r="B346" s="140" t="s">
        <v>230</v>
      </c>
      <c r="C346" s="171">
        <v>45715</v>
      </c>
      <c r="D346" s="172" t="s">
        <v>23</v>
      </c>
      <c r="E346" s="140" t="s">
        <v>19</v>
      </c>
      <c r="F346" s="140" t="s">
        <v>90</v>
      </c>
      <c r="G346" s="140" t="s">
        <v>21</v>
      </c>
      <c r="H346" s="140" t="s">
        <v>73</v>
      </c>
      <c r="I346" s="140" t="s">
        <v>21</v>
      </c>
      <c r="J346" s="174"/>
    </row>
    <row r="347" hidden="1" customHeight="1" spans="1:10">
      <c r="A347" s="140" t="s">
        <v>229</v>
      </c>
      <c r="B347" s="140" t="s">
        <v>230</v>
      </c>
      <c r="C347" s="171">
        <v>45716</v>
      </c>
      <c r="D347" s="172" t="s">
        <v>25</v>
      </c>
      <c r="E347" s="140" t="s">
        <v>19</v>
      </c>
      <c r="F347" s="140" t="s">
        <v>46</v>
      </c>
      <c r="G347" s="140" t="s">
        <v>21</v>
      </c>
      <c r="H347" s="140" t="s">
        <v>79</v>
      </c>
      <c r="I347" s="140" t="s">
        <v>21</v>
      </c>
      <c r="J347" s="174"/>
    </row>
    <row r="348" hidden="1" customHeight="1" spans="1:10">
      <c r="A348" s="140" t="s">
        <v>233</v>
      </c>
      <c r="B348" s="140" t="s">
        <v>230</v>
      </c>
      <c r="C348" s="171">
        <v>45689</v>
      </c>
      <c r="D348" s="172" t="s">
        <v>12</v>
      </c>
      <c r="E348" s="173" t="s">
        <v>13</v>
      </c>
      <c r="F348" s="140" t="s">
        <v>14</v>
      </c>
      <c r="G348" s="140" t="s">
        <v>14</v>
      </c>
      <c r="H348" s="140" t="s">
        <v>14</v>
      </c>
      <c r="I348" s="140" t="s">
        <v>14</v>
      </c>
      <c r="J348" s="174"/>
    </row>
    <row r="349" hidden="1" customHeight="1" spans="1:10">
      <c r="A349" s="140" t="s">
        <v>233</v>
      </c>
      <c r="B349" s="140" t="s">
        <v>230</v>
      </c>
      <c r="C349" s="171">
        <v>45690</v>
      </c>
      <c r="D349" s="172" t="s">
        <v>15</v>
      </c>
      <c r="E349" s="173" t="s">
        <v>13</v>
      </c>
      <c r="F349" s="140" t="s">
        <v>14</v>
      </c>
      <c r="G349" s="140" t="s">
        <v>14</v>
      </c>
      <c r="H349" s="140" t="s">
        <v>14</v>
      </c>
      <c r="I349" s="140" t="s">
        <v>14</v>
      </c>
      <c r="J349" s="174"/>
    </row>
    <row r="350" hidden="1" customHeight="1" spans="1:10">
      <c r="A350" s="140" t="s">
        <v>233</v>
      </c>
      <c r="B350" s="140" t="s">
        <v>230</v>
      </c>
      <c r="C350" s="171">
        <v>45691</v>
      </c>
      <c r="D350" s="172" t="s">
        <v>16</v>
      </c>
      <c r="E350" s="173" t="s">
        <v>13</v>
      </c>
      <c r="F350" s="140" t="s">
        <v>14</v>
      </c>
      <c r="G350" s="140" t="s">
        <v>14</v>
      </c>
      <c r="H350" s="140" t="s">
        <v>14</v>
      </c>
      <c r="I350" s="140" t="s">
        <v>14</v>
      </c>
      <c r="J350" s="174"/>
    </row>
    <row r="351" hidden="1" customHeight="1" spans="1:10">
      <c r="A351" s="140" t="s">
        <v>233</v>
      </c>
      <c r="B351" s="140" t="s">
        <v>230</v>
      </c>
      <c r="C351" s="171">
        <v>45692</v>
      </c>
      <c r="D351" s="172" t="s">
        <v>17</v>
      </c>
      <c r="E351" s="173" t="s">
        <v>13</v>
      </c>
      <c r="F351" s="140" t="s">
        <v>14</v>
      </c>
      <c r="G351" s="140" t="s">
        <v>14</v>
      </c>
      <c r="H351" s="140" t="s">
        <v>14</v>
      </c>
      <c r="I351" s="140" t="s">
        <v>14</v>
      </c>
      <c r="J351" s="174"/>
    </row>
    <row r="352" hidden="1" customHeight="1" spans="1:10">
      <c r="A352" s="140" t="s">
        <v>233</v>
      </c>
      <c r="B352" s="140" t="s">
        <v>230</v>
      </c>
      <c r="C352" s="171">
        <v>45693</v>
      </c>
      <c r="D352" s="172" t="s">
        <v>18</v>
      </c>
      <c r="E352" s="140" t="s">
        <v>19</v>
      </c>
      <c r="F352" s="140" t="s">
        <v>51</v>
      </c>
      <c r="G352" s="140" t="s">
        <v>21</v>
      </c>
      <c r="H352" s="140" t="s">
        <v>189</v>
      </c>
      <c r="I352" s="140" t="s">
        <v>21</v>
      </c>
      <c r="J352" s="174"/>
    </row>
    <row r="353" hidden="1" customHeight="1" spans="1:10">
      <c r="A353" s="140" t="s">
        <v>233</v>
      </c>
      <c r="B353" s="140" t="s">
        <v>230</v>
      </c>
      <c r="C353" s="171">
        <v>45694</v>
      </c>
      <c r="D353" s="172" t="s">
        <v>23</v>
      </c>
      <c r="E353" s="140" t="s">
        <v>19</v>
      </c>
      <c r="F353" s="140" t="s">
        <v>51</v>
      </c>
      <c r="G353" s="140" t="s">
        <v>21</v>
      </c>
      <c r="H353" s="140" t="s">
        <v>163</v>
      </c>
      <c r="I353" s="140" t="s">
        <v>21</v>
      </c>
      <c r="J353" s="174"/>
    </row>
    <row r="354" hidden="1" customHeight="1" spans="1:10">
      <c r="A354" s="140" t="s">
        <v>233</v>
      </c>
      <c r="B354" s="140" t="s">
        <v>230</v>
      </c>
      <c r="C354" s="171">
        <v>45695</v>
      </c>
      <c r="D354" s="172" t="s">
        <v>25</v>
      </c>
      <c r="E354" s="140" t="s">
        <v>19</v>
      </c>
      <c r="F354" s="140" t="s">
        <v>51</v>
      </c>
      <c r="G354" s="140" t="s">
        <v>21</v>
      </c>
      <c r="H354" s="140" t="s">
        <v>212</v>
      </c>
      <c r="I354" s="140" t="s">
        <v>21</v>
      </c>
      <c r="J354" s="174"/>
    </row>
    <row r="355" customHeight="1" spans="1:10">
      <c r="A355" s="140" t="s">
        <v>233</v>
      </c>
      <c r="B355" s="140" t="s">
        <v>230</v>
      </c>
      <c r="C355" s="171">
        <v>45696</v>
      </c>
      <c r="D355" s="172" t="s">
        <v>27</v>
      </c>
      <c r="E355" s="140" t="s">
        <v>19</v>
      </c>
      <c r="F355" s="140" t="s">
        <v>14</v>
      </c>
      <c r="G355" s="176" t="s">
        <v>68</v>
      </c>
      <c r="H355" s="140" t="s">
        <v>14</v>
      </c>
      <c r="I355" s="176" t="s">
        <v>68</v>
      </c>
      <c r="J355" s="174" t="s">
        <v>234</v>
      </c>
    </row>
    <row r="356" hidden="1" customHeight="1" spans="1:10">
      <c r="A356" s="140" t="s">
        <v>233</v>
      </c>
      <c r="B356" s="140" t="s">
        <v>230</v>
      </c>
      <c r="C356" s="171">
        <v>45697</v>
      </c>
      <c r="D356" s="172" t="s">
        <v>15</v>
      </c>
      <c r="E356" s="173" t="s">
        <v>13</v>
      </c>
      <c r="F356" s="140" t="s">
        <v>14</v>
      </c>
      <c r="G356" s="140" t="s">
        <v>14</v>
      </c>
      <c r="H356" s="140" t="s">
        <v>14</v>
      </c>
      <c r="I356" s="140" t="s">
        <v>14</v>
      </c>
      <c r="J356" s="174"/>
    </row>
    <row r="357" hidden="1" customHeight="1" spans="1:10">
      <c r="A357" s="140" t="s">
        <v>233</v>
      </c>
      <c r="B357" s="140" t="s">
        <v>230</v>
      </c>
      <c r="C357" s="171">
        <v>45698</v>
      </c>
      <c r="D357" s="172" t="s">
        <v>16</v>
      </c>
      <c r="E357" s="140" t="s">
        <v>19</v>
      </c>
      <c r="F357" s="140" t="s">
        <v>36</v>
      </c>
      <c r="G357" s="140" t="s">
        <v>21</v>
      </c>
      <c r="H357" s="140" t="s">
        <v>35</v>
      </c>
      <c r="I357" s="140" t="s">
        <v>21</v>
      </c>
      <c r="J357" s="174"/>
    </row>
    <row r="358" hidden="1" customHeight="1" spans="1:10">
      <c r="A358" s="140" t="s">
        <v>233</v>
      </c>
      <c r="B358" s="140" t="s">
        <v>230</v>
      </c>
      <c r="C358" s="171">
        <v>45699</v>
      </c>
      <c r="D358" s="172" t="s">
        <v>17</v>
      </c>
      <c r="E358" s="140" t="s">
        <v>19</v>
      </c>
      <c r="F358" s="140" t="s">
        <v>36</v>
      </c>
      <c r="G358" s="140" t="s">
        <v>21</v>
      </c>
      <c r="H358" s="140" t="s">
        <v>175</v>
      </c>
      <c r="I358" s="140" t="s">
        <v>21</v>
      </c>
      <c r="J358" s="174"/>
    </row>
    <row r="359" hidden="1" customHeight="1" spans="1:10">
      <c r="A359" s="140" t="s">
        <v>233</v>
      </c>
      <c r="B359" s="140" t="s">
        <v>230</v>
      </c>
      <c r="C359" s="171">
        <v>45700</v>
      </c>
      <c r="D359" s="172" t="s">
        <v>18</v>
      </c>
      <c r="E359" s="140" t="s">
        <v>19</v>
      </c>
      <c r="F359" s="140" t="s">
        <v>209</v>
      </c>
      <c r="G359" s="140" t="s">
        <v>21</v>
      </c>
      <c r="H359" s="140" t="s">
        <v>53</v>
      </c>
      <c r="I359" s="140" t="s">
        <v>21</v>
      </c>
      <c r="J359" s="174"/>
    </row>
    <row r="360" customHeight="1" spans="1:10">
      <c r="A360" s="140" t="s">
        <v>233</v>
      </c>
      <c r="B360" s="140" t="s">
        <v>230</v>
      </c>
      <c r="C360" s="171">
        <v>45701</v>
      </c>
      <c r="D360" s="172" t="s">
        <v>23</v>
      </c>
      <c r="E360" s="140" t="s">
        <v>19</v>
      </c>
      <c r="F360" s="140" t="s">
        <v>14</v>
      </c>
      <c r="G360" s="176" t="s">
        <v>68</v>
      </c>
      <c r="H360" s="140" t="s">
        <v>73</v>
      </c>
      <c r="I360" s="140" t="s">
        <v>21</v>
      </c>
      <c r="J360" s="174" t="s">
        <v>69</v>
      </c>
    </row>
    <row r="361" hidden="1" customHeight="1" spans="1:10">
      <c r="A361" s="140" t="s">
        <v>233</v>
      </c>
      <c r="B361" s="140" t="s">
        <v>230</v>
      </c>
      <c r="C361" s="171">
        <v>45702</v>
      </c>
      <c r="D361" s="172" t="s">
        <v>25</v>
      </c>
      <c r="E361" s="140" t="s">
        <v>19</v>
      </c>
      <c r="F361" s="140" t="s">
        <v>209</v>
      </c>
      <c r="G361" s="140" t="s">
        <v>21</v>
      </c>
      <c r="H361" s="140" t="s">
        <v>213</v>
      </c>
      <c r="I361" s="140" t="s">
        <v>21</v>
      </c>
      <c r="J361" s="174"/>
    </row>
    <row r="362" hidden="1" customHeight="1" spans="1:10">
      <c r="A362" s="140" t="s">
        <v>233</v>
      </c>
      <c r="B362" s="140" t="s">
        <v>230</v>
      </c>
      <c r="C362" s="171">
        <v>45703</v>
      </c>
      <c r="D362" s="172" t="s">
        <v>27</v>
      </c>
      <c r="E362" s="173" t="s">
        <v>13</v>
      </c>
      <c r="F362" s="140" t="s">
        <v>14</v>
      </c>
      <c r="G362" s="140" t="s">
        <v>14</v>
      </c>
      <c r="H362" s="140" t="s">
        <v>14</v>
      </c>
      <c r="I362" s="140" t="s">
        <v>14</v>
      </c>
      <c r="J362" s="174"/>
    </row>
    <row r="363" hidden="1" customHeight="1" spans="1:10">
      <c r="A363" s="140" t="s">
        <v>233</v>
      </c>
      <c r="B363" s="140" t="s">
        <v>230</v>
      </c>
      <c r="C363" s="171">
        <v>45704</v>
      </c>
      <c r="D363" s="172" t="s">
        <v>15</v>
      </c>
      <c r="E363" s="173" t="s">
        <v>13</v>
      </c>
      <c r="F363" s="140" t="s">
        <v>14</v>
      </c>
      <c r="G363" s="140" t="s">
        <v>14</v>
      </c>
      <c r="H363" s="140" t="s">
        <v>14</v>
      </c>
      <c r="I363" s="140" t="s">
        <v>14</v>
      </c>
      <c r="J363" s="174"/>
    </row>
    <row r="364" hidden="1" customHeight="1" spans="1:10">
      <c r="A364" s="140" t="s">
        <v>233</v>
      </c>
      <c r="B364" s="140" t="s">
        <v>230</v>
      </c>
      <c r="C364" s="171">
        <v>45705</v>
      </c>
      <c r="D364" s="172" t="s">
        <v>16</v>
      </c>
      <c r="E364" s="140" t="s">
        <v>19</v>
      </c>
      <c r="F364" s="140" t="s">
        <v>51</v>
      </c>
      <c r="G364" s="140" t="s">
        <v>21</v>
      </c>
      <c r="H364" s="140" t="s">
        <v>73</v>
      </c>
      <c r="I364" s="140" t="s">
        <v>21</v>
      </c>
      <c r="J364" s="174"/>
    </row>
    <row r="365" hidden="1" customHeight="1" spans="1:10">
      <c r="A365" s="140" t="s">
        <v>233</v>
      </c>
      <c r="B365" s="140" t="s">
        <v>230</v>
      </c>
      <c r="C365" s="171">
        <v>45706</v>
      </c>
      <c r="D365" s="172" t="s">
        <v>17</v>
      </c>
      <c r="E365" s="140" t="s">
        <v>19</v>
      </c>
      <c r="F365" s="140" t="s">
        <v>209</v>
      </c>
      <c r="G365" s="140" t="s">
        <v>21</v>
      </c>
      <c r="H365" s="140" t="s">
        <v>170</v>
      </c>
      <c r="I365" s="140" t="s">
        <v>21</v>
      </c>
      <c r="J365" s="174"/>
    </row>
    <row r="366" hidden="1" customHeight="1" spans="1:10">
      <c r="A366" s="140" t="s">
        <v>233</v>
      </c>
      <c r="B366" s="140" t="s">
        <v>230</v>
      </c>
      <c r="C366" s="171">
        <v>45707</v>
      </c>
      <c r="D366" s="172" t="s">
        <v>18</v>
      </c>
      <c r="E366" s="140" t="s">
        <v>19</v>
      </c>
      <c r="F366" s="140" t="s">
        <v>51</v>
      </c>
      <c r="G366" s="140" t="s">
        <v>21</v>
      </c>
      <c r="H366" s="140" t="s">
        <v>200</v>
      </c>
      <c r="I366" s="140" t="s">
        <v>21</v>
      </c>
      <c r="J366" s="174"/>
    </row>
    <row r="367" hidden="1" customHeight="1" spans="1:10">
      <c r="A367" s="140" t="s">
        <v>233</v>
      </c>
      <c r="B367" s="140" t="s">
        <v>230</v>
      </c>
      <c r="C367" s="171">
        <v>45708</v>
      </c>
      <c r="D367" s="172" t="s">
        <v>23</v>
      </c>
      <c r="E367" s="140" t="s">
        <v>19</v>
      </c>
      <c r="F367" s="140" t="s">
        <v>51</v>
      </c>
      <c r="G367" s="140" t="s">
        <v>21</v>
      </c>
      <c r="H367" s="140" t="s">
        <v>73</v>
      </c>
      <c r="I367" s="140" t="s">
        <v>21</v>
      </c>
      <c r="J367" s="174"/>
    </row>
    <row r="368" customHeight="1" spans="1:10">
      <c r="A368" s="140" t="s">
        <v>233</v>
      </c>
      <c r="B368" s="140" t="s">
        <v>230</v>
      </c>
      <c r="C368" s="171">
        <v>45709</v>
      </c>
      <c r="D368" s="172" t="s">
        <v>25</v>
      </c>
      <c r="E368" s="140" t="s">
        <v>19</v>
      </c>
      <c r="F368" s="140" t="s">
        <v>14</v>
      </c>
      <c r="G368" s="176" t="s">
        <v>68</v>
      </c>
      <c r="H368" s="140" t="s">
        <v>189</v>
      </c>
      <c r="I368" s="140" t="s">
        <v>21</v>
      </c>
      <c r="J368" s="174" t="s">
        <v>69</v>
      </c>
    </row>
    <row r="369" hidden="1" customHeight="1" spans="1:10">
      <c r="A369" s="140" t="s">
        <v>233</v>
      </c>
      <c r="B369" s="140" t="s">
        <v>230</v>
      </c>
      <c r="C369" s="171">
        <v>45710</v>
      </c>
      <c r="D369" s="172" t="s">
        <v>27</v>
      </c>
      <c r="E369" s="173" t="s">
        <v>13</v>
      </c>
      <c r="F369" s="140" t="s">
        <v>14</v>
      </c>
      <c r="G369" s="140" t="s">
        <v>14</v>
      </c>
      <c r="H369" s="140" t="s">
        <v>14</v>
      </c>
      <c r="I369" s="140" t="s">
        <v>14</v>
      </c>
      <c r="J369" s="174"/>
    </row>
    <row r="370" hidden="1" customHeight="1" spans="1:10">
      <c r="A370" s="140" t="s">
        <v>233</v>
      </c>
      <c r="B370" s="140" t="s">
        <v>230</v>
      </c>
      <c r="C370" s="171">
        <v>45711</v>
      </c>
      <c r="D370" s="172" t="s">
        <v>15</v>
      </c>
      <c r="E370" s="173" t="s">
        <v>13</v>
      </c>
      <c r="F370" s="140" t="s">
        <v>14</v>
      </c>
      <c r="G370" s="140" t="s">
        <v>14</v>
      </c>
      <c r="H370" s="140" t="s">
        <v>14</v>
      </c>
      <c r="I370" s="140" t="s">
        <v>14</v>
      </c>
      <c r="J370" s="174"/>
    </row>
    <row r="371" customHeight="1" spans="1:10">
      <c r="A371" s="140" t="s">
        <v>233</v>
      </c>
      <c r="B371" s="140" t="s">
        <v>230</v>
      </c>
      <c r="C371" s="171">
        <v>45712</v>
      </c>
      <c r="D371" s="172" t="s">
        <v>16</v>
      </c>
      <c r="E371" s="140" t="s">
        <v>19</v>
      </c>
      <c r="F371" s="140" t="s">
        <v>14</v>
      </c>
      <c r="G371" s="176" t="s">
        <v>68</v>
      </c>
      <c r="H371" s="140" t="s">
        <v>168</v>
      </c>
      <c r="I371" s="140" t="s">
        <v>21</v>
      </c>
      <c r="J371" s="174" t="s">
        <v>69</v>
      </c>
    </row>
    <row r="372" hidden="1" customHeight="1" spans="1:10">
      <c r="A372" s="140" t="s">
        <v>233</v>
      </c>
      <c r="B372" s="140" t="s">
        <v>230</v>
      </c>
      <c r="C372" s="171">
        <v>45713</v>
      </c>
      <c r="D372" s="172" t="s">
        <v>17</v>
      </c>
      <c r="E372" s="140" t="s">
        <v>19</v>
      </c>
      <c r="F372" s="140" t="s">
        <v>51</v>
      </c>
      <c r="G372" s="140" t="s">
        <v>21</v>
      </c>
      <c r="H372" s="140" t="s">
        <v>174</v>
      </c>
      <c r="I372" s="140" t="s">
        <v>21</v>
      </c>
      <c r="J372" s="174"/>
    </row>
    <row r="373" hidden="1" customHeight="1" spans="1:10">
      <c r="A373" s="140" t="s">
        <v>233</v>
      </c>
      <c r="B373" s="140" t="s">
        <v>230</v>
      </c>
      <c r="C373" s="171">
        <v>45714</v>
      </c>
      <c r="D373" s="172" t="s">
        <v>18</v>
      </c>
      <c r="E373" s="140" t="s">
        <v>19</v>
      </c>
      <c r="F373" s="140" t="s">
        <v>51</v>
      </c>
      <c r="G373" s="140" t="s">
        <v>21</v>
      </c>
      <c r="H373" s="140" t="s">
        <v>235</v>
      </c>
      <c r="I373" s="140" t="s">
        <v>21</v>
      </c>
      <c r="J373" s="174"/>
    </row>
    <row r="374" hidden="1" customHeight="1" spans="1:10">
      <c r="A374" s="140" t="s">
        <v>233</v>
      </c>
      <c r="B374" s="140" t="s">
        <v>230</v>
      </c>
      <c r="C374" s="171">
        <v>45715</v>
      </c>
      <c r="D374" s="172" t="s">
        <v>23</v>
      </c>
      <c r="E374" s="140" t="s">
        <v>19</v>
      </c>
      <c r="F374" s="140" t="s">
        <v>51</v>
      </c>
      <c r="G374" s="140" t="s">
        <v>21</v>
      </c>
      <c r="H374" s="140" t="s">
        <v>168</v>
      </c>
      <c r="I374" s="140" t="s">
        <v>21</v>
      </c>
      <c r="J374" s="174"/>
    </row>
    <row r="375" hidden="1" customHeight="1" spans="1:10">
      <c r="A375" s="140" t="s">
        <v>233</v>
      </c>
      <c r="B375" s="140" t="s">
        <v>230</v>
      </c>
      <c r="C375" s="171">
        <v>45716</v>
      </c>
      <c r="D375" s="172" t="s">
        <v>25</v>
      </c>
      <c r="E375" s="140" t="s">
        <v>19</v>
      </c>
      <c r="F375" s="140" t="s">
        <v>51</v>
      </c>
      <c r="G375" s="140" t="s">
        <v>21</v>
      </c>
      <c r="H375" s="140" t="s">
        <v>205</v>
      </c>
      <c r="I375" s="140" t="s">
        <v>21</v>
      </c>
      <c r="J375" s="174"/>
    </row>
    <row r="376" hidden="1" customHeight="1" spans="1:10">
      <c r="A376" s="140" t="s">
        <v>236</v>
      </c>
      <c r="B376" s="140" t="s">
        <v>237</v>
      </c>
      <c r="C376" s="171">
        <v>45689</v>
      </c>
      <c r="D376" s="172" t="s">
        <v>12</v>
      </c>
      <c r="E376" s="173" t="s">
        <v>13</v>
      </c>
      <c r="F376" s="140" t="s">
        <v>14</v>
      </c>
      <c r="G376" s="140" t="s">
        <v>14</v>
      </c>
      <c r="H376" s="140" t="s">
        <v>14</v>
      </c>
      <c r="I376" s="140" t="s">
        <v>14</v>
      </c>
      <c r="J376" s="174"/>
    </row>
    <row r="377" hidden="1" customHeight="1" spans="1:10">
      <c r="A377" s="140" t="s">
        <v>236</v>
      </c>
      <c r="B377" s="140" t="s">
        <v>237</v>
      </c>
      <c r="C377" s="171">
        <v>45690</v>
      </c>
      <c r="D377" s="172" t="s">
        <v>15</v>
      </c>
      <c r="E377" s="173" t="s">
        <v>13</v>
      </c>
      <c r="F377" s="140" t="s">
        <v>14</v>
      </c>
      <c r="G377" s="140" t="s">
        <v>14</v>
      </c>
      <c r="H377" s="140" t="s">
        <v>14</v>
      </c>
      <c r="I377" s="140" t="s">
        <v>14</v>
      </c>
      <c r="J377" s="174"/>
    </row>
    <row r="378" hidden="1" customHeight="1" spans="1:10">
      <c r="A378" s="140" t="s">
        <v>236</v>
      </c>
      <c r="B378" s="140" t="s">
        <v>237</v>
      </c>
      <c r="C378" s="171">
        <v>45691</v>
      </c>
      <c r="D378" s="172" t="s">
        <v>16</v>
      </c>
      <c r="E378" s="173" t="s">
        <v>13</v>
      </c>
      <c r="F378" s="140" t="s">
        <v>14</v>
      </c>
      <c r="G378" s="140" t="s">
        <v>14</v>
      </c>
      <c r="H378" s="140" t="s">
        <v>14</v>
      </c>
      <c r="I378" s="140" t="s">
        <v>14</v>
      </c>
      <c r="J378" s="174"/>
    </row>
    <row r="379" hidden="1" customHeight="1" spans="1:10">
      <c r="A379" s="140" t="s">
        <v>236</v>
      </c>
      <c r="B379" s="140" t="s">
        <v>237</v>
      </c>
      <c r="C379" s="171">
        <v>45692</v>
      </c>
      <c r="D379" s="172" t="s">
        <v>17</v>
      </c>
      <c r="E379" s="173" t="s">
        <v>13</v>
      </c>
      <c r="F379" s="140" t="s">
        <v>14</v>
      </c>
      <c r="G379" s="140" t="s">
        <v>14</v>
      </c>
      <c r="H379" s="140" t="s">
        <v>14</v>
      </c>
      <c r="I379" s="140" t="s">
        <v>14</v>
      </c>
      <c r="J379" s="174"/>
    </row>
    <row r="380" hidden="1" customHeight="1" spans="1:10">
      <c r="A380" s="140" t="s">
        <v>236</v>
      </c>
      <c r="B380" s="140" t="s">
        <v>237</v>
      </c>
      <c r="C380" s="171">
        <v>45693</v>
      </c>
      <c r="D380" s="172" t="s">
        <v>18</v>
      </c>
      <c r="E380" s="140" t="s">
        <v>19</v>
      </c>
      <c r="F380" s="140" t="s">
        <v>154</v>
      </c>
      <c r="G380" s="140" t="s">
        <v>21</v>
      </c>
      <c r="H380" s="140" t="s">
        <v>200</v>
      </c>
      <c r="I380" s="140" t="s">
        <v>21</v>
      </c>
      <c r="J380" s="174"/>
    </row>
    <row r="381" hidden="1" customHeight="1" spans="1:10">
      <c r="A381" s="140" t="s">
        <v>236</v>
      </c>
      <c r="B381" s="140" t="s">
        <v>237</v>
      </c>
      <c r="C381" s="171">
        <v>45694</v>
      </c>
      <c r="D381" s="172" t="s">
        <v>23</v>
      </c>
      <c r="E381" s="140" t="s">
        <v>19</v>
      </c>
      <c r="F381" s="140" t="s">
        <v>33</v>
      </c>
      <c r="G381" s="140" t="s">
        <v>21</v>
      </c>
      <c r="H381" s="140" t="s">
        <v>168</v>
      </c>
      <c r="I381" s="140" t="s">
        <v>21</v>
      </c>
      <c r="J381" s="174"/>
    </row>
    <row r="382" hidden="1" customHeight="1" spans="1:10">
      <c r="A382" s="140" t="s">
        <v>236</v>
      </c>
      <c r="B382" s="140" t="s">
        <v>237</v>
      </c>
      <c r="C382" s="171">
        <v>45695</v>
      </c>
      <c r="D382" s="172" t="s">
        <v>25</v>
      </c>
      <c r="E382" s="140" t="s">
        <v>19</v>
      </c>
      <c r="F382" s="140" t="s">
        <v>28</v>
      </c>
      <c r="G382" s="140" t="s">
        <v>21</v>
      </c>
      <c r="H382" s="140" t="s">
        <v>238</v>
      </c>
      <c r="I382" s="140" t="s">
        <v>21</v>
      </c>
      <c r="J382" s="174"/>
    </row>
    <row r="383" hidden="1" customHeight="1" spans="1:10">
      <c r="A383" s="140" t="s">
        <v>236</v>
      </c>
      <c r="B383" s="140" t="s">
        <v>237</v>
      </c>
      <c r="C383" s="171">
        <v>45696</v>
      </c>
      <c r="D383" s="172" t="s">
        <v>27</v>
      </c>
      <c r="E383" s="140" t="s">
        <v>19</v>
      </c>
      <c r="F383" s="140" t="s">
        <v>28</v>
      </c>
      <c r="G383" s="140" t="s">
        <v>21</v>
      </c>
      <c r="H383" s="140" t="s">
        <v>239</v>
      </c>
      <c r="I383" s="140" t="s">
        <v>21</v>
      </c>
      <c r="J383" s="174"/>
    </row>
    <row r="384" hidden="1" customHeight="1" spans="1:10">
      <c r="A384" s="140" t="s">
        <v>236</v>
      </c>
      <c r="B384" s="140" t="s">
        <v>237</v>
      </c>
      <c r="C384" s="171">
        <v>45697</v>
      </c>
      <c r="D384" s="172" t="s">
        <v>15</v>
      </c>
      <c r="E384" s="173" t="s">
        <v>13</v>
      </c>
      <c r="F384" s="140" t="s">
        <v>14</v>
      </c>
      <c r="G384" s="140" t="s">
        <v>14</v>
      </c>
      <c r="H384" s="140" t="s">
        <v>14</v>
      </c>
      <c r="I384" s="140" t="s">
        <v>14</v>
      </c>
      <c r="J384" s="174"/>
    </row>
    <row r="385" hidden="1" customHeight="1" spans="1:10">
      <c r="A385" s="140" t="s">
        <v>236</v>
      </c>
      <c r="B385" s="140" t="s">
        <v>237</v>
      </c>
      <c r="C385" s="171">
        <v>45698</v>
      </c>
      <c r="D385" s="172" t="s">
        <v>16</v>
      </c>
      <c r="E385" s="140" t="s">
        <v>19</v>
      </c>
      <c r="F385" s="140" t="s">
        <v>28</v>
      </c>
      <c r="G385" s="140" t="s">
        <v>21</v>
      </c>
      <c r="H385" s="140" t="s">
        <v>73</v>
      </c>
      <c r="I385" s="140" t="s">
        <v>21</v>
      </c>
      <c r="J385" s="174"/>
    </row>
    <row r="386" hidden="1" customHeight="1" spans="1:10">
      <c r="A386" s="140" t="s">
        <v>236</v>
      </c>
      <c r="B386" s="140" t="s">
        <v>237</v>
      </c>
      <c r="C386" s="171">
        <v>45699</v>
      </c>
      <c r="D386" s="172" t="s">
        <v>17</v>
      </c>
      <c r="E386" s="140" t="s">
        <v>19</v>
      </c>
      <c r="F386" s="140" t="s">
        <v>28</v>
      </c>
      <c r="G386" s="140" t="s">
        <v>21</v>
      </c>
      <c r="H386" s="140" t="s">
        <v>201</v>
      </c>
      <c r="I386" s="140" t="s">
        <v>21</v>
      </c>
      <c r="J386" s="174"/>
    </row>
    <row r="387" hidden="1" customHeight="1" spans="1:10">
      <c r="A387" s="140" t="s">
        <v>236</v>
      </c>
      <c r="B387" s="140" t="s">
        <v>237</v>
      </c>
      <c r="C387" s="171">
        <v>45700</v>
      </c>
      <c r="D387" s="172" t="s">
        <v>18</v>
      </c>
      <c r="E387" s="140" t="s">
        <v>19</v>
      </c>
      <c r="F387" s="140" t="s">
        <v>157</v>
      </c>
      <c r="G387" s="140" t="s">
        <v>21</v>
      </c>
      <c r="H387" s="140" t="s">
        <v>189</v>
      </c>
      <c r="I387" s="140" t="s">
        <v>21</v>
      </c>
      <c r="J387" s="174"/>
    </row>
    <row r="388" hidden="1" customHeight="1" spans="1:10">
      <c r="A388" s="140" t="s">
        <v>236</v>
      </c>
      <c r="B388" s="140" t="s">
        <v>237</v>
      </c>
      <c r="C388" s="171">
        <v>45701</v>
      </c>
      <c r="D388" s="172" t="s">
        <v>23</v>
      </c>
      <c r="E388" s="140" t="s">
        <v>19</v>
      </c>
      <c r="F388" s="140" t="s">
        <v>51</v>
      </c>
      <c r="G388" s="140" t="s">
        <v>21</v>
      </c>
      <c r="H388" s="140" t="s">
        <v>168</v>
      </c>
      <c r="I388" s="140" t="s">
        <v>21</v>
      </c>
      <c r="J388" s="174"/>
    </row>
    <row r="389" hidden="1" customHeight="1" spans="1:10">
      <c r="A389" s="140" t="s">
        <v>236</v>
      </c>
      <c r="B389" s="140" t="s">
        <v>237</v>
      </c>
      <c r="C389" s="171">
        <v>45702</v>
      </c>
      <c r="D389" s="172" t="s">
        <v>25</v>
      </c>
      <c r="E389" s="140" t="s">
        <v>19</v>
      </c>
      <c r="F389" s="140" t="s">
        <v>30</v>
      </c>
      <c r="G389" s="140" t="s">
        <v>21</v>
      </c>
      <c r="H389" s="140" t="s">
        <v>206</v>
      </c>
      <c r="I389" s="140" t="s">
        <v>21</v>
      </c>
      <c r="J389" s="174"/>
    </row>
    <row r="390" hidden="1" customHeight="1" spans="1:10">
      <c r="A390" s="140" t="s">
        <v>236</v>
      </c>
      <c r="B390" s="140" t="s">
        <v>237</v>
      </c>
      <c r="C390" s="171">
        <v>45703</v>
      </c>
      <c r="D390" s="172" t="s">
        <v>27</v>
      </c>
      <c r="E390" s="173" t="s">
        <v>13</v>
      </c>
      <c r="F390" s="140" t="s">
        <v>14</v>
      </c>
      <c r="G390" s="140" t="s">
        <v>14</v>
      </c>
      <c r="H390" s="140" t="s">
        <v>14</v>
      </c>
      <c r="I390" s="140" t="s">
        <v>14</v>
      </c>
      <c r="J390" s="174"/>
    </row>
    <row r="391" hidden="1" customHeight="1" spans="1:10">
      <c r="A391" s="140" t="s">
        <v>236</v>
      </c>
      <c r="B391" s="140" t="s">
        <v>237</v>
      </c>
      <c r="C391" s="171">
        <v>45704</v>
      </c>
      <c r="D391" s="172" t="s">
        <v>15</v>
      </c>
      <c r="E391" s="173" t="s">
        <v>13</v>
      </c>
      <c r="F391" s="140" t="s">
        <v>14</v>
      </c>
      <c r="G391" s="140" t="s">
        <v>14</v>
      </c>
      <c r="H391" s="140" t="s">
        <v>14</v>
      </c>
      <c r="I391" s="140" t="s">
        <v>14</v>
      </c>
      <c r="J391" s="174"/>
    </row>
    <row r="392" hidden="1" customHeight="1" spans="1:10">
      <c r="A392" s="140" t="s">
        <v>236</v>
      </c>
      <c r="B392" s="140" t="s">
        <v>237</v>
      </c>
      <c r="C392" s="171">
        <v>45705</v>
      </c>
      <c r="D392" s="172" t="s">
        <v>16</v>
      </c>
      <c r="E392" s="140" t="s">
        <v>19</v>
      </c>
      <c r="F392" s="140" t="s">
        <v>30</v>
      </c>
      <c r="G392" s="140" t="s">
        <v>21</v>
      </c>
      <c r="H392" s="140" t="s">
        <v>168</v>
      </c>
      <c r="I392" s="140" t="s">
        <v>21</v>
      </c>
      <c r="J392" s="174"/>
    </row>
    <row r="393" hidden="1" customHeight="1" spans="1:10">
      <c r="A393" s="140" t="s">
        <v>236</v>
      </c>
      <c r="B393" s="140" t="s">
        <v>237</v>
      </c>
      <c r="C393" s="171">
        <v>45706</v>
      </c>
      <c r="D393" s="172" t="s">
        <v>17</v>
      </c>
      <c r="E393" s="140" t="s">
        <v>19</v>
      </c>
      <c r="F393" s="140" t="s">
        <v>30</v>
      </c>
      <c r="G393" s="140" t="s">
        <v>21</v>
      </c>
      <c r="H393" s="140" t="s">
        <v>240</v>
      </c>
      <c r="I393" s="140" t="s">
        <v>21</v>
      </c>
      <c r="J393" s="174"/>
    </row>
    <row r="394" hidden="1" customHeight="1" spans="1:10">
      <c r="A394" s="140" t="s">
        <v>236</v>
      </c>
      <c r="B394" s="140" t="s">
        <v>237</v>
      </c>
      <c r="C394" s="171">
        <v>45707</v>
      </c>
      <c r="D394" s="172" t="s">
        <v>18</v>
      </c>
      <c r="E394" s="140" t="s">
        <v>19</v>
      </c>
      <c r="F394" s="140" t="s">
        <v>157</v>
      </c>
      <c r="G394" s="140" t="s">
        <v>21</v>
      </c>
      <c r="H394" s="140" t="s">
        <v>142</v>
      </c>
      <c r="I394" s="140" t="s">
        <v>21</v>
      </c>
      <c r="J394" s="174"/>
    </row>
    <row r="395" hidden="1" customHeight="1" spans="1:10">
      <c r="A395" s="140" t="s">
        <v>236</v>
      </c>
      <c r="B395" s="140" t="s">
        <v>237</v>
      </c>
      <c r="C395" s="171">
        <v>45708</v>
      </c>
      <c r="D395" s="172" t="s">
        <v>23</v>
      </c>
      <c r="E395" s="140" t="s">
        <v>19</v>
      </c>
      <c r="F395" s="140" t="s">
        <v>30</v>
      </c>
      <c r="G395" s="140" t="s">
        <v>21</v>
      </c>
      <c r="H395" s="140" t="s">
        <v>35</v>
      </c>
      <c r="I395" s="140" t="s">
        <v>21</v>
      </c>
      <c r="J395" s="174"/>
    </row>
    <row r="396" hidden="1" customHeight="1" spans="1:10">
      <c r="A396" s="140" t="s">
        <v>236</v>
      </c>
      <c r="B396" s="140" t="s">
        <v>237</v>
      </c>
      <c r="C396" s="171">
        <v>45709</v>
      </c>
      <c r="D396" s="172" t="s">
        <v>25</v>
      </c>
      <c r="E396" s="140" t="s">
        <v>19</v>
      </c>
      <c r="F396" s="140" t="s">
        <v>157</v>
      </c>
      <c r="G396" s="140" t="s">
        <v>21</v>
      </c>
      <c r="H396" s="140" t="s">
        <v>181</v>
      </c>
      <c r="I396" s="140" t="s">
        <v>21</v>
      </c>
      <c r="J396" s="174"/>
    </row>
    <row r="397" hidden="1" customHeight="1" spans="1:10">
      <c r="A397" s="140" t="s">
        <v>236</v>
      </c>
      <c r="B397" s="140" t="s">
        <v>237</v>
      </c>
      <c r="C397" s="171">
        <v>45710</v>
      </c>
      <c r="D397" s="172" t="s">
        <v>27</v>
      </c>
      <c r="E397" s="173" t="s">
        <v>13</v>
      </c>
      <c r="F397" s="140" t="s">
        <v>14</v>
      </c>
      <c r="G397" s="140" t="s">
        <v>14</v>
      </c>
      <c r="H397" s="140" t="s">
        <v>14</v>
      </c>
      <c r="I397" s="140" t="s">
        <v>14</v>
      </c>
      <c r="J397" s="174"/>
    </row>
    <row r="398" hidden="1" customHeight="1" spans="1:10">
      <c r="A398" s="140" t="s">
        <v>236</v>
      </c>
      <c r="B398" s="140" t="s">
        <v>237</v>
      </c>
      <c r="C398" s="171">
        <v>45711</v>
      </c>
      <c r="D398" s="172" t="s">
        <v>15</v>
      </c>
      <c r="E398" s="173" t="s">
        <v>13</v>
      </c>
      <c r="F398" s="140" t="s">
        <v>14</v>
      </c>
      <c r="G398" s="140" t="s">
        <v>14</v>
      </c>
      <c r="H398" s="140" t="s">
        <v>14</v>
      </c>
      <c r="I398" s="140" t="s">
        <v>14</v>
      </c>
      <c r="J398" s="174"/>
    </row>
    <row r="399" hidden="1" customHeight="1" spans="1:10">
      <c r="A399" s="140" t="s">
        <v>236</v>
      </c>
      <c r="B399" s="140" t="s">
        <v>237</v>
      </c>
      <c r="C399" s="171">
        <v>45712</v>
      </c>
      <c r="D399" s="172" t="s">
        <v>16</v>
      </c>
      <c r="E399" s="140" t="s">
        <v>19</v>
      </c>
      <c r="F399" s="140" t="s">
        <v>157</v>
      </c>
      <c r="G399" s="140" t="s">
        <v>21</v>
      </c>
      <c r="H399" s="140" t="s">
        <v>73</v>
      </c>
      <c r="I399" s="140" t="s">
        <v>21</v>
      </c>
      <c r="J399" s="174"/>
    </row>
    <row r="400" hidden="1" customHeight="1" spans="1:10">
      <c r="A400" s="140" t="s">
        <v>236</v>
      </c>
      <c r="B400" s="140" t="s">
        <v>237</v>
      </c>
      <c r="C400" s="171">
        <v>45713</v>
      </c>
      <c r="D400" s="172" t="s">
        <v>17</v>
      </c>
      <c r="E400" s="140" t="s">
        <v>19</v>
      </c>
      <c r="F400" s="140" t="s">
        <v>28</v>
      </c>
      <c r="G400" s="140" t="s">
        <v>21</v>
      </c>
      <c r="H400" s="140" t="s">
        <v>241</v>
      </c>
      <c r="I400" s="140" t="s">
        <v>21</v>
      </c>
      <c r="J400" s="174"/>
    </row>
    <row r="401" hidden="1" customHeight="1" spans="1:10">
      <c r="A401" s="140" t="s">
        <v>236</v>
      </c>
      <c r="B401" s="140" t="s">
        <v>237</v>
      </c>
      <c r="C401" s="171">
        <v>45714</v>
      </c>
      <c r="D401" s="172" t="s">
        <v>18</v>
      </c>
      <c r="E401" s="140" t="s">
        <v>19</v>
      </c>
      <c r="F401" s="140" t="s">
        <v>33</v>
      </c>
      <c r="G401" s="140" t="s">
        <v>21</v>
      </c>
      <c r="H401" s="140" t="s">
        <v>199</v>
      </c>
      <c r="I401" s="140" t="s">
        <v>21</v>
      </c>
      <c r="J401" s="174"/>
    </row>
    <row r="402" hidden="1" customHeight="1" spans="1:10">
      <c r="A402" s="140" t="s">
        <v>236</v>
      </c>
      <c r="B402" s="140" t="s">
        <v>237</v>
      </c>
      <c r="C402" s="171">
        <v>45715</v>
      </c>
      <c r="D402" s="172" t="s">
        <v>23</v>
      </c>
      <c r="E402" s="140" t="s">
        <v>19</v>
      </c>
      <c r="F402" s="140" t="s">
        <v>30</v>
      </c>
      <c r="G402" s="140" t="s">
        <v>21</v>
      </c>
      <c r="H402" s="140" t="s">
        <v>153</v>
      </c>
      <c r="I402" s="140" t="s">
        <v>21</v>
      </c>
      <c r="J402" s="174"/>
    </row>
    <row r="403" hidden="1" customHeight="1" spans="1:10">
      <c r="A403" s="140" t="s">
        <v>236</v>
      </c>
      <c r="B403" s="140" t="s">
        <v>237</v>
      </c>
      <c r="C403" s="171">
        <v>45716</v>
      </c>
      <c r="D403" s="172" t="s">
        <v>25</v>
      </c>
      <c r="E403" s="140" t="s">
        <v>19</v>
      </c>
      <c r="F403" s="140" t="s">
        <v>157</v>
      </c>
      <c r="G403" s="140" t="s">
        <v>21</v>
      </c>
      <c r="H403" s="140" t="s">
        <v>215</v>
      </c>
      <c r="I403" s="140" t="s">
        <v>21</v>
      </c>
      <c r="J403" s="174"/>
    </row>
    <row r="404" hidden="1" customHeight="1" spans="1:10">
      <c r="A404" s="140" t="s">
        <v>242</v>
      </c>
      <c r="B404" s="140" t="s">
        <v>237</v>
      </c>
      <c r="C404" s="171">
        <v>45689</v>
      </c>
      <c r="D404" s="172" t="s">
        <v>12</v>
      </c>
      <c r="E404" s="173" t="s">
        <v>13</v>
      </c>
      <c r="F404" s="140" t="s">
        <v>14</v>
      </c>
      <c r="G404" s="140" t="s">
        <v>14</v>
      </c>
      <c r="H404" s="140" t="s">
        <v>14</v>
      </c>
      <c r="I404" s="140" t="s">
        <v>14</v>
      </c>
      <c r="J404" s="174"/>
    </row>
    <row r="405" hidden="1" customHeight="1" spans="1:10">
      <c r="A405" s="140" t="s">
        <v>242</v>
      </c>
      <c r="B405" s="140" t="s">
        <v>237</v>
      </c>
      <c r="C405" s="171">
        <v>45690</v>
      </c>
      <c r="D405" s="172" t="s">
        <v>15</v>
      </c>
      <c r="E405" s="173" t="s">
        <v>13</v>
      </c>
      <c r="F405" s="140" t="s">
        <v>14</v>
      </c>
      <c r="G405" s="140" t="s">
        <v>14</v>
      </c>
      <c r="H405" s="140" t="s">
        <v>14</v>
      </c>
      <c r="I405" s="140" t="s">
        <v>14</v>
      </c>
      <c r="J405" s="174"/>
    </row>
    <row r="406" hidden="1" customHeight="1" spans="1:10">
      <c r="A406" s="140" t="s">
        <v>242</v>
      </c>
      <c r="B406" s="140" t="s">
        <v>237</v>
      </c>
      <c r="C406" s="171">
        <v>45691</v>
      </c>
      <c r="D406" s="172" t="s">
        <v>16</v>
      </c>
      <c r="E406" s="173" t="s">
        <v>13</v>
      </c>
      <c r="F406" s="140" t="s">
        <v>14</v>
      </c>
      <c r="G406" s="140" t="s">
        <v>14</v>
      </c>
      <c r="H406" s="140" t="s">
        <v>14</v>
      </c>
      <c r="I406" s="140" t="s">
        <v>14</v>
      </c>
      <c r="J406" s="174"/>
    </row>
    <row r="407" hidden="1" customHeight="1" spans="1:10">
      <c r="A407" s="140" t="s">
        <v>242</v>
      </c>
      <c r="B407" s="140" t="s">
        <v>237</v>
      </c>
      <c r="C407" s="171">
        <v>45692</v>
      </c>
      <c r="D407" s="172" t="s">
        <v>17</v>
      </c>
      <c r="E407" s="173" t="s">
        <v>13</v>
      </c>
      <c r="F407" s="140" t="s">
        <v>14</v>
      </c>
      <c r="G407" s="140" t="s">
        <v>14</v>
      </c>
      <c r="H407" s="140" t="s">
        <v>14</v>
      </c>
      <c r="I407" s="140" t="s">
        <v>14</v>
      </c>
      <c r="J407" s="174"/>
    </row>
    <row r="408" hidden="1" customHeight="1" spans="1:10">
      <c r="A408" s="140" t="s">
        <v>242</v>
      </c>
      <c r="B408" s="140" t="s">
        <v>237</v>
      </c>
      <c r="C408" s="171">
        <v>45693</v>
      </c>
      <c r="D408" s="172" t="s">
        <v>18</v>
      </c>
      <c r="E408" s="140" t="s">
        <v>19</v>
      </c>
      <c r="F408" s="140" t="s">
        <v>40</v>
      </c>
      <c r="G408" s="140" t="s">
        <v>21</v>
      </c>
      <c r="H408" s="140" t="s">
        <v>178</v>
      </c>
      <c r="I408" s="140" t="s">
        <v>21</v>
      </c>
      <c r="J408" s="174"/>
    </row>
    <row r="409" hidden="1" customHeight="1" spans="1:10">
      <c r="A409" s="140" t="s">
        <v>242</v>
      </c>
      <c r="B409" s="140" t="s">
        <v>237</v>
      </c>
      <c r="C409" s="171">
        <v>45694</v>
      </c>
      <c r="D409" s="172" t="s">
        <v>23</v>
      </c>
      <c r="E409" s="140" t="s">
        <v>19</v>
      </c>
      <c r="F409" s="140" t="s">
        <v>146</v>
      </c>
      <c r="G409" s="140" t="s">
        <v>21</v>
      </c>
      <c r="H409" s="140" t="s">
        <v>168</v>
      </c>
      <c r="I409" s="140" t="s">
        <v>21</v>
      </c>
      <c r="J409" s="174"/>
    </row>
    <row r="410" hidden="1" customHeight="1" spans="1:10">
      <c r="A410" s="140" t="s">
        <v>242</v>
      </c>
      <c r="B410" s="140" t="s">
        <v>237</v>
      </c>
      <c r="C410" s="171">
        <v>45695</v>
      </c>
      <c r="D410" s="172" t="s">
        <v>25</v>
      </c>
      <c r="E410" s="140" t="s">
        <v>19</v>
      </c>
      <c r="F410" s="140" t="s">
        <v>146</v>
      </c>
      <c r="G410" s="140" t="s">
        <v>21</v>
      </c>
      <c r="H410" s="140" t="s">
        <v>181</v>
      </c>
      <c r="I410" s="140" t="s">
        <v>21</v>
      </c>
      <c r="J410" s="174"/>
    </row>
    <row r="411" hidden="1" customHeight="1" spans="1:10">
      <c r="A411" s="140" t="s">
        <v>242</v>
      </c>
      <c r="B411" s="140" t="s">
        <v>237</v>
      </c>
      <c r="C411" s="171">
        <v>45696</v>
      </c>
      <c r="D411" s="172" t="s">
        <v>27</v>
      </c>
      <c r="E411" s="140" t="s">
        <v>19</v>
      </c>
      <c r="F411" s="140" t="s">
        <v>193</v>
      </c>
      <c r="G411" s="140" t="s">
        <v>21</v>
      </c>
      <c r="H411" s="140" t="s">
        <v>189</v>
      </c>
      <c r="I411" s="140" t="s">
        <v>21</v>
      </c>
      <c r="J411" s="174"/>
    </row>
    <row r="412" hidden="1" customHeight="1" spans="1:10">
      <c r="A412" s="140" t="s">
        <v>242</v>
      </c>
      <c r="B412" s="140" t="s">
        <v>237</v>
      </c>
      <c r="C412" s="171">
        <v>45697</v>
      </c>
      <c r="D412" s="172" t="s">
        <v>15</v>
      </c>
      <c r="E412" s="173" t="s">
        <v>13</v>
      </c>
      <c r="F412" s="140" t="s">
        <v>14</v>
      </c>
      <c r="G412" s="140" t="s">
        <v>14</v>
      </c>
      <c r="H412" s="140" t="s">
        <v>14</v>
      </c>
      <c r="I412" s="140" t="s">
        <v>14</v>
      </c>
      <c r="J412" s="174"/>
    </row>
    <row r="413" hidden="1" customHeight="1" spans="1:10">
      <c r="A413" s="140" t="s">
        <v>242</v>
      </c>
      <c r="B413" s="140" t="s">
        <v>237</v>
      </c>
      <c r="C413" s="171">
        <v>45698</v>
      </c>
      <c r="D413" s="172" t="s">
        <v>16</v>
      </c>
      <c r="E413" s="140" t="s">
        <v>19</v>
      </c>
      <c r="F413" s="140" t="s">
        <v>157</v>
      </c>
      <c r="G413" s="140" t="s">
        <v>21</v>
      </c>
      <c r="H413" s="140" t="s">
        <v>168</v>
      </c>
      <c r="I413" s="140" t="s">
        <v>21</v>
      </c>
      <c r="J413" s="174"/>
    </row>
    <row r="414" hidden="1" customHeight="1" spans="1:10">
      <c r="A414" s="140" t="s">
        <v>242</v>
      </c>
      <c r="B414" s="140" t="s">
        <v>237</v>
      </c>
      <c r="C414" s="171">
        <v>45699</v>
      </c>
      <c r="D414" s="172" t="s">
        <v>17</v>
      </c>
      <c r="E414" s="140" t="s">
        <v>19</v>
      </c>
      <c r="F414" s="140" t="s">
        <v>30</v>
      </c>
      <c r="G414" s="140" t="s">
        <v>21</v>
      </c>
      <c r="H414" s="140" t="s">
        <v>181</v>
      </c>
      <c r="I414" s="140" t="s">
        <v>21</v>
      </c>
      <c r="J414" s="174"/>
    </row>
    <row r="415" hidden="1" customHeight="1" spans="1:10">
      <c r="A415" s="140" t="s">
        <v>242</v>
      </c>
      <c r="B415" s="140" t="s">
        <v>237</v>
      </c>
      <c r="C415" s="171">
        <v>45700</v>
      </c>
      <c r="D415" s="172" t="s">
        <v>18</v>
      </c>
      <c r="E415" s="140" t="s">
        <v>19</v>
      </c>
      <c r="F415" s="140" t="s">
        <v>154</v>
      </c>
      <c r="G415" s="140" t="s">
        <v>21</v>
      </c>
      <c r="H415" s="140" t="s">
        <v>174</v>
      </c>
      <c r="I415" s="140" t="s">
        <v>21</v>
      </c>
      <c r="J415" s="174"/>
    </row>
    <row r="416" customHeight="1" spans="1:10">
      <c r="A416" s="140" t="s">
        <v>242</v>
      </c>
      <c r="B416" s="140" t="s">
        <v>237</v>
      </c>
      <c r="C416" s="171">
        <v>45701</v>
      </c>
      <c r="D416" s="172" t="s">
        <v>23</v>
      </c>
      <c r="E416" s="140" t="s">
        <v>19</v>
      </c>
      <c r="F416" s="140" t="s">
        <v>14</v>
      </c>
      <c r="G416" s="176" t="s">
        <v>68</v>
      </c>
      <c r="H416" s="140" t="s">
        <v>45</v>
      </c>
      <c r="I416" s="140" t="s">
        <v>21</v>
      </c>
      <c r="J416" s="174" t="s">
        <v>69</v>
      </c>
    </row>
    <row r="417" hidden="1" customHeight="1" spans="1:10">
      <c r="A417" s="140" t="s">
        <v>242</v>
      </c>
      <c r="B417" s="140" t="s">
        <v>237</v>
      </c>
      <c r="C417" s="171">
        <v>45702</v>
      </c>
      <c r="D417" s="172" t="s">
        <v>25</v>
      </c>
      <c r="E417" s="140" t="s">
        <v>19</v>
      </c>
      <c r="F417" s="140" t="s">
        <v>30</v>
      </c>
      <c r="G417" s="140" t="s">
        <v>21</v>
      </c>
      <c r="H417" s="140" t="s">
        <v>206</v>
      </c>
      <c r="I417" s="140" t="s">
        <v>21</v>
      </c>
      <c r="J417" s="174"/>
    </row>
    <row r="418" hidden="1" customHeight="1" spans="1:10">
      <c r="A418" s="140" t="s">
        <v>242</v>
      </c>
      <c r="B418" s="140" t="s">
        <v>237</v>
      </c>
      <c r="C418" s="171">
        <v>45703</v>
      </c>
      <c r="D418" s="172" t="s">
        <v>27</v>
      </c>
      <c r="E418" s="173" t="s">
        <v>13</v>
      </c>
      <c r="F418" s="140" t="s">
        <v>14</v>
      </c>
      <c r="G418" s="140" t="s">
        <v>14</v>
      </c>
      <c r="H418" s="140" t="s">
        <v>14</v>
      </c>
      <c r="I418" s="140" t="s">
        <v>14</v>
      </c>
      <c r="J418" s="174"/>
    </row>
    <row r="419" hidden="1" customHeight="1" spans="1:10">
      <c r="A419" s="140" t="s">
        <v>242</v>
      </c>
      <c r="B419" s="140" t="s">
        <v>237</v>
      </c>
      <c r="C419" s="171">
        <v>45704</v>
      </c>
      <c r="D419" s="172" t="s">
        <v>15</v>
      </c>
      <c r="E419" s="173" t="s">
        <v>13</v>
      </c>
      <c r="F419" s="140" t="s">
        <v>14</v>
      </c>
      <c r="G419" s="140" t="s">
        <v>14</v>
      </c>
      <c r="H419" s="140" t="s">
        <v>14</v>
      </c>
      <c r="I419" s="140" t="s">
        <v>14</v>
      </c>
      <c r="J419" s="174"/>
    </row>
    <row r="420" customHeight="1" spans="1:10">
      <c r="A420" s="140" t="s">
        <v>242</v>
      </c>
      <c r="B420" s="140" t="s">
        <v>237</v>
      </c>
      <c r="C420" s="171">
        <v>45705</v>
      </c>
      <c r="D420" s="172" t="s">
        <v>16</v>
      </c>
      <c r="E420" s="140" t="s">
        <v>19</v>
      </c>
      <c r="F420" s="140" t="s">
        <v>14</v>
      </c>
      <c r="G420" s="176" t="s">
        <v>68</v>
      </c>
      <c r="H420" s="140" t="s">
        <v>14</v>
      </c>
      <c r="I420" s="176" t="s">
        <v>68</v>
      </c>
      <c r="J420" s="174" t="s">
        <v>234</v>
      </c>
    </row>
    <row r="421" hidden="1" customHeight="1" spans="1:10">
      <c r="A421" s="140" t="s">
        <v>242</v>
      </c>
      <c r="B421" s="140" t="s">
        <v>237</v>
      </c>
      <c r="C421" s="171">
        <v>45706</v>
      </c>
      <c r="D421" s="172" t="s">
        <v>17</v>
      </c>
      <c r="E421" s="140" t="s">
        <v>19</v>
      </c>
      <c r="F421" s="140" t="s">
        <v>33</v>
      </c>
      <c r="G421" s="140" t="s">
        <v>21</v>
      </c>
      <c r="H421" s="140" t="s">
        <v>130</v>
      </c>
      <c r="I421" s="140" t="s">
        <v>21</v>
      </c>
      <c r="J421" s="174"/>
    </row>
    <row r="422" hidden="1" customHeight="1" spans="1:10">
      <c r="A422" s="140" t="s">
        <v>242</v>
      </c>
      <c r="B422" s="140" t="s">
        <v>237</v>
      </c>
      <c r="C422" s="171">
        <v>45707</v>
      </c>
      <c r="D422" s="172" t="s">
        <v>18</v>
      </c>
      <c r="E422" s="140" t="s">
        <v>19</v>
      </c>
      <c r="F422" s="140" t="s">
        <v>154</v>
      </c>
      <c r="G422" s="140" t="s">
        <v>21</v>
      </c>
      <c r="H422" s="140" t="s">
        <v>243</v>
      </c>
      <c r="I422" s="140" t="s">
        <v>21</v>
      </c>
      <c r="J422" s="174"/>
    </row>
    <row r="423" hidden="1" customHeight="1" spans="1:10">
      <c r="A423" s="140" t="s">
        <v>242</v>
      </c>
      <c r="B423" s="140" t="s">
        <v>237</v>
      </c>
      <c r="C423" s="171">
        <v>45708</v>
      </c>
      <c r="D423" s="172" t="s">
        <v>23</v>
      </c>
      <c r="E423" s="140" t="s">
        <v>19</v>
      </c>
      <c r="F423" s="140" t="s">
        <v>157</v>
      </c>
      <c r="G423" s="140" t="s">
        <v>21</v>
      </c>
      <c r="H423" s="140" t="s">
        <v>78</v>
      </c>
      <c r="I423" s="140" t="s">
        <v>21</v>
      </c>
      <c r="J423" s="174"/>
    </row>
    <row r="424" customHeight="1" spans="1:10">
      <c r="A424" s="140" t="s">
        <v>242</v>
      </c>
      <c r="B424" s="140" t="s">
        <v>237</v>
      </c>
      <c r="C424" s="171">
        <v>45709</v>
      </c>
      <c r="D424" s="172" t="s">
        <v>25</v>
      </c>
      <c r="E424" s="140" t="s">
        <v>19</v>
      </c>
      <c r="F424" s="140" t="s">
        <v>36</v>
      </c>
      <c r="G424" s="140" t="s">
        <v>21</v>
      </c>
      <c r="H424" s="140" t="s">
        <v>14</v>
      </c>
      <c r="I424" s="176" t="s">
        <v>68</v>
      </c>
      <c r="J424" s="174" t="s">
        <v>69</v>
      </c>
    </row>
    <row r="425" hidden="1" customHeight="1" spans="1:10">
      <c r="A425" s="140" t="s">
        <v>242</v>
      </c>
      <c r="B425" s="140" t="s">
        <v>237</v>
      </c>
      <c r="C425" s="171">
        <v>45710</v>
      </c>
      <c r="D425" s="172" t="s">
        <v>27</v>
      </c>
      <c r="E425" s="173" t="s">
        <v>13</v>
      </c>
      <c r="F425" s="140" t="s">
        <v>14</v>
      </c>
      <c r="G425" s="140" t="s">
        <v>14</v>
      </c>
      <c r="H425" s="140" t="s">
        <v>14</v>
      </c>
      <c r="I425" s="140" t="s">
        <v>14</v>
      </c>
      <c r="J425" s="174"/>
    </row>
    <row r="426" hidden="1" customHeight="1" spans="1:10">
      <c r="A426" s="140" t="s">
        <v>242</v>
      </c>
      <c r="B426" s="140" t="s">
        <v>237</v>
      </c>
      <c r="C426" s="171">
        <v>45711</v>
      </c>
      <c r="D426" s="172" t="s">
        <v>15</v>
      </c>
      <c r="E426" s="173" t="s">
        <v>13</v>
      </c>
      <c r="F426" s="140" t="s">
        <v>14</v>
      </c>
      <c r="G426" s="140" t="s">
        <v>14</v>
      </c>
      <c r="H426" s="140" t="s">
        <v>14</v>
      </c>
      <c r="I426" s="140" t="s">
        <v>14</v>
      </c>
      <c r="J426" s="174"/>
    </row>
    <row r="427" hidden="1" customHeight="1" spans="1:10">
      <c r="A427" s="140" t="s">
        <v>242</v>
      </c>
      <c r="B427" s="140" t="s">
        <v>237</v>
      </c>
      <c r="C427" s="171">
        <v>45712</v>
      </c>
      <c r="D427" s="172" t="s">
        <v>16</v>
      </c>
      <c r="E427" s="140" t="s">
        <v>19</v>
      </c>
      <c r="F427" s="140" t="s">
        <v>154</v>
      </c>
      <c r="G427" s="140" t="s">
        <v>21</v>
      </c>
      <c r="H427" s="140" t="s">
        <v>78</v>
      </c>
      <c r="I427" s="140" t="s">
        <v>21</v>
      </c>
      <c r="J427" s="174"/>
    </row>
    <row r="428" hidden="1" customHeight="1" spans="1:10">
      <c r="A428" s="140" t="s">
        <v>242</v>
      </c>
      <c r="B428" s="140" t="s">
        <v>237</v>
      </c>
      <c r="C428" s="171">
        <v>45713</v>
      </c>
      <c r="D428" s="172" t="s">
        <v>17</v>
      </c>
      <c r="E428" s="140" t="s">
        <v>19</v>
      </c>
      <c r="F428" s="140" t="s">
        <v>30</v>
      </c>
      <c r="G428" s="140" t="s">
        <v>21</v>
      </c>
      <c r="H428" s="140" t="s">
        <v>158</v>
      </c>
      <c r="I428" s="140" t="s">
        <v>21</v>
      </c>
      <c r="J428" s="174"/>
    </row>
    <row r="429" hidden="1" customHeight="1" spans="1:10">
      <c r="A429" s="140" t="s">
        <v>242</v>
      </c>
      <c r="B429" s="140" t="s">
        <v>237</v>
      </c>
      <c r="C429" s="171">
        <v>45714</v>
      </c>
      <c r="D429" s="172" t="s">
        <v>18</v>
      </c>
      <c r="E429" s="140" t="s">
        <v>19</v>
      </c>
      <c r="F429" s="140" t="s">
        <v>30</v>
      </c>
      <c r="G429" s="140" t="s">
        <v>21</v>
      </c>
      <c r="H429" s="140" t="s">
        <v>238</v>
      </c>
      <c r="I429" s="140" t="s">
        <v>21</v>
      </c>
      <c r="J429" s="174"/>
    </row>
    <row r="430" hidden="1" customHeight="1" spans="1:10">
      <c r="A430" s="140" t="s">
        <v>242</v>
      </c>
      <c r="B430" s="140" t="s">
        <v>237</v>
      </c>
      <c r="C430" s="171">
        <v>45715</v>
      </c>
      <c r="D430" s="172" t="s">
        <v>23</v>
      </c>
      <c r="E430" s="140" t="s">
        <v>19</v>
      </c>
      <c r="F430" s="140" t="s">
        <v>157</v>
      </c>
      <c r="G430" s="140" t="s">
        <v>21</v>
      </c>
      <c r="H430" s="140" t="s">
        <v>168</v>
      </c>
      <c r="I430" s="140" t="s">
        <v>21</v>
      </c>
      <c r="J430" s="174"/>
    </row>
    <row r="431" hidden="1" customHeight="1" spans="1:10">
      <c r="A431" s="140" t="s">
        <v>242</v>
      </c>
      <c r="B431" s="140" t="s">
        <v>237</v>
      </c>
      <c r="C431" s="171">
        <v>45716</v>
      </c>
      <c r="D431" s="172" t="s">
        <v>25</v>
      </c>
      <c r="E431" s="140" t="s">
        <v>19</v>
      </c>
      <c r="F431" s="140" t="s">
        <v>146</v>
      </c>
      <c r="G431" s="140" t="s">
        <v>21</v>
      </c>
      <c r="H431" s="140" t="s">
        <v>200</v>
      </c>
      <c r="I431" s="140" t="s">
        <v>21</v>
      </c>
      <c r="J431" s="174"/>
    </row>
    <row r="432" hidden="1" customHeight="1" spans="1:10">
      <c r="A432" s="140" t="s">
        <v>244</v>
      </c>
      <c r="B432" s="140" t="s">
        <v>237</v>
      </c>
      <c r="C432" s="171">
        <v>45689</v>
      </c>
      <c r="D432" s="172" t="s">
        <v>12</v>
      </c>
      <c r="E432" s="173" t="s">
        <v>13</v>
      </c>
      <c r="F432" s="140" t="s">
        <v>14</v>
      </c>
      <c r="G432" s="140" t="s">
        <v>14</v>
      </c>
      <c r="H432" s="140" t="s">
        <v>14</v>
      </c>
      <c r="I432" s="140" t="s">
        <v>14</v>
      </c>
      <c r="J432" s="174"/>
    </row>
    <row r="433" hidden="1" customHeight="1" spans="1:10">
      <c r="A433" s="140" t="s">
        <v>244</v>
      </c>
      <c r="B433" s="140" t="s">
        <v>237</v>
      </c>
      <c r="C433" s="171">
        <v>45690</v>
      </c>
      <c r="D433" s="172" t="s">
        <v>15</v>
      </c>
      <c r="E433" s="173" t="s">
        <v>13</v>
      </c>
      <c r="F433" s="140" t="s">
        <v>14</v>
      </c>
      <c r="G433" s="140" t="s">
        <v>14</v>
      </c>
      <c r="H433" s="140" t="s">
        <v>14</v>
      </c>
      <c r="I433" s="140" t="s">
        <v>14</v>
      </c>
      <c r="J433" s="174"/>
    </row>
    <row r="434" hidden="1" customHeight="1" spans="1:10">
      <c r="A434" s="140" t="s">
        <v>244</v>
      </c>
      <c r="B434" s="140" t="s">
        <v>237</v>
      </c>
      <c r="C434" s="171">
        <v>45691</v>
      </c>
      <c r="D434" s="172" t="s">
        <v>16</v>
      </c>
      <c r="E434" s="173" t="s">
        <v>13</v>
      </c>
      <c r="F434" s="140" t="s">
        <v>14</v>
      </c>
      <c r="G434" s="140" t="s">
        <v>14</v>
      </c>
      <c r="H434" s="140" t="s">
        <v>14</v>
      </c>
      <c r="I434" s="140" t="s">
        <v>14</v>
      </c>
      <c r="J434" s="174"/>
    </row>
    <row r="435" hidden="1" customHeight="1" spans="1:10">
      <c r="A435" s="140" t="s">
        <v>244</v>
      </c>
      <c r="B435" s="140" t="s">
        <v>237</v>
      </c>
      <c r="C435" s="171">
        <v>45692</v>
      </c>
      <c r="D435" s="172" t="s">
        <v>17</v>
      </c>
      <c r="E435" s="173" t="s">
        <v>13</v>
      </c>
      <c r="F435" s="140" t="s">
        <v>14</v>
      </c>
      <c r="G435" s="140" t="s">
        <v>14</v>
      </c>
      <c r="H435" s="140" t="s">
        <v>14</v>
      </c>
      <c r="I435" s="140" t="s">
        <v>14</v>
      </c>
      <c r="J435" s="174"/>
    </row>
    <row r="436" hidden="1" customHeight="1" spans="1:10">
      <c r="A436" s="140" t="s">
        <v>244</v>
      </c>
      <c r="B436" s="140" t="s">
        <v>237</v>
      </c>
      <c r="C436" s="171">
        <v>45693</v>
      </c>
      <c r="D436" s="172" t="s">
        <v>18</v>
      </c>
      <c r="E436" s="140" t="s">
        <v>19</v>
      </c>
      <c r="F436" s="140" t="s">
        <v>28</v>
      </c>
      <c r="G436" s="140" t="s">
        <v>21</v>
      </c>
      <c r="H436" s="140" t="s">
        <v>80</v>
      </c>
      <c r="I436" s="140" t="s">
        <v>21</v>
      </c>
      <c r="J436" s="174"/>
    </row>
    <row r="437" hidden="1" customHeight="1" spans="1:10">
      <c r="A437" s="140" t="s">
        <v>244</v>
      </c>
      <c r="B437" s="140" t="s">
        <v>237</v>
      </c>
      <c r="C437" s="171">
        <v>45694</v>
      </c>
      <c r="D437" s="172" t="s">
        <v>23</v>
      </c>
      <c r="E437" s="140" t="s">
        <v>19</v>
      </c>
      <c r="F437" s="140" t="s">
        <v>154</v>
      </c>
      <c r="G437" s="140" t="s">
        <v>21</v>
      </c>
      <c r="H437" s="140" t="s">
        <v>45</v>
      </c>
      <c r="I437" s="140" t="s">
        <v>21</v>
      </c>
      <c r="J437" s="174"/>
    </row>
    <row r="438" hidden="1" customHeight="1" spans="1:10">
      <c r="A438" s="140" t="s">
        <v>244</v>
      </c>
      <c r="B438" s="140" t="s">
        <v>237</v>
      </c>
      <c r="C438" s="171">
        <v>45695</v>
      </c>
      <c r="D438" s="172" t="s">
        <v>25</v>
      </c>
      <c r="E438" s="140" t="s">
        <v>19</v>
      </c>
      <c r="F438" s="140" t="s">
        <v>51</v>
      </c>
      <c r="G438" s="140" t="s">
        <v>21</v>
      </c>
      <c r="H438" s="140" t="s">
        <v>142</v>
      </c>
      <c r="I438" s="140" t="s">
        <v>21</v>
      </c>
      <c r="J438" s="174"/>
    </row>
    <row r="439" hidden="1" customHeight="1" spans="1:10">
      <c r="A439" s="140" t="s">
        <v>244</v>
      </c>
      <c r="B439" s="140" t="s">
        <v>237</v>
      </c>
      <c r="C439" s="171">
        <v>45696</v>
      </c>
      <c r="D439" s="172" t="s">
        <v>27</v>
      </c>
      <c r="E439" s="140" t="s">
        <v>19</v>
      </c>
      <c r="F439" s="140" t="s">
        <v>51</v>
      </c>
      <c r="G439" s="140" t="s">
        <v>21</v>
      </c>
      <c r="H439" s="140" t="s">
        <v>241</v>
      </c>
      <c r="I439" s="140" t="s">
        <v>21</v>
      </c>
      <c r="J439" s="174"/>
    </row>
    <row r="440" hidden="1" customHeight="1" spans="1:10">
      <c r="A440" s="140" t="s">
        <v>244</v>
      </c>
      <c r="B440" s="140" t="s">
        <v>237</v>
      </c>
      <c r="C440" s="171">
        <v>45697</v>
      </c>
      <c r="D440" s="172" t="s">
        <v>15</v>
      </c>
      <c r="E440" s="173" t="s">
        <v>13</v>
      </c>
      <c r="F440" s="140" t="s">
        <v>14</v>
      </c>
      <c r="G440" s="140" t="s">
        <v>14</v>
      </c>
      <c r="H440" s="140" t="s">
        <v>14</v>
      </c>
      <c r="I440" s="140" t="s">
        <v>14</v>
      </c>
      <c r="J440" s="174"/>
    </row>
    <row r="441" hidden="1" customHeight="1" spans="1:10">
      <c r="A441" s="140" t="s">
        <v>244</v>
      </c>
      <c r="B441" s="140" t="s">
        <v>237</v>
      </c>
      <c r="C441" s="171">
        <v>45698</v>
      </c>
      <c r="D441" s="172" t="s">
        <v>16</v>
      </c>
      <c r="E441" s="140" t="s">
        <v>19</v>
      </c>
      <c r="F441" s="140" t="s">
        <v>154</v>
      </c>
      <c r="G441" s="140" t="s">
        <v>21</v>
      </c>
      <c r="H441" s="140" t="s">
        <v>168</v>
      </c>
      <c r="I441" s="140" t="s">
        <v>21</v>
      </c>
      <c r="J441" s="174"/>
    </row>
    <row r="442" hidden="1" customHeight="1" spans="1:10">
      <c r="A442" s="140" t="s">
        <v>244</v>
      </c>
      <c r="B442" s="140" t="s">
        <v>237</v>
      </c>
      <c r="C442" s="171">
        <v>45699</v>
      </c>
      <c r="D442" s="172" t="s">
        <v>17</v>
      </c>
      <c r="E442" s="140" t="s">
        <v>19</v>
      </c>
      <c r="F442" s="140" t="s">
        <v>33</v>
      </c>
      <c r="G442" s="140" t="s">
        <v>21</v>
      </c>
      <c r="H442" s="140" t="s">
        <v>174</v>
      </c>
      <c r="I442" s="140" t="s">
        <v>21</v>
      </c>
      <c r="J442" s="174"/>
    </row>
    <row r="443" hidden="1" customHeight="1" spans="1:10">
      <c r="A443" s="140" t="s">
        <v>244</v>
      </c>
      <c r="B443" s="140" t="s">
        <v>237</v>
      </c>
      <c r="C443" s="171">
        <v>45700</v>
      </c>
      <c r="D443" s="172" t="s">
        <v>18</v>
      </c>
      <c r="E443" s="140" t="s">
        <v>19</v>
      </c>
      <c r="F443" s="140" t="s">
        <v>30</v>
      </c>
      <c r="G443" s="140" t="s">
        <v>21</v>
      </c>
      <c r="H443" s="140" t="s">
        <v>245</v>
      </c>
      <c r="I443" s="140" t="s">
        <v>21</v>
      </c>
      <c r="J443" s="174"/>
    </row>
    <row r="444" hidden="1" customHeight="1" spans="1:10">
      <c r="A444" s="140" t="s">
        <v>244</v>
      </c>
      <c r="B444" s="140" t="s">
        <v>237</v>
      </c>
      <c r="C444" s="171">
        <v>45701</v>
      </c>
      <c r="D444" s="172" t="s">
        <v>23</v>
      </c>
      <c r="E444" s="140" t="s">
        <v>19</v>
      </c>
      <c r="F444" s="140" t="s">
        <v>51</v>
      </c>
      <c r="G444" s="140" t="s">
        <v>21</v>
      </c>
      <c r="H444" s="140" t="s">
        <v>45</v>
      </c>
      <c r="I444" s="140" t="s">
        <v>21</v>
      </c>
      <c r="J444" s="175"/>
    </row>
    <row r="445" hidden="1" customHeight="1" spans="1:10">
      <c r="A445" s="140" t="s">
        <v>244</v>
      </c>
      <c r="B445" s="140" t="s">
        <v>237</v>
      </c>
      <c r="C445" s="171">
        <v>45702</v>
      </c>
      <c r="D445" s="172" t="s">
        <v>25</v>
      </c>
      <c r="E445" s="140" t="s">
        <v>19</v>
      </c>
      <c r="F445" s="140" t="s">
        <v>33</v>
      </c>
      <c r="G445" s="140" t="s">
        <v>21</v>
      </c>
      <c r="H445" s="140" t="s">
        <v>206</v>
      </c>
      <c r="I445" s="140" t="s">
        <v>21</v>
      </c>
      <c r="J445" s="174"/>
    </row>
    <row r="446" hidden="1" customHeight="1" spans="1:10">
      <c r="A446" s="140" t="s">
        <v>244</v>
      </c>
      <c r="B446" s="140" t="s">
        <v>237</v>
      </c>
      <c r="C446" s="171">
        <v>45703</v>
      </c>
      <c r="D446" s="172" t="s">
        <v>27</v>
      </c>
      <c r="E446" s="173" t="s">
        <v>13</v>
      </c>
      <c r="F446" s="140" t="s">
        <v>14</v>
      </c>
      <c r="G446" s="140" t="s">
        <v>14</v>
      </c>
      <c r="H446" s="140" t="s">
        <v>14</v>
      </c>
      <c r="I446" s="140" t="s">
        <v>14</v>
      </c>
      <c r="J446" s="174"/>
    </row>
    <row r="447" hidden="1" customHeight="1" spans="1:10">
      <c r="A447" s="140" t="s">
        <v>244</v>
      </c>
      <c r="B447" s="140" t="s">
        <v>237</v>
      </c>
      <c r="C447" s="171">
        <v>45704</v>
      </c>
      <c r="D447" s="172" t="s">
        <v>15</v>
      </c>
      <c r="E447" s="173" t="s">
        <v>13</v>
      </c>
      <c r="F447" s="140" t="s">
        <v>14</v>
      </c>
      <c r="G447" s="140" t="s">
        <v>14</v>
      </c>
      <c r="H447" s="140" t="s">
        <v>14</v>
      </c>
      <c r="I447" s="140" t="s">
        <v>14</v>
      </c>
      <c r="J447" s="174"/>
    </row>
    <row r="448" hidden="1" customHeight="1" spans="1:10">
      <c r="A448" s="140" t="s">
        <v>244</v>
      </c>
      <c r="B448" s="140" t="s">
        <v>237</v>
      </c>
      <c r="C448" s="171">
        <v>45705</v>
      </c>
      <c r="D448" s="172" t="s">
        <v>16</v>
      </c>
      <c r="E448" s="140" t="s">
        <v>19</v>
      </c>
      <c r="F448" s="140" t="s">
        <v>51</v>
      </c>
      <c r="G448" s="140" t="s">
        <v>21</v>
      </c>
      <c r="H448" s="140" t="s">
        <v>168</v>
      </c>
      <c r="I448" s="140" t="s">
        <v>21</v>
      </c>
      <c r="J448" s="174"/>
    </row>
    <row r="449" hidden="1" customHeight="1" spans="1:10">
      <c r="A449" s="140" t="s">
        <v>244</v>
      </c>
      <c r="B449" s="140" t="s">
        <v>237</v>
      </c>
      <c r="C449" s="171">
        <v>45706</v>
      </c>
      <c r="D449" s="172" t="s">
        <v>17</v>
      </c>
      <c r="E449" s="140" t="s">
        <v>19</v>
      </c>
      <c r="F449" s="140" t="s">
        <v>30</v>
      </c>
      <c r="G449" s="140" t="s">
        <v>21</v>
      </c>
      <c r="H449" s="140" t="s">
        <v>37</v>
      </c>
      <c r="I449" s="140" t="s">
        <v>21</v>
      </c>
      <c r="J449" s="175"/>
    </row>
    <row r="450" hidden="1" customHeight="1" spans="1:10">
      <c r="A450" s="140" t="s">
        <v>244</v>
      </c>
      <c r="B450" s="140" t="s">
        <v>237</v>
      </c>
      <c r="C450" s="171">
        <v>45707</v>
      </c>
      <c r="D450" s="172" t="s">
        <v>18</v>
      </c>
      <c r="E450" s="140" t="s">
        <v>19</v>
      </c>
      <c r="F450" s="140" t="s">
        <v>51</v>
      </c>
      <c r="G450" s="140" t="s">
        <v>21</v>
      </c>
      <c r="H450" s="140" t="s">
        <v>220</v>
      </c>
      <c r="I450" s="140" t="s">
        <v>21</v>
      </c>
      <c r="J450" s="174"/>
    </row>
    <row r="451" hidden="1" customHeight="1" spans="1:10">
      <c r="A451" s="140" t="s">
        <v>244</v>
      </c>
      <c r="B451" s="140" t="s">
        <v>237</v>
      </c>
      <c r="C451" s="171">
        <v>45708</v>
      </c>
      <c r="D451" s="172" t="s">
        <v>23</v>
      </c>
      <c r="E451" s="140" t="s">
        <v>19</v>
      </c>
      <c r="F451" s="140" t="s">
        <v>193</v>
      </c>
      <c r="G451" s="140" t="s">
        <v>21</v>
      </c>
      <c r="H451" s="140" t="s">
        <v>45</v>
      </c>
      <c r="I451" s="140" t="s">
        <v>21</v>
      </c>
      <c r="J451" s="174"/>
    </row>
    <row r="452" hidden="1" customHeight="1" spans="1:10">
      <c r="A452" s="140" t="s">
        <v>244</v>
      </c>
      <c r="B452" s="140" t="s">
        <v>237</v>
      </c>
      <c r="C452" s="171">
        <v>45709</v>
      </c>
      <c r="D452" s="172" t="s">
        <v>25</v>
      </c>
      <c r="E452" s="140" t="s">
        <v>19</v>
      </c>
      <c r="F452" s="140" t="s">
        <v>36</v>
      </c>
      <c r="G452" s="140" t="s">
        <v>21</v>
      </c>
      <c r="H452" s="140" t="s">
        <v>241</v>
      </c>
      <c r="I452" s="140" t="s">
        <v>21</v>
      </c>
      <c r="J452" s="174"/>
    </row>
    <row r="453" hidden="1" customHeight="1" spans="1:10">
      <c r="A453" s="140" t="s">
        <v>244</v>
      </c>
      <c r="B453" s="140" t="s">
        <v>237</v>
      </c>
      <c r="C453" s="171">
        <v>45710</v>
      </c>
      <c r="D453" s="172" t="s">
        <v>27</v>
      </c>
      <c r="E453" s="173" t="s">
        <v>13</v>
      </c>
      <c r="F453" s="140" t="s">
        <v>14</v>
      </c>
      <c r="G453" s="140" t="s">
        <v>14</v>
      </c>
      <c r="H453" s="140" t="s">
        <v>14</v>
      </c>
      <c r="I453" s="140" t="s">
        <v>14</v>
      </c>
      <c r="J453" s="174"/>
    </row>
    <row r="454" hidden="1" customHeight="1" spans="1:10">
      <c r="A454" s="140" t="s">
        <v>244</v>
      </c>
      <c r="B454" s="140" t="s">
        <v>237</v>
      </c>
      <c r="C454" s="171">
        <v>45711</v>
      </c>
      <c r="D454" s="172" t="s">
        <v>15</v>
      </c>
      <c r="E454" s="173" t="s">
        <v>13</v>
      </c>
      <c r="F454" s="140" t="s">
        <v>14</v>
      </c>
      <c r="G454" s="140" t="s">
        <v>14</v>
      </c>
      <c r="H454" s="140" t="s">
        <v>14</v>
      </c>
      <c r="I454" s="140" t="s">
        <v>14</v>
      </c>
      <c r="J454" s="174"/>
    </row>
    <row r="455" hidden="1" customHeight="1" spans="1:10">
      <c r="A455" s="140" t="s">
        <v>244</v>
      </c>
      <c r="B455" s="140" t="s">
        <v>237</v>
      </c>
      <c r="C455" s="171">
        <v>45712</v>
      </c>
      <c r="D455" s="172" t="s">
        <v>16</v>
      </c>
      <c r="E455" s="140" t="s">
        <v>19</v>
      </c>
      <c r="F455" s="140" t="s">
        <v>193</v>
      </c>
      <c r="G455" s="140" t="s">
        <v>21</v>
      </c>
      <c r="H455" s="140" t="s">
        <v>153</v>
      </c>
      <c r="I455" s="140" t="s">
        <v>21</v>
      </c>
      <c r="J455" s="174"/>
    </row>
    <row r="456" hidden="1" customHeight="1" spans="1:10">
      <c r="A456" s="140" t="s">
        <v>244</v>
      </c>
      <c r="B456" s="140" t="s">
        <v>237</v>
      </c>
      <c r="C456" s="171">
        <v>45713</v>
      </c>
      <c r="D456" s="172" t="s">
        <v>17</v>
      </c>
      <c r="E456" s="140" t="s">
        <v>19</v>
      </c>
      <c r="F456" s="140" t="s">
        <v>154</v>
      </c>
      <c r="G456" s="140" t="s">
        <v>21</v>
      </c>
      <c r="H456" s="140" t="s">
        <v>168</v>
      </c>
      <c r="I456" s="140" t="s">
        <v>21</v>
      </c>
      <c r="J456" s="174"/>
    </row>
    <row r="457" hidden="1" customHeight="1" spans="1:10">
      <c r="A457" s="140" t="s">
        <v>244</v>
      </c>
      <c r="B457" s="140" t="s">
        <v>237</v>
      </c>
      <c r="C457" s="171">
        <v>45714</v>
      </c>
      <c r="D457" s="172" t="s">
        <v>18</v>
      </c>
      <c r="E457" s="140" t="s">
        <v>19</v>
      </c>
      <c r="F457" s="140" t="s">
        <v>51</v>
      </c>
      <c r="G457" s="140" t="s">
        <v>21</v>
      </c>
      <c r="H457" s="140" t="s">
        <v>199</v>
      </c>
      <c r="I457" s="140" t="s">
        <v>21</v>
      </c>
      <c r="J457" s="174"/>
    </row>
    <row r="458" hidden="1" customHeight="1" spans="1:10">
      <c r="A458" s="140" t="s">
        <v>244</v>
      </c>
      <c r="B458" s="140" t="s">
        <v>237</v>
      </c>
      <c r="C458" s="171">
        <v>45715</v>
      </c>
      <c r="D458" s="172" t="s">
        <v>23</v>
      </c>
      <c r="E458" s="140" t="s">
        <v>19</v>
      </c>
      <c r="F458" s="140" t="s">
        <v>33</v>
      </c>
      <c r="G458" s="140" t="s">
        <v>21</v>
      </c>
      <c r="H458" s="140" t="s">
        <v>45</v>
      </c>
      <c r="I458" s="140" t="s">
        <v>21</v>
      </c>
      <c r="J458" s="174"/>
    </row>
    <row r="459" hidden="1" customHeight="1" spans="1:10">
      <c r="A459" s="140" t="s">
        <v>244</v>
      </c>
      <c r="B459" s="140" t="s">
        <v>237</v>
      </c>
      <c r="C459" s="171">
        <v>45716</v>
      </c>
      <c r="D459" s="172" t="s">
        <v>25</v>
      </c>
      <c r="E459" s="140" t="s">
        <v>19</v>
      </c>
      <c r="F459" s="140" t="s">
        <v>33</v>
      </c>
      <c r="G459" s="140" t="s">
        <v>21</v>
      </c>
      <c r="H459" s="140" t="s">
        <v>122</v>
      </c>
      <c r="I459" s="140" t="s">
        <v>21</v>
      </c>
      <c r="J459" s="174"/>
    </row>
    <row r="460" hidden="1" customHeight="1" spans="1:10">
      <c r="A460" s="140" t="s">
        <v>246</v>
      </c>
      <c r="B460" s="140" t="s">
        <v>237</v>
      </c>
      <c r="C460" s="171">
        <v>45689</v>
      </c>
      <c r="D460" s="172" t="s">
        <v>12</v>
      </c>
      <c r="E460" s="173" t="s">
        <v>13</v>
      </c>
      <c r="F460" s="140" t="s">
        <v>14</v>
      </c>
      <c r="G460" s="140" t="s">
        <v>14</v>
      </c>
      <c r="H460" s="140" t="s">
        <v>14</v>
      </c>
      <c r="I460" s="140" t="s">
        <v>14</v>
      </c>
      <c r="J460" s="174"/>
    </row>
    <row r="461" hidden="1" customHeight="1" spans="1:10">
      <c r="A461" s="140" t="s">
        <v>246</v>
      </c>
      <c r="B461" s="140" t="s">
        <v>237</v>
      </c>
      <c r="C461" s="171">
        <v>45690</v>
      </c>
      <c r="D461" s="172" t="s">
        <v>15</v>
      </c>
      <c r="E461" s="173" t="s">
        <v>13</v>
      </c>
      <c r="F461" s="140" t="s">
        <v>14</v>
      </c>
      <c r="G461" s="140" t="s">
        <v>14</v>
      </c>
      <c r="H461" s="140" t="s">
        <v>14</v>
      </c>
      <c r="I461" s="140" t="s">
        <v>14</v>
      </c>
      <c r="J461" s="174"/>
    </row>
    <row r="462" hidden="1" customHeight="1" spans="1:10">
      <c r="A462" s="140" t="s">
        <v>246</v>
      </c>
      <c r="B462" s="140" t="s">
        <v>237</v>
      </c>
      <c r="C462" s="171">
        <v>45691</v>
      </c>
      <c r="D462" s="172" t="s">
        <v>16</v>
      </c>
      <c r="E462" s="173" t="s">
        <v>13</v>
      </c>
      <c r="F462" s="140" t="s">
        <v>14</v>
      </c>
      <c r="G462" s="140" t="s">
        <v>14</v>
      </c>
      <c r="H462" s="140" t="s">
        <v>14</v>
      </c>
      <c r="I462" s="140" t="s">
        <v>14</v>
      </c>
      <c r="J462" s="174"/>
    </row>
    <row r="463" hidden="1" customHeight="1" spans="1:10">
      <c r="A463" s="140" t="s">
        <v>246</v>
      </c>
      <c r="B463" s="140" t="s">
        <v>237</v>
      </c>
      <c r="C463" s="171">
        <v>45692</v>
      </c>
      <c r="D463" s="172" t="s">
        <v>17</v>
      </c>
      <c r="E463" s="173" t="s">
        <v>13</v>
      </c>
      <c r="F463" s="140" t="s">
        <v>14</v>
      </c>
      <c r="G463" s="140" t="s">
        <v>14</v>
      </c>
      <c r="H463" s="140" t="s">
        <v>14</v>
      </c>
      <c r="I463" s="140" t="s">
        <v>14</v>
      </c>
      <c r="J463" s="174"/>
    </row>
    <row r="464" customHeight="1" spans="1:10">
      <c r="A464" s="140" t="s">
        <v>246</v>
      </c>
      <c r="B464" s="140" t="s">
        <v>237</v>
      </c>
      <c r="C464" s="171">
        <v>45693</v>
      </c>
      <c r="D464" s="172" t="s">
        <v>18</v>
      </c>
      <c r="E464" s="140" t="s">
        <v>19</v>
      </c>
      <c r="F464" s="140" t="s">
        <v>14</v>
      </c>
      <c r="G464" s="176" t="s">
        <v>68</v>
      </c>
      <c r="H464" s="140" t="s">
        <v>14</v>
      </c>
      <c r="I464" s="176" t="s">
        <v>68</v>
      </c>
      <c r="J464" s="174" t="s">
        <v>234</v>
      </c>
    </row>
    <row r="465" customHeight="1" spans="1:10">
      <c r="A465" s="140" t="s">
        <v>246</v>
      </c>
      <c r="B465" s="140" t="s">
        <v>237</v>
      </c>
      <c r="C465" s="171">
        <v>45694</v>
      </c>
      <c r="D465" s="172" t="s">
        <v>23</v>
      </c>
      <c r="E465" s="140" t="s">
        <v>19</v>
      </c>
      <c r="F465" s="140" t="s">
        <v>14</v>
      </c>
      <c r="G465" s="176" t="s">
        <v>68</v>
      </c>
      <c r="H465" s="140" t="s">
        <v>14</v>
      </c>
      <c r="I465" s="176" t="s">
        <v>68</v>
      </c>
      <c r="J465" s="174" t="s">
        <v>234</v>
      </c>
    </row>
    <row r="466" hidden="1" customHeight="1" spans="1:10">
      <c r="A466" s="140" t="s">
        <v>246</v>
      </c>
      <c r="B466" s="140" t="s">
        <v>237</v>
      </c>
      <c r="C466" s="171">
        <v>45695</v>
      </c>
      <c r="D466" s="172" t="s">
        <v>25</v>
      </c>
      <c r="E466" s="140" t="s">
        <v>19</v>
      </c>
      <c r="F466" s="140" t="s">
        <v>154</v>
      </c>
      <c r="G466" s="140" t="s">
        <v>21</v>
      </c>
      <c r="H466" s="140" t="s">
        <v>174</v>
      </c>
      <c r="I466" s="140" t="s">
        <v>21</v>
      </c>
      <c r="J466" s="174"/>
    </row>
    <row r="467" hidden="1" customHeight="1" spans="1:10">
      <c r="A467" s="140" t="s">
        <v>246</v>
      </c>
      <c r="B467" s="140" t="s">
        <v>237</v>
      </c>
      <c r="C467" s="171">
        <v>45696</v>
      </c>
      <c r="D467" s="172" t="s">
        <v>27</v>
      </c>
      <c r="E467" s="140" t="s">
        <v>19</v>
      </c>
      <c r="F467" s="140" t="s">
        <v>157</v>
      </c>
      <c r="G467" s="140" t="s">
        <v>21</v>
      </c>
      <c r="H467" s="140" t="s">
        <v>170</v>
      </c>
      <c r="I467" s="140" t="s">
        <v>21</v>
      </c>
      <c r="J467" s="174"/>
    </row>
    <row r="468" hidden="1" customHeight="1" spans="1:10">
      <c r="A468" s="140" t="s">
        <v>246</v>
      </c>
      <c r="B468" s="140" t="s">
        <v>237</v>
      </c>
      <c r="C468" s="171">
        <v>45697</v>
      </c>
      <c r="D468" s="172" t="s">
        <v>15</v>
      </c>
      <c r="E468" s="173" t="s">
        <v>13</v>
      </c>
      <c r="F468" s="140" t="s">
        <v>14</v>
      </c>
      <c r="G468" s="140" t="s">
        <v>14</v>
      </c>
      <c r="H468" s="140" t="s">
        <v>14</v>
      </c>
      <c r="I468" s="140" t="s">
        <v>14</v>
      </c>
      <c r="J468" s="174"/>
    </row>
    <row r="469" hidden="1" customHeight="1" spans="1:10">
      <c r="A469" s="140" t="s">
        <v>246</v>
      </c>
      <c r="B469" s="140" t="s">
        <v>237</v>
      </c>
      <c r="C469" s="171">
        <v>45698</v>
      </c>
      <c r="D469" s="172" t="s">
        <v>16</v>
      </c>
      <c r="E469" s="140" t="s">
        <v>19</v>
      </c>
      <c r="F469" s="140" t="s">
        <v>157</v>
      </c>
      <c r="G469" s="140" t="s">
        <v>21</v>
      </c>
      <c r="H469" s="140" t="s">
        <v>168</v>
      </c>
      <c r="I469" s="140" t="s">
        <v>21</v>
      </c>
      <c r="J469" s="174"/>
    </row>
    <row r="470" hidden="1" customHeight="1" spans="1:10">
      <c r="A470" s="140" t="s">
        <v>246</v>
      </c>
      <c r="B470" s="140" t="s">
        <v>237</v>
      </c>
      <c r="C470" s="171">
        <v>45699</v>
      </c>
      <c r="D470" s="172" t="s">
        <v>17</v>
      </c>
      <c r="E470" s="140" t="s">
        <v>19</v>
      </c>
      <c r="F470" s="140" t="s">
        <v>157</v>
      </c>
      <c r="G470" s="140" t="s">
        <v>21</v>
      </c>
      <c r="H470" s="140" t="s">
        <v>167</v>
      </c>
      <c r="I470" s="140" t="s">
        <v>21</v>
      </c>
      <c r="J470" s="174"/>
    </row>
    <row r="471" hidden="1" customHeight="1" spans="1:10">
      <c r="A471" s="140" t="s">
        <v>246</v>
      </c>
      <c r="B471" s="140" t="s">
        <v>237</v>
      </c>
      <c r="C471" s="171">
        <v>45700</v>
      </c>
      <c r="D471" s="172" t="s">
        <v>18</v>
      </c>
      <c r="E471" s="140" t="s">
        <v>19</v>
      </c>
      <c r="F471" s="140" t="s">
        <v>193</v>
      </c>
      <c r="G471" s="140" t="s">
        <v>21</v>
      </c>
      <c r="H471" s="140" t="s">
        <v>174</v>
      </c>
      <c r="I471" s="140" t="s">
        <v>21</v>
      </c>
      <c r="J471" s="174"/>
    </row>
    <row r="472" hidden="1" customHeight="1" spans="1:10">
      <c r="A472" s="140" t="s">
        <v>246</v>
      </c>
      <c r="B472" s="140" t="s">
        <v>237</v>
      </c>
      <c r="C472" s="171">
        <v>45701</v>
      </c>
      <c r="D472" s="172" t="s">
        <v>23</v>
      </c>
      <c r="E472" s="140" t="s">
        <v>19</v>
      </c>
      <c r="F472" s="140" t="s">
        <v>30</v>
      </c>
      <c r="G472" s="140" t="s">
        <v>21</v>
      </c>
      <c r="H472" s="140" t="s">
        <v>50</v>
      </c>
      <c r="I472" s="140" t="s">
        <v>21</v>
      </c>
      <c r="J472" s="174"/>
    </row>
    <row r="473" hidden="1" customHeight="1" spans="1:10">
      <c r="A473" s="140" t="s">
        <v>246</v>
      </c>
      <c r="B473" s="140" t="s">
        <v>237</v>
      </c>
      <c r="C473" s="171">
        <v>45702</v>
      </c>
      <c r="D473" s="172" t="s">
        <v>25</v>
      </c>
      <c r="E473" s="140" t="s">
        <v>19</v>
      </c>
      <c r="F473" s="140" t="s">
        <v>33</v>
      </c>
      <c r="G473" s="140" t="s">
        <v>21</v>
      </c>
      <c r="H473" s="140" t="s">
        <v>210</v>
      </c>
      <c r="I473" s="140" t="s">
        <v>21</v>
      </c>
      <c r="J473" s="174"/>
    </row>
    <row r="474" hidden="1" customHeight="1" spans="1:10">
      <c r="A474" s="140" t="s">
        <v>246</v>
      </c>
      <c r="B474" s="140" t="s">
        <v>237</v>
      </c>
      <c r="C474" s="171">
        <v>45703</v>
      </c>
      <c r="D474" s="172" t="s">
        <v>27</v>
      </c>
      <c r="E474" s="173" t="s">
        <v>13</v>
      </c>
      <c r="F474" s="140" t="s">
        <v>14</v>
      </c>
      <c r="G474" s="140" t="s">
        <v>14</v>
      </c>
      <c r="H474" s="140" t="s">
        <v>14</v>
      </c>
      <c r="I474" s="140" t="s">
        <v>14</v>
      </c>
      <c r="J474" s="174"/>
    </row>
    <row r="475" hidden="1" customHeight="1" spans="1:10">
      <c r="A475" s="140" t="s">
        <v>246</v>
      </c>
      <c r="B475" s="140" t="s">
        <v>237</v>
      </c>
      <c r="C475" s="171">
        <v>45704</v>
      </c>
      <c r="D475" s="172" t="s">
        <v>15</v>
      </c>
      <c r="E475" s="173" t="s">
        <v>13</v>
      </c>
      <c r="F475" s="140" t="s">
        <v>14</v>
      </c>
      <c r="G475" s="140" t="s">
        <v>14</v>
      </c>
      <c r="H475" s="140" t="s">
        <v>14</v>
      </c>
      <c r="I475" s="140" t="s">
        <v>14</v>
      </c>
      <c r="J475" s="174"/>
    </row>
    <row r="476" hidden="1" customHeight="1" spans="1:10">
      <c r="A476" s="140" t="s">
        <v>246</v>
      </c>
      <c r="B476" s="140" t="s">
        <v>237</v>
      </c>
      <c r="C476" s="171">
        <v>45705</v>
      </c>
      <c r="D476" s="172" t="s">
        <v>16</v>
      </c>
      <c r="E476" s="140" t="s">
        <v>19</v>
      </c>
      <c r="F476" s="140" t="s">
        <v>30</v>
      </c>
      <c r="G476" s="140" t="s">
        <v>21</v>
      </c>
      <c r="H476" s="140" t="s">
        <v>45</v>
      </c>
      <c r="I476" s="140" t="s">
        <v>21</v>
      </c>
      <c r="J476" s="174"/>
    </row>
    <row r="477" hidden="1" customHeight="1" spans="1:10">
      <c r="A477" s="140" t="s">
        <v>246</v>
      </c>
      <c r="B477" s="140" t="s">
        <v>237</v>
      </c>
      <c r="C477" s="171">
        <v>45706</v>
      </c>
      <c r="D477" s="172" t="s">
        <v>17</v>
      </c>
      <c r="E477" s="140" t="s">
        <v>19</v>
      </c>
      <c r="F477" s="140" t="s">
        <v>154</v>
      </c>
      <c r="G477" s="140" t="s">
        <v>21</v>
      </c>
      <c r="H477" s="140" t="s">
        <v>178</v>
      </c>
      <c r="I477" s="140" t="s">
        <v>21</v>
      </c>
      <c r="J477" s="174"/>
    </row>
    <row r="478" hidden="1" customHeight="1" spans="1:10">
      <c r="A478" s="140" t="s">
        <v>246</v>
      </c>
      <c r="B478" s="140" t="s">
        <v>237</v>
      </c>
      <c r="C478" s="171">
        <v>45707</v>
      </c>
      <c r="D478" s="172" t="s">
        <v>18</v>
      </c>
      <c r="E478" s="140" t="s">
        <v>19</v>
      </c>
      <c r="F478" s="140" t="s">
        <v>154</v>
      </c>
      <c r="G478" s="140" t="s">
        <v>21</v>
      </c>
      <c r="H478" s="140" t="s">
        <v>122</v>
      </c>
      <c r="I478" s="140" t="s">
        <v>21</v>
      </c>
      <c r="J478" s="174"/>
    </row>
    <row r="479" hidden="1" customHeight="1" spans="1:10">
      <c r="A479" s="140" t="s">
        <v>246</v>
      </c>
      <c r="B479" s="140" t="s">
        <v>237</v>
      </c>
      <c r="C479" s="171">
        <v>45708</v>
      </c>
      <c r="D479" s="172" t="s">
        <v>23</v>
      </c>
      <c r="E479" s="140" t="s">
        <v>19</v>
      </c>
      <c r="F479" s="140" t="s">
        <v>30</v>
      </c>
      <c r="G479" s="140" t="s">
        <v>21</v>
      </c>
      <c r="H479" s="140" t="s">
        <v>116</v>
      </c>
      <c r="I479" s="140" t="s">
        <v>21</v>
      </c>
      <c r="J479" s="175"/>
    </row>
    <row r="480" hidden="1" customHeight="1" spans="1:10">
      <c r="A480" s="140" t="s">
        <v>246</v>
      </c>
      <c r="B480" s="140" t="s">
        <v>237</v>
      </c>
      <c r="C480" s="171">
        <v>45709</v>
      </c>
      <c r="D480" s="172" t="s">
        <v>25</v>
      </c>
      <c r="E480" s="140" t="s">
        <v>19</v>
      </c>
      <c r="F480" s="140" t="s">
        <v>146</v>
      </c>
      <c r="G480" s="140" t="s">
        <v>21</v>
      </c>
      <c r="H480" s="140" t="s">
        <v>206</v>
      </c>
      <c r="I480" s="140" t="s">
        <v>21</v>
      </c>
      <c r="J480" s="174"/>
    </row>
    <row r="481" hidden="1" customHeight="1" spans="1:10">
      <c r="A481" s="140" t="s">
        <v>246</v>
      </c>
      <c r="B481" s="140" t="s">
        <v>237</v>
      </c>
      <c r="C481" s="171">
        <v>45710</v>
      </c>
      <c r="D481" s="172" t="s">
        <v>27</v>
      </c>
      <c r="E481" s="173" t="s">
        <v>13</v>
      </c>
      <c r="F481" s="140" t="s">
        <v>14</v>
      </c>
      <c r="G481" s="140" t="s">
        <v>14</v>
      </c>
      <c r="H481" s="140" t="s">
        <v>14</v>
      </c>
      <c r="I481" s="140" t="s">
        <v>14</v>
      </c>
      <c r="J481" s="174"/>
    </row>
    <row r="482" hidden="1" customHeight="1" spans="1:10">
      <c r="A482" s="140" t="s">
        <v>246</v>
      </c>
      <c r="B482" s="140" t="s">
        <v>237</v>
      </c>
      <c r="C482" s="171">
        <v>45711</v>
      </c>
      <c r="D482" s="172" t="s">
        <v>15</v>
      </c>
      <c r="E482" s="173" t="s">
        <v>13</v>
      </c>
      <c r="F482" s="140" t="s">
        <v>14</v>
      </c>
      <c r="G482" s="140" t="s">
        <v>14</v>
      </c>
      <c r="H482" s="140" t="s">
        <v>14</v>
      </c>
      <c r="I482" s="140" t="s">
        <v>14</v>
      </c>
      <c r="J482" s="174"/>
    </row>
    <row r="483" hidden="1" customHeight="1" spans="1:10">
      <c r="A483" s="140" t="s">
        <v>246</v>
      </c>
      <c r="B483" s="140" t="s">
        <v>237</v>
      </c>
      <c r="C483" s="171">
        <v>45712</v>
      </c>
      <c r="D483" s="172" t="s">
        <v>16</v>
      </c>
      <c r="E483" s="140" t="s">
        <v>19</v>
      </c>
      <c r="F483" s="140" t="s">
        <v>30</v>
      </c>
      <c r="G483" s="140" t="s">
        <v>21</v>
      </c>
      <c r="H483" s="140" t="s">
        <v>45</v>
      </c>
      <c r="I483" s="140" t="s">
        <v>21</v>
      </c>
      <c r="J483" s="174"/>
    </row>
    <row r="484" hidden="1" customHeight="1" spans="1:10">
      <c r="A484" s="140" t="s">
        <v>246</v>
      </c>
      <c r="B484" s="140" t="s">
        <v>237</v>
      </c>
      <c r="C484" s="171">
        <v>45713</v>
      </c>
      <c r="D484" s="172" t="s">
        <v>17</v>
      </c>
      <c r="E484" s="140" t="s">
        <v>19</v>
      </c>
      <c r="F484" s="140" t="s">
        <v>154</v>
      </c>
      <c r="G484" s="140" t="s">
        <v>21</v>
      </c>
      <c r="H484" s="140" t="s">
        <v>175</v>
      </c>
      <c r="I484" s="140" t="s">
        <v>21</v>
      </c>
      <c r="J484" s="174"/>
    </row>
    <row r="485" hidden="1" customHeight="1" spans="1:10">
      <c r="A485" s="140" t="s">
        <v>246</v>
      </c>
      <c r="B485" s="140" t="s">
        <v>237</v>
      </c>
      <c r="C485" s="171">
        <v>45714</v>
      </c>
      <c r="D485" s="172" t="s">
        <v>18</v>
      </c>
      <c r="E485" s="140" t="s">
        <v>19</v>
      </c>
      <c r="F485" s="140" t="s">
        <v>154</v>
      </c>
      <c r="G485" s="140" t="s">
        <v>21</v>
      </c>
      <c r="H485" s="140" t="s">
        <v>212</v>
      </c>
      <c r="I485" s="140" t="s">
        <v>21</v>
      </c>
      <c r="J485" s="174"/>
    </row>
    <row r="486" hidden="1" customHeight="1" spans="1:10">
      <c r="A486" s="140" t="s">
        <v>246</v>
      </c>
      <c r="B486" s="140" t="s">
        <v>237</v>
      </c>
      <c r="C486" s="171">
        <v>45715</v>
      </c>
      <c r="D486" s="172" t="s">
        <v>23</v>
      </c>
      <c r="E486" s="140" t="s">
        <v>19</v>
      </c>
      <c r="F486" s="140" t="s">
        <v>157</v>
      </c>
      <c r="G486" s="140" t="s">
        <v>21</v>
      </c>
      <c r="H486" s="140" t="s">
        <v>24</v>
      </c>
      <c r="I486" s="140" t="s">
        <v>21</v>
      </c>
      <c r="J486" s="175"/>
    </row>
    <row r="487" hidden="1" customHeight="1" spans="1:10">
      <c r="A487" s="140" t="s">
        <v>246</v>
      </c>
      <c r="B487" s="140" t="s">
        <v>237</v>
      </c>
      <c r="C487" s="171">
        <v>45716</v>
      </c>
      <c r="D487" s="172" t="s">
        <v>25</v>
      </c>
      <c r="E487" s="140" t="s">
        <v>19</v>
      </c>
      <c r="F487" s="140" t="s">
        <v>28</v>
      </c>
      <c r="G487" s="140" t="s">
        <v>21</v>
      </c>
      <c r="H487" s="140" t="s">
        <v>212</v>
      </c>
      <c r="I487" s="140" t="s">
        <v>21</v>
      </c>
      <c r="J487" s="174"/>
    </row>
    <row r="488" hidden="1" customHeight="1" spans="1:10">
      <c r="A488" s="140" t="s">
        <v>247</v>
      </c>
      <c r="B488" s="140" t="s">
        <v>248</v>
      </c>
      <c r="C488" s="171">
        <v>45689</v>
      </c>
      <c r="D488" s="172" t="s">
        <v>12</v>
      </c>
      <c r="E488" s="173" t="s">
        <v>13</v>
      </c>
      <c r="F488" s="140" t="s">
        <v>14</v>
      </c>
      <c r="G488" s="140" t="s">
        <v>14</v>
      </c>
      <c r="H488" s="140" t="s">
        <v>14</v>
      </c>
      <c r="I488" s="140" t="s">
        <v>14</v>
      </c>
      <c r="J488" s="174"/>
    </row>
    <row r="489" hidden="1" customHeight="1" spans="1:10">
      <c r="A489" s="140" t="s">
        <v>247</v>
      </c>
      <c r="B489" s="140" t="s">
        <v>248</v>
      </c>
      <c r="C489" s="171">
        <v>45690</v>
      </c>
      <c r="D489" s="172" t="s">
        <v>15</v>
      </c>
      <c r="E489" s="173" t="s">
        <v>13</v>
      </c>
      <c r="F489" s="140" t="s">
        <v>14</v>
      </c>
      <c r="G489" s="140" t="s">
        <v>14</v>
      </c>
      <c r="H489" s="140" t="s">
        <v>14</v>
      </c>
      <c r="I489" s="140" t="s">
        <v>14</v>
      </c>
      <c r="J489" s="174"/>
    </row>
    <row r="490" hidden="1" customHeight="1" spans="1:10">
      <c r="A490" s="140" t="s">
        <v>247</v>
      </c>
      <c r="B490" s="140" t="s">
        <v>248</v>
      </c>
      <c r="C490" s="171">
        <v>45691</v>
      </c>
      <c r="D490" s="172" t="s">
        <v>16</v>
      </c>
      <c r="E490" s="173" t="s">
        <v>13</v>
      </c>
      <c r="F490" s="140" t="s">
        <v>14</v>
      </c>
      <c r="G490" s="140" t="s">
        <v>14</v>
      </c>
      <c r="H490" s="140" t="s">
        <v>14</v>
      </c>
      <c r="I490" s="140" t="s">
        <v>14</v>
      </c>
      <c r="J490" s="174"/>
    </row>
    <row r="491" hidden="1" customHeight="1" spans="1:10">
      <c r="A491" s="140" t="s">
        <v>247</v>
      </c>
      <c r="B491" s="140" t="s">
        <v>248</v>
      </c>
      <c r="C491" s="171">
        <v>45692</v>
      </c>
      <c r="D491" s="172" t="s">
        <v>17</v>
      </c>
      <c r="E491" s="173" t="s">
        <v>13</v>
      </c>
      <c r="F491" s="140" t="s">
        <v>14</v>
      </c>
      <c r="G491" s="140" t="s">
        <v>14</v>
      </c>
      <c r="H491" s="140" t="s">
        <v>14</v>
      </c>
      <c r="I491" s="140" t="s">
        <v>14</v>
      </c>
      <c r="J491" s="174"/>
    </row>
    <row r="492" hidden="1" customHeight="1" spans="1:10">
      <c r="A492" s="140" t="s">
        <v>247</v>
      </c>
      <c r="B492" s="140" t="s">
        <v>248</v>
      </c>
      <c r="C492" s="171">
        <v>45693</v>
      </c>
      <c r="D492" s="172" t="s">
        <v>18</v>
      </c>
      <c r="E492" s="140" t="s">
        <v>19</v>
      </c>
      <c r="F492" s="140" t="s">
        <v>43</v>
      </c>
      <c r="G492" s="140" t="s">
        <v>21</v>
      </c>
      <c r="H492" s="140" t="s">
        <v>178</v>
      </c>
      <c r="I492" s="140" t="s">
        <v>21</v>
      </c>
      <c r="J492" s="174"/>
    </row>
    <row r="493" hidden="1" customHeight="1" spans="1:10">
      <c r="A493" s="140" t="s">
        <v>247</v>
      </c>
      <c r="B493" s="140" t="s">
        <v>248</v>
      </c>
      <c r="C493" s="171">
        <v>45694</v>
      </c>
      <c r="D493" s="172" t="s">
        <v>23</v>
      </c>
      <c r="E493" s="140" t="s">
        <v>19</v>
      </c>
      <c r="F493" s="140" t="s">
        <v>43</v>
      </c>
      <c r="G493" s="140" t="s">
        <v>21</v>
      </c>
      <c r="H493" s="140" t="s">
        <v>168</v>
      </c>
      <c r="I493" s="140" t="s">
        <v>21</v>
      </c>
      <c r="J493" s="174"/>
    </row>
    <row r="494" hidden="1" customHeight="1" spans="1:10">
      <c r="A494" s="140" t="s">
        <v>247</v>
      </c>
      <c r="B494" s="140" t="s">
        <v>248</v>
      </c>
      <c r="C494" s="171">
        <v>45695</v>
      </c>
      <c r="D494" s="172" t="s">
        <v>25</v>
      </c>
      <c r="E494" s="140" t="s">
        <v>19</v>
      </c>
      <c r="F494" s="140" t="s">
        <v>94</v>
      </c>
      <c r="G494" s="140" t="s">
        <v>21</v>
      </c>
      <c r="H494" s="140" t="s">
        <v>249</v>
      </c>
      <c r="I494" s="140" t="s">
        <v>21</v>
      </c>
      <c r="J494" s="174"/>
    </row>
    <row r="495" hidden="1" customHeight="1" spans="1:10">
      <c r="A495" s="140" t="s">
        <v>247</v>
      </c>
      <c r="B495" s="140" t="s">
        <v>248</v>
      </c>
      <c r="C495" s="171">
        <v>45696</v>
      </c>
      <c r="D495" s="172" t="s">
        <v>27</v>
      </c>
      <c r="E495" s="140" t="s">
        <v>19</v>
      </c>
      <c r="F495" s="140" t="s">
        <v>46</v>
      </c>
      <c r="G495" s="140" t="s">
        <v>21</v>
      </c>
      <c r="H495" s="140" t="s">
        <v>238</v>
      </c>
      <c r="I495" s="140" t="s">
        <v>21</v>
      </c>
      <c r="J495" s="174"/>
    </row>
    <row r="496" hidden="1" customHeight="1" spans="1:10">
      <c r="A496" s="140" t="s">
        <v>247</v>
      </c>
      <c r="B496" s="140" t="s">
        <v>248</v>
      </c>
      <c r="C496" s="171">
        <v>45697</v>
      </c>
      <c r="D496" s="172" t="s">
        <v>15</v>
      </c>
      <c r="E496" s="173" t="s">
        <v>13</v>
      </c>
      <c r="F496" s="140" t="s">
        <v>14</v>
      </c>
      <c r="G496" s="140" t="s">
        <v>14</v>
      </c>
      <c r="H496" s="140" t="s">
        <v>14</v>
      </c>
      <c r="I496" s="140" t="s">
        <v>14</v>
      </c>
      <c r="J496" s="174"/>
    </row>
    <row r="497" hidden="1" customHeight="1" spans="1:10">
      <c r="A497" s="140" t="s">
        <v>247</v>
      </c>
      <c r="B497" s="140" t="s">
        <v>248</v>
      </c>
      <c r="C497" s="171">
        <v>45698</v>
      </c>
      <c r="D497" s="172" t="s">
        <v>16</v>
      </c>
      <c r="E497" s="140" t="s">
        <v>19</v>
      </c>
      <c r="F497" s="140" t="s">
        <v>33</v>
      </c>
      <c r="G497" s="140" t="s">
        <v>21</v>
      </c>
      <c r="H497" s="140" t="s">
        <v>168</v>
      </c>
      <c r="I497" s="140" t="s">
        <v>21</v>
      </c>
      <c r="J497" s="174"/>
    </row>
    <row r="498" hidden="1" customHeight="1" spans="1:10">
      <c r="A498" s="140" t="s">
        <v>247</v>
      </c>
      <c r="B498" s="140" t="s">
        <v>248</v>
      </c>
      <c r="C498" s="171">
        <v>45699</v>
      </c>
      <c r="D498" s="172" t="s">
        <v>17</v>
      </c>
      <c r="E498" s="140" t="s">
        <v>19</v>
      </c>
      <c r="F498" s="140" t="s">
        <v>20</v>
      </c>
      <c r="G498" s="140" t="s">
        <v>21</v>
      </c>
      <c r="H498" s="140" t="s">
        <v>181</v>
      </c>
      <c r="I498" s="140" t="s">
        <v>21</v>
      </c>
      <c r="J498" s="174"/>
    </row>
    <row r="499" customHeight="1" spans="1:10">
      <c r="A499" s="140" t="s">
        <v>247</v>
      </c>
      <c r="B499" s="140" t="s">
        <v>248</v>
      </c>
      <c r="C499" s="171">
        <v>45700</v>
      </c>
      <c r="D499" s="172" t="s">
        <v>18</v>
      </c>
      <c r="E499" s="140" t="s">
        <v>19</v>
      </c>
      <c r="F499" s="140" t="s">
        <v>14</v>
      </c>
      <c r="G499" s="176" t="s">
        <v>68</v>
      </c>
      <c r="H499" s="140" t="s">
        <v>174</v>
      </c>
      <c r="I499" s="140" t="s">
        <v>21</v>
      </c>
      <c r="J499" s="174" t="s">
        <v>69</v>
      </c>
    </row>
    <row r="500" hidden="1" customHeight="1" spans="1:10">
      <c r="A500" s="140" t="s">
        <v>247</v>
      </c>
      <c r="B500" s="140" t="s">
        <v>248</v>
      </c>
      <c r="C500" s="171">
        <v>45701</v>
      </c>
      <c r="D500" s="172" t="s">
        <v>23</v>
      </c>
      <c r="E500" s="140" t="s">
        <v>19</v>
      </c>
      <c r="F500" s="140" t="s">
        <v>154</v>
      </c>
      <c r="G500" s="140" t="s">
        <v>21</v>
      </c>
      <c r="H500" s="140" t="s">
        <v>168</v>
      </c>
      <c r="I500" s="140" t="s">
        <v>21</v>
      </c>
      <c r="J500" s="174"/>
    </row>
    <row r="501" hidden="1" customHeight="1" spans="1:10">
      <c r="A501" s="140" t="s">
        <v>247</v>
      </c>
      <c r="B501" s="140" t="s">
        <v>248</v>
      </c>
      <c r="C501" s="171">
        <v>45702</v>
      </c>
      <c r="D501" s="172" t="s">
        <v>25</v>
      </c>
      <c r="E501" s="140" t="s">
        <v>19</v>
      </c>
      <c r="F501" s="140" t="s">
        <v>46</v>
      </c>
      <c r="G501" s="140" t="s">
        <v>21</v>
      </c>
      <c r="H501" s="140" t="s">
        <v>205</v>
      </c>
      <c r="I501" s="140" t="s">
        <v>21</v>
      </c>
      <c r="J501" s="174"/>
    </row>
    <row r="502" hidden="1" customHeight="1" spans="1:10">
      <c r="A502" s="140" t="s">
        <v>247</v>
      </c>
      <c r="B502" s="140" t="s">
        <v>248</v>
      </c>
      <c r="C502" s="171">
        <v>45703</v>
      </c>
      <c r="D502" s="172" t="s">
        <v>27</v>
      </c>
      <c r="E502" s="173" t="s">
        <v>13</v>
      </c>
      <c r="F502" s="140" t="s">
        <v>14</v>
      </c>
      <c r="G502" s="140" t="s">
        <v>14</v>
      </c>
      <c r="H502" s="140" t="s">
        <v>14</v>
      </c>
      <c r="I502" s="140" t="s">
        <v>14</v>
      </c>
      <c r="J502" s="174"/>
    </row>
    <row r="503" hidden="1" customHeight="1" spans="1:10">
      <c r="A503" s="140" t="s">
        <v>247</v>
      </c>
      <c r="B503" s="140" t="s">
        <v>248</v>
      </c>
      <c r="C503" s="171">
        <v>45704</v>
      </c>
      <c r="D503" s="172" t="s">
        <v>15</v>
      </c>
      <c r="E503" s="173" t="s">
        <v>13</v>
      </c>
      <c r="F503" s="140" t="s">
        <v>250</v>
      </c>
      <c r="G503" s="140" t="s">
        <v>21</v>
      </c>
      <c r="H503" s="140" t="s">
        <v>251</v>
      </c>
      <c r="I503" s="140" t="s">
        <v>21</v>
      </c>
      <c r="J503" s="174"/>
    </row>
    <row r="504" hidden="1" customHeight="1" spans="1:10">
      <c r="A504" s="140" t="s">
        <v>247</v>
      </c>
      <c r="B504" s="140" t="s">
        <v>248</v>
      </c>
      <c r="C504" s="171">
        <v>45705</v>
      </c>
      <c r="D504" s="172" t="s">
        <v>16</v>
      </c>
      <c r="E504" s="140" t="s">
        <v>19</v>
      </c>
      <c r="F504" s="140" t="s">
        <v>20</v>
      </c>
      <c r="G504" s="140" t="s">
        <v>21</v>
      </c>
      <c r="H504" s="140" t="s">
        <v>45</v>
      </c>
      <c r="I504" s="140" t="s">
        <v>21</v>
      </c>
      <c r="J504" s="174"/>
    </row>
    <row r="505" customHeight="1" spans="1:10">
      <c r="A505" s="140" t="s">
        <v>247</v>
      </c>
      <c r="B505" s="140" t="s">
        <v>248</v>
      </c>
      <c r="C505" s="171">
        <v>45706</v>
      </c>
      <c r="D505" s="172" t="s">
        <v>17</v>
      </c>
      <c r="E505" s="140" t="s">
        <v>19</v>
      </c>
      <c r="F505" s="140" t="s">
        <v>14</v>
      </c>
      <c r="G505" s="176" t="s">
        <v>68</v>
      </c>
      <c r="H505" s="140" t="s">
        <v>181</v>
      </c>
      <c r="I505" s="140" t="s">
        <v>21</v>
      </c>
      <c r="J505" s="174" t="s">
        <v>69</v>
      </c>
    </row>
    <row r="506" hidden="1" customHeight="1" spans="1:10">
      <c r="A506" s="140" t="s">
        <v>247</v>
      </c>
      <c r="B506" s="140" t="s">
        <v>248</v>
      </c>
      <c r="C506" s="171">
        <v>45707</v>
      </c>
      <c r="D506" s="172" t="s">
        <v>18</v>
      </c>
      <c r="E506" s="140" t="s">
        <v>19</v>
      </c>
      <c r="F506" s="140" t="s">
        <v>51</v>
      </c>
      <c r="G506" s="140" t="s">
        <v>21</v>
      </c>
      <c r="H506" s="140" t="s">
        <v>252</v>
      </c>
      <c r="I506" s="140" t="s">
        <v>21</v>
      </c>
      <c r="J506" s="174"/>
    </row>
    <row r="507" hidden="1" customHeight="1" spans="1:10">
      <c r="A507" s="140" t="s">
        <v>247</v>
      </c>
      <c r="B507" s="140" t="s">
        <v>248</v>
      </c>
      <c r="C507" s="171">
        <v>45708</v>
      </c>
      <c r="D507" s="172" t="s">
        <v>23</v>
      </c>
      <c r="E507" s="140" t="s">
        <v>19</v>
      </c>
      <c r="F507" s="140" t="s">
        <v>139</v>
      </c>
      <c r="G507" s="140" t="s">
        <v>21</v>
      </c>
      <c r="H507" s="140" t="s">
        <v>45</v>
      </c>
      <c r="I507" s="140" t="s">
        <v>21</v>
      </c>
      <c r="J507" s="174"/>
    </row>
    <row r="508" hidden="1" customHeight="1" spans="1:10">
      <c r="A508" s="140" t="s">
        <v>247</v>
      </c>
      <c r="B508" s="140" t="s">
        <v>248</v>
      </c>
      <c r="C508" s="171">
        <v>45709</v>
      </c>
      <c r="D508" s="172" t="s">
        <v>25</v>
      </c>
      <c r="E508" s="140" t="s">
        <v>19</v>
      </c>
      <c r="F508" s="140" t="s">
        <v>46</v>
      </c>
      <c r="G508" s="140" t="s">
        <v>21</v>
      </c>
      <c r="H508" s="140" t="s">
        <v>200</v>
      </c>
      <c r="I508" s="140" t="s">
        <v>21</v>
      </c>
      <c r="J508" s="174"/>
    </row>
    <row r="509" hidden="1" customHeight="1" spans="1:10">
      <c r="A509" s="140" t="s">
        <v>247</v>
      </c>
      <c r="B509" s="140" t="s">
        <v>248</v>
      </c>
      <c r="C509" s="171">
        <v>45710</v>
      </c>
      <c r="D509" s="172" t="s">
        <v>27</v>
      </c>
      <c r="E509" s="173" t="s">
        <v>13</v>
      </c>
      <c r="F509" s="140" t="s">
        <v>14</v>
      </c>
      <c r="G509" s="140" t="s">
        <v>14</v>
      </c>
      <c r="H509" s="140" t="s">
        <v>14</v>
      </c>
      <c r="I509" s="140" t="s">
        <v>14</v>
      </c>
      <c r="J509" s="174"/>
    </row>
    <row r="510" hidden="1" customHeight="1" spans="1:10">
      <c r="A510" s="140" t="s">
        <v>247</v>
      </c>
      <c r="B510" s="140" t="s">
        <v>248</v>
      </c>
      <c r="C510" s="171">
        <v>45711</v>
      </c>
      <c r="D510" s="172" t="s">
        <v>15</v>
      </c>
      <c r="E510" s="173" t="s">
        <v>13</v>
      </c>
      <c r="F510" s="140" t="s">
        <v>14</v>
      </c>
      <c r="G510" s="140" t="s">
        <v>14</v>
      </c>
      <c r="H510" s="140" t="s">
        <v>14</v>
      </c>
      <c r="I510" s="140" t="s">
        <v>14</v>
      </c>
      <c r="J510" s="174"/>
    </row>
    <row r="511" hidden="1" customHeight="1" spans="1:10">
      <c r="A511" s="140" t="s">
        <v>247</v>
      </c>
      <c r="B511" s="140" t="s">
        <v>248</v>
      </c>
      <c r="C511" s="171">
        <v>45712</v>
      </c>
      <c r="D511" s="172" t="s">
        <v>16</v>
      </c>
      <c r="E511" s="140" t="s">
        <v>19</v>
      </c>
      <c r="F511" s="140" t="s">
        <v>33</v>
      </c>
      <c r="G511" s="140" t="s">
        <v>21</v>
      </c>
      <c r="H511" s="140" t="s">
        <v>78</v>
      </c>
      <c r="I511" s="140" t="s">
        <v>21</v>
      </c>
      <c r="J511" s="174"/>
    </row>
    <row r="512" customHeight="1" spans="1:10">
      <c r="A512" s="140" t="s">
        <v>247</v>
      </c>
      <c r="B512" s="140" t="s">
        <v>248</v>
      </c>
      <c r="C512" s="171">
        <v>45713</v>
      </c>
      <c r="D512" s="172" t="s">
        <v>17</v>
      </c>
      <c r="E512" s="140" t="s">
        <v>19</v>
      </c>
      <c r="F512" s="140" t="s">
        <v>14</v>
      </c>
      <c r="G512" s="176" t="s">
        <v>68</v>
      </c>
      <c r="H512" s="140" t="s">
        <v>73</v>
      </c>
      <c r="I512" s="140" t="s">
        <v>21</v>
      </c>
      <c r="J512" s="174" t="s">
        <v>136</v>
      </c>
    </row>
    <row r="513" hidden="1" customHeight="1" spans="1:10">
      <c r="A513" s="140" t="s">
        <v>247</v>
      </c>
      <c r="B513" s="140" t="s">
        <v>248</v>
      </c>
      <c r="C513" s="171">
        <v>45714</v>
      </c>
      <c r="D513" s="172" t="s">
        <v>18</v>
      </c>
      <c r="E513" s="140" t="s">
        <v>19</v>
      </c>
      <c r="F513" s="140" t="s">
        <v>36</v>
      </c>
      <c r="G513" s="140" t="s">
        <v>21</v>
      </c>
      <c r="H513" s="140" t="s">
        <v>45</v>
      </c>
      <c r="I513" s="140" t="s">
        <v>21</v>
      </c>
      <c r="J513" s="174"/>
    </row>
    <row r="514" hidden="1" customHeight="1" spans="1:10">
      <c r="A514" s="140" t="s">
        <v>247</v>
      </c>
      <c r="B514" s="140" t="s">
        <v>248</v>
      </c>
      <c r="C514" s="171">
        <v>45715</v>
      </c>
      <c r="D514" s="172" t="s">
        <v>23</v>
      </c>
      <c r="E514" s="140" t="s">
        <v>19</v>
      </c>
      <c r="F514" s="140" t="s">
        <v>33</v>
      </c>
      <c r="G514" s="140" t="s">
        <v>21</v>
      </c>
      <c r="H514" s="140" t="s">
        <v>45</v>
      </c>
      <c r="I514" s="140" t="s">
        <v>21</v>
      </c>
      <c r="J514" s="174"/>
    </row>
    <row r="515" hidden="1" customHeight="1" spans="1:10">
      <c r="A515" s="140" t="s">
        <v>247</v>
      </c>
      <c r="B515" s="140" t="s">
        <v>248</v>
      </c>
      <c r="C515" s="171">
        <v>45716</v>
      </c>
      <c r="D515" s="172" t="s">
        <v>25</v>
      </c>
      <c r="E515" s="140" t="s">
        <v>19</v>
      </c>
      <c r="F515" s="140" t="s">
        <v>43</v>
      </c>
      <c r="G515" s="140" t="s">
        <v>21</v>
      </c>
      <c r="H515" s="140" t="s">
        <v>206</v>
      </c>
      <c r="I515" s="140" t="s">
        <v>21</v>
      </c>
      <c r="J515" s="174"/>
    </row>
    <row r="516" hidden="1" customHeight="1" spans="1:10">
      <c r="A516" s="140" t="s">
        <v>253</v>
      </c>
      <c r="B516" s="140" t="s">
        <v>237</v>
      </c>
      <c r="C516" s="171">
        <v>45689</v>
      </c>
      <c r="D516" s="172" t="s">
        <v>12</v>
      </c>
      <c r="E516" s="173" t="s">
        <v>13</v>
      </c>
      <c r="F516" s="140" t="s">
        <v>14</v>
      </c>
      <c r="G516" s="140" t="s">
        <v>14</v>
      </c>
      <c r="H516" s="140" t="s">
        <v>14</v>
      </c>
      <c r="I516" s="140" t="s">
        <v>14</v>
      </c>
      <c r="J516" s="174"/>
    </row>
    <row r="517" hidden="1" customHeight="1" spans="1:10">
      <c r="A517" s="140" t="s">
        <v>253</v>
      </c>
      <c r="B517" s="140" t="s">
        <v>237</v>
      </c>
      <c r="C517" s="171">
        <v>45690</v>
      </c>
      <c r="D517" s="172" t="s">
        <v>15</v>
      </c>
      <c r="E517" s="173" t="s">
        <v>13</v>
      </c>
      <c r="F517" s="140" t="s">
        <v>14</v>
      </c>
      <c r="G517" s="140" t="s">
        <v>14</v>
      </c>
      <c r="H517" s="140" t="s">
        <v>14</v>
      </c>
      <c r="I517" s="140" t="s">
        <v>14</v>
      </c>
      <c r="J517" s="174"/>
    </row>
    <row r="518" hidden="1" customHeight="1" spans="1:10">
      <c r="A518" s="140" t="s">
        <v>253</v>
      </c>
      <c r="B518" s="140" t="s">
        <v>237</v>
      </c>
      <c r="C518" s="171">
        <v>45691</v>
      </c>
      <c r="D518" s="172" t="s">
        <v>16</v>
      </c>
      <c r="E518" s="173" t="s">
        <v>13</v>
      </c>
      <c r="F518" s="140" t="s">
        <v>14</v>
      </c>
      <c r="G518" s="140" t="s">
        <v>14</v>
      </c>
      <c r="H518" s="140" t="s">
        <v>14</v>
      </c>
      <c r="I518" s="140" t="s">
        <v>14</v>
      </c>
      <c r="J518" s="174"/>
    </row>
    <row r="519" hidden="1" customHeight="1" spans="1:10">
      <c r="A519" s="140" t="s">
        <v>253</v>
      </c>
      <c r="B519" s="140" t="s">
        <v>237</v>
      </c>
      <c r="C519" s="171">
        <v>45692</v>
      </c>
      <c r="D519" s="172" t="s">
        <v>17</v>
      </c>
      <c r="E519" s="173" t="s">
        <v>13</v>
      </c>
      <c r="F519" s="140" t="s">
        <v>14</v>
      </c>
      <c r="G519" s="140" t="s">
        <v>14</v>
      </c>
      <c r="H519" s="140" t="s">
        <v>14</v>
      </c>
      <c r="I519" s="140" t="s">
        <v>14</v>
      </c>
      <c r="J519" s="174"/>
    </row>
    <row r="520" hidden="1" customHeight="1" spans="1:10">
      <c r="A520" s="140" t="s">
        <v>253</v>
      </c>
      <c r="B520" s="140" t="s">
        <v>237</v>
      </c>
      <c r="C520" s="171">
        <v>45693</v>
      </c>
      <c r="D520" s="172" t="s">
        <v>18</v>
      </c>
      <c r="E520" s="140" t="s">
        <v>19</v>
      </c>
      <c r="F520" s="140" t="s">
        <v>137</v>
      </c>
      <c r="G520" s="140" t="s">
        <v>21</v>
      </c>
      <c r="H520" s="140" t="s">
        <v>175</v>
      </c>
      <c r="I520" s="140" t="s">
        <v>21</v>
      </c>
      <c r="J520" s="174"/>
    </row>
    <row r="521" hidden="1" customHeight="1" spans="1:10">
      <c r="A521" s="140" t="s">
        <v>253</v>
      </c>
      <c r="B521" s="140" t="s">
        <v>237</v>
      </c>
      <c r="C521" s="171">
        <v>45694</v>
      </c>
      <c r="D521" s="172" t="s">
        <v>23</v>
      </c>
      <c r="E521" s="140" t="s">
        <v>19</v>
      </c>
      <c r="F521" s="140" t="s">
        <v>98</v>
      </c>
      <c r="G521" s="140" t="s">
        <v>21</v>
      </c>
      <c r="H521" s="140" t="s">
        <v>254</v>
      </c>
      <c r="I521" s="140" t="s">
        <v>21</v>
      </c>
      <c r="J521" s="174"/>
    </row>
    <row r="522" hidden="1" customHeight="1" spans="1:10">
      <c r="A522" s="140" t="s">
        <v>253</v>
      </c>
      <c r="B522" s="140" t="s">
        <v>237</v>
      </c>
      <c r="C522" s="171">
        <v>45695</v>
      </c>
      <c r="D522" s="172" t="s">
        <v>25</v>
      </c>
      <c r="E522" s="140" t="s">
        <v>19</v>
      </c>
      <c r="F522" s="140" t="s">
        <v>177</v>
      </c>
      <c r="G522" s="140" t="s">
        <v>21</v>
      </c>
      <c r="H522" s="140" t="s">
        <v>175</v>
      </c>
      <c r="I522" s="140" t="s">
        <v>21</v>
      </c>
      <c r="J522" s="174"/>
    </row>
    <row r="523" hidden="1" customHeight="1" spans="1:10">
      <c r="A523" s="140" t="s">
        <v>253</v>
      </c>
      <c r="B523" s="140" t="s">
        <v>237</v>
      </c>
      <c r="C523" s="171">
        <v>45696</v>
      </c>
      <c r="D523" s="172" t="s">
        <v>27</v>
      </c>
      <c r="E523" s="140" t="s">
        <v>19</v>
      </c>
      <c r="F523" s="140" t="s">
        <v>33</v>
      </c>
      <c r="G523" s="140" t="s">
        <v>21</v>
      </c>
      <c r="H523" s="140" t="s">
        <v>170</v>
      </c>
      <c r="I523" s="140" t="s">
        <v>21</v>
      </c>
      <c r="J523" s="174"/>
    </row>
    <row r="524" hidden="1" customHeight="1" spans="1:10">
      <c r="A524" s="140" t="s">
        <v>253</v>
      </c>
      <c r="B524" s="140" t="s">
        <v>237</v>
      </c>
      <c r="C524" s="171">
        <v>45697</v>
      </c>
      <c r="D524" s="172" t="s">
        <v>15</v>
      </c>
      <c r="E524" s="173" t="s">
        <v>13</v>
      </c>
      <c r="F524" s="140" t="s">
        <v>14</v>
      </c>
      <c r="G524" s="140" t="s">
        <v>14</v>
      </c>
      <c r="H524" s="140" t="s">
        <v>14</v>
      </c>
      <c r="I524" s="140" t="s">
        <v>14</v>
      </c>
      <c r="J524" s="174"/>
    </row>
    <row r="525" hidden="1" customHeight="1" spans="1:10">
      <c r="A525" s="140" t="s">
        <v>253</v>
      </c>
      <c r="B525" s="140" t="s">
        <v>237</v>
      </c>
      <c r="C525" s="171">
        <v>45698</v>
      </c>
      <c r="D525" s="172" t="s">
        <v>16</v>
      </c>
      <c r="E525" s="140" t="s">
        <v>19</v>
      </c>
      <c r="F525" s="140" t="s">
        <v>154</v>
      </c>
      <c r="G525" s="140" t="s">
        <v>21</v>
      </c>
      <c r="H525" s="140" t="s">
        <v>78</v>
      </c>
      <c r="I525" s="140" t="s">
        <v>21</v>
      </c>
      <c r="J525" s="174"/>
    </row>
    <row r="526" customHeight="1" spans="1:10">
      <c r="A526" s="140" t="s">
        <v>253</v>
      </c>
      <c r="B526" s="140" t="s">
        <v>237</v>
      </c>
      <c r="C526" s="171">
        <v>45699</v>
      </c>
      <c r="D526" s="172" t="s">
        <v>17</v>
      </c>
      <c r="E526" s="140" t="s">
        <v>19</v>
      </c>
      <c r="F526" s="140" t="s">
        <v>14</v>
      </c>
      <c r="G526" s="176" t="s">
        <v>68</v>
      </c>
      <c r="H526" s="140" t="s">
        <v>184</v>
      </c>
      <c r="I526" s="140" t="s">
        <v>21</v>
      </c>
      <c r="J526" s="174" t="s">
        <v>69</v>
      </c>
    </row>
    <row r="527" hidden="1" customHeight="1" spans="1:10">
      <c r="A527" s="140" t="s">
        <v>253</v>
      </c>
      <c r="B527" s="140" t="s">
        <v>237</v>
      </c>
      <c r="C527" s="171">
        <v>45700</v>
      </c>
      <c r="D527" s="172" t="s">
        <v>18</v>
      </c>
      <c r="E527" s="140" t="s">
        <v>19</v>
      </c>
      <c r="F527" s="140" t="s">
        <v>188</v>
      </c>
      <c r="G527" s="140" t="s">
        <v>21</v>
      </c>
      <c r="H527" s="140" t="s">
        <v>189</v>
      </c>
      <c r="I527" s="140" t="s">
        <v>21</v>
      </c>
      <c r="J527" s="174"/>
    </row>
    <row r="528" hidden="1" customHeight="1" spans="1:10">
      <c r="A528" s="140" t="s">
        <v>253</v>
      </c>
      <c r="B528" s="140" t="s">
        <v>237</v>
      </c>
      <c r="C528" s="171">
        <v>45701</v>
      </c>
      <c r="D528" s="172" t="s">
        <v>23</v>
      </c>
      <c r="E528" s="140" t="s">
        <v>19</v>
      </c>
      <c r="F528" s="140" t="s">
        <v>117</v>
      </c>
      <c r="G528" s="140" t="s">
        <v>21</v>
      </c>
      <c r="H528" s="140" t="s">
        <v>123</v>
      </c>
      <c r="I528" s="140" t="s">
        <v>21</v>
      </c>
      <c r="J528" s="174"/>
    </row>
    <row r="529" hidden="1" customHeight="1" spans="1:10">
      <c r="A529" s="140" t="s">
        <v>253</v>
      </c>
      <c r="B529" s="140" t="s">
        <v>237</v>
      </c>
      <c r="C529" s="171">
        <v>45702</v>
      </c>
      <c r="D529" s="172" t="s">
        <v>25</v>
      </c>
      <c r="E529" s="140" t="s">
        <v>19</v>
      </c>
      <c r="F529" s="140" t="s">
        <v>90</v>
      </c>
      <c r="G529" s="140" t="s">
        <v>21</v>
      </c>
      <c r="H529" s="140" t="s">
        <v>235</v>
      </c>
      <c r="I529" s="140" t="s">
        <v>21</v>
      </c>
      <c r="J529" s="174"/>
    </row>
    <row r="530" hidden="1" customHeight="1" spans="1:10">
      <c r="A530" s="140" t="s">
        <v>253</v>
      </c>
      <c r="B530" s="140" t="s">
        <v>237</v>
      </c>
      <c r="C530" s="171">
        <v>45703</v>
      </c>
      <c r="D530" s="172" t="s">
        <v>27</v>
      </c>
      <c r="E530" s="173" t="s">
        <v>13</v>
      </c>
      <c r="F530" s="140" t="s">
        <v>14</v>
      </c>
      <c r="G530" s="140" t="s">
        <v>14</v>
      </c>
      <c r="H530" s="140" t="s">
        <v>14</v>
      </c>
      <c r="I530" s="140" t="s">
        <v>14</v>
      </c>
      <c r="J530" s="174"/>
    </row>
    <row r="531" hidden="1" customHeight="1" spans="1:10">
      <c r="A531" s="140" t="s">
        <v>253</v>
      </c>
      <c r="B531" s="140" t="s">
        <v>237</v>
      </c>
      <c r="C531" s="171">
        <v>45704</v>
      </c>
      <c r="D531" s="172" t="s">
        <v>15</v>
      </c>
      <c r="E531" s="173" t="s">
        <v>13</v>
      </c>
      <c r="F531" s="140" t="s">
        <v>14</v>
      </c>
      <c r="G531" s="140" t="s">
        <v>14</v>
      </c>
      <c r="H531" s="140" t="s">
        <v>14</v>
      </c>
      <c r="I531" s="140" t="s">
        <v>14</v>
      </c>
      <c r="J531" s="174"/>
    </row>
    <row r="532" customHeight="1" spans="1:10">
      <c r="A532" s="140" t="s">
        <v>253</v>
      </c>
      <c r="B532" s="140" t="s">
        <v>237</v>
      </c>
      <c r="C532" s="171">
        <v>45705</v>
      </c>
      <c r="D532" s="172" t="s">
        <v>16</v>
      </c>
      <c r="E532" s="140" t="s">
        <v>19</v>
      </c>
      <c r="F532" s="140" t="s">
        <v>14</v>
      </c>
      <c r="G532" s="176" t="s">
        <v>68</v>
      </c>
      <c r="H532" s="140" t="s">
        <v>14</v>
      </c>
      <c r="I532" s="176" t="s">
        <v>68</v>
      </c>
      <c r="J532" s="174" t="s">
        <v>234</v>
      </c>
    </row>
    <row r="533" hidden="1" customHeight="1" spans="1:10">
      <c r="A533" s="140" t="s">
        <v>253</v>
      </c>
      <c r="B533" s="140" t="s">
        <v>237</v>
      </c>
      <c r="C533" s="171">
        <v>45706</v>
      </c>
      <c r="D533" s="172" t="s">
        <v>17</v>
      </c>
      <c r="E533" s="140" t="s">
        <v>19</v>
      </c>
      <c r="F533" s="140" t="s">
        <v>40</v>
      </c>
      <c r="G533" s="140" t="s">
        <v>21</v>
      </c>
      <c r="H533" s="140" t="s">
        <v>50</v>
      </c>
      <c r="I533" s="140" t="s">
        <v>21</v>
      </c>
      <c r="J533" s="174"/>
    </row>
    <row r="534" hidden="1" customHeight="1" spans="1:10">
      <c r="A534" s="140" t="s">
        <v>253</v>
      </c>
      <c r="B534" s="140" t="s">
        <v>237</v>
      </c>
      <c r="C534" s="171">
        <v>45707</v>
      </c>
      <c r="D534" s="172" t="s">
        <v>18</v>
      </c>
      <c r="E534" s="140" t="s">
        <v>19</v>
      </c>
      <c r="F534" s="140" t="s">
        <v>110</v>
      </c>
      <c r="G534" s="140" t="s">
        <v>21</v>
      </c>
      <c r="H534" s="140" t="s">
        <v>200</v>
      </c>
      <c r="I534" s="140" t="s">
        <v>21</v>
      </c>
      <c r="J534" s="174"/>
    </row>
    <row r="535" hidden="1" customHeight="1" spans="1:10">
      <c r="A535" s="140" t="s">
        <v>253</v>
      </c>
      <c r="B535" s="140" t="s">
        <v>237</v>
      </c>
      <c r="C535" s="171">
        <v>45708</v>
      </c>
      <c r="D535" s="172" t="s">
        <v>23</v>
      </c>
      <c r="E535" s="140" t="s">
        <v>19</v>
      </c>
      <c r="F535" s="140" t="s">
        <v>135</v>
      </c>
      <c r="G535" s="140" t="s">
        <v>21</v>
      </c>
      <c r="H535" s="140" t="s">
        <v>54</v>
      </c>
      <c r="I535" s="140" t="s">
        <v>21</v>
      </c>
      <c r="J535" s="174"/>
    </row>
    <row r="536" hidden="1" customHeight="1" spans="1:10">
      <c r="A536" s="140" t="s">
        <v>253</v>
      </c>
      <c r="B536" s="140" t="s">
        <v>237</v>
      </c>
      <c r="C536" s="171">
        <v>45709</v>
      </c>
      <c r="D536" s="172" t="s">
        <v>25</v>
      </c>
      <c r="E536" s="140" t="s">
        <v>19</v>
      </c>
      <c r="F536" s="140" t="s">
        <v>146</v>
      </c>
      <c r="G536" s="140" t="s">
        <v>21</v>
      </c>
      <c r="H536" s="140" t="s">
        <v>254</v>
      </c>
      <c r="I536" s="140" t="s">
        <v>21</v>
      </c>
      <c r="J536" s="174"/>
    </row>
    <row r="537" hidden="1" customHeight="1" spans="1:10">
      <c r="A537" s="140" t="s">
        <v>253</v>
      </c>
      <c r="B537" s="140" t="s">
        <v>237</v>
      </c>
      <c r="C537" s="171">
        <v>45710</v>
      </c>
      <c r="D537" s="172" t="s">
        <v>27</v>
      </c>
      <c r="E537" s="173" t="s">
        <v>13</v>
      </c>
      <c r="F537" s="140" t="s">
        <v>255</v>
      </c>
      <c r="G537" s="140" t="s">
        <v>21</v>
      </c>
      <c r="H537" s="140" t="s">
        <v>130</v>
      </c>
      <c r="I537" s="140" t="s">
        <v>21</v>
      </c>
      <c r="J537" s="174"/>
    </row>
    <row r="538" hidden="1" customHeight="1" spans="1:10">
      <c r="A538" s="140" t="s">
        <v>253</v>
      </c>
      <c r="B538" s="140" t="s">
        <v>237</v>
      </c>
      <c r="C538" s="171">
        <v>45711</v>
      </c>
      <c r="D538" s="172" t="s">
        <v>15</v>
      </c>
      <c r="E538" s="173" t="s">
        <v>13</v>
      </c>
      <c r="F538" s="140" t="s">
        <v>256</v>
      </c>
      <c r="G538" s="140" t="s">
        <v>21</v>
      </c>
      <c r="H538" s="140" t="s">
        <v>257</v>
      </c>
      <c r="I538" s="140" t="s">
        <v>21</v>
      </c>
      <c r="J538" s="174"/>
    </row>
    <row r="539" hidden="1" customHeight="1" spans="1:10">
      <c r="A539" s="140" t="s">
        <v>253</v>
      </c>
      <c r="B539" s="140" t="s">
        <v>237</v>
      </c>
      <c r="C539" s="171">
        <v>45712</v>
      </c>
      <c r="D539" s="172" t="s">
        <v>16</v>
      </c>
      <c r="E539" s="140" t="s">
        <v>19</v>
      </c>
      <c r="F539" s="140" t="s">
        <v>36</v>
      </c>
      <c r="G539" s="140" t="s">
        <v>21</v>
      </c>
      <c r="H539" s="140" t="s">
        <v>78</v>
      </c>
      <c r="I539" s="140" t="s">
        <v>21</v>
      </c>
      <c r="J539" s="174"/>
    </row>
    <row r="540" hidden="1" customHeight="1" spans="1:10">
      <c r="A540" s="140" t="s">
        <v>253</v>
      </c>
      <c r="B540" s="140" t="s">
        <v>237</v>
      </c>
      <c r="C540" s="171">
        <v>45713</v>
      </c>
      <c r="D540" s="172" t="s">
        <v>17</v>
      </c>
      <c r="E540" s="140" t="s">
        <v>19</v>
      </c>
      <c r="F540" s="140" t="s">
        <v>51</v>
      </c>
      <c r="G540" s="140" t="s">
        <v>21</v>
      </c>
      <c r="H540" s="140" t="s">
        <v>235</v>
      </c>
      <c r="I540" s="140" t="s">
        <v>21</v>
      </c>
      <c r="J540" s="174"/>
    </row>
    <row r="541" hidden="1" customHeight="1" spans="1:10">
      <c r="A541" s="140" t="s">
        <v>253</v>
      </c>
      <c r="B541" s="140" t="s">
        <v>237</v>
      </c>
      <c r="C541" s="171">
        <v>45714</v>
      </c>
      <c r="D541" s="172" t="s">
        <v>18</v>
      </c>
      <c r="E541" s="140" t="s">
        <v>19</v>
      </c>
      <c r="F541" s="140" t="s">
        <v>51</v>
      </c>
      <c r="G541" s="140" t="s">
        <v>21</v>
      </c>
      <c r="H541" s="140" t="s">
        <v>184</v>
      </c>
      <c r="I541" s="140" t="s">
        <v>21</v>
      </c>
      <c r="J541" s="174"/>
    </row>
    <row r="542" customHeight="1" spans="1:10">
      <c r="A542" s="140" t="s">
        <v>253</v>
      </c>
      <c r="B542" s="140" t="s">
        <v>237</v>
      </c>
      <c r="C542" s="171">
        <v>45715</v>
      </c>
      <c r="D542" s="172" t="s">
        <v>23</v>
      </c>
      <c r="E542" s="140" t="s">
        <v>19</v>
      </c>
      <c r="F542" s="140" t="s">
        <v>14</v>
      </c>
      <c r="G542" s="176" t="s">
        <v>68</v>
      </c>
      <c r="H542" s="140" t="s">
        <v>258</v>
      </c>
      <c r="I542" s="140" t="s">
        <v>21</v>
      </c>
      <c r="J542" s="174" t="s">
        <v>69</v>
      </c>
    </row>
    <row r="543" hidden="1" customHeight="1" spans="1:10">
      <c r="A543" s="140" t="s">
        <v>253</v>
      </c>
      <c r="B543" s="140" t="s">
        <v>237</v>
      </c>
      <c r="C543" s="171">
        <v>45716</v>
      </c>
      <c r="D543" s="172" t="s">
        <v>25</v>
      </c>
      <c r="E543" s="140" t="s">
        <v>19</v>
      </c>
      <c r="F543" s="140" t="s">
        <v>94</v>
      </c>
      <c r="G543" s="140" t="s">
        <v>21</v>
      </c>
      <c r="H543" s="140" t="s">
        <v>190</v>
      </c>
      <c r="I543" s="140" t="s">
        <v>21</v>
      </c>
      <c r="J543" s="174"/>
    </row>
    <row r="544" hidden="1" customHeight="1" spans="1:10">
      <c r="A544" s="140" t="s">
        <v>259</v>
      </c>
      <c r="B544" s="140" t="s">
        <v>198</v>
      </c>
      <c r="C544" s="171">
        <v>45689</v>
      </c>
      <c r="D544" s="172" t="s">
        <v>12</v>
      </c>
      <c r="E544" s="173" t="s">
        <v>13</v>
      </c>
      <c r="F544" s="140" t="s">
        <v>14</v>
      </c>
      <c r="G544" s="140" t="s">
        <v>14</v>
      </c>
      <c r="H544" s="140" t="s">
        <v>14</v>
      </c>
      <c r="I544" s="140" t="s">
        <v>14</v>
      </c>
      <c r="J544" s="174"/>
    </row>
    <row r="545" hidden="1" customHeight="1" spans="1:10">
      <c r="A545" s="140" t="s">
        <v>259</v>
      </c>
      <c r="B545" s="140" t="s">
        <v>198</v>
      </c>
      <c r="C545" s="171">
        <v>45690</v>
      </c>
      <c r="D545" s="172" t="s">
        <v>15</v>
      </c>
      <c r="E545" s="173" t="s">
        <v>13</v>
      </c>
      <c r="F545" s="140" t="s">
        <v>14</v>
      </c>
      <c r="G545" s="140" t="s">
        <v>14</v>
      </c>
      <c r="H545" s="140" t="s">
        <v>14</v>
      </c>
      <c r="I545" s="140" t="s">
        <v>14</v>
      </c>
      <c r="J545" s="174"/>
    </row>
    <row r="546" hidden="1" customHeight="1" spans="1:10">
      <c r="A546" s="140" t="s">
        <v>259</v>
      </c>
      <c r="B546" s="140" t="s">
        <v>198</v>
      </c>
      <c r="C546" s="171">
        <v>45691</v>
      </c>
      <c r="D546" s="172" t="s">
        <v>16</v>
      </c>
      <c r="E546" s="173" t="s">
        <v>13</v>
      </c>
      <c r="F546" s="140" t="s">
        <v>14</v>
      </c>
      <c r="G546" s="140" t="s">
        <v>14</v>
      </c>
      <c r="H546" s="140" t="s">
        <v>14</v>
      </c>
      <c r="I546" s="140" t="s">
        <v>14</v>
      </c>
      <c r="J546" s="174"/>
    </row>
    <row r="547" hidden="1" customHeight="1" spans="1:10">
      <c r="A547" s="140" t="s">
        <v>259</v>
      </c>
      <c r="B547" s="140" t="s">
        <v>198</v>
      </c>
      <c r="C547" s="171">
        <v>45692</v>
      </c>
      <c r="D547" s="172" t="s">
        <v>17</v>
      </c>
      <c r="E547" s="173" t="s">
        <v>13</v>
      </c>
      <c r="F547" s="140" t="s">
        <v>14</v>
      </c>
      <c r="G547" s="140" t="s">
        <v>14</v>
      </c>
      <c r="H547" s="140" t="s">
        <v>14</v>
      </c>
      <c r="I547" s="140" t="s">
        <v>14</v>
      </c>
      <c r="J547" s="174"/>
    </row>
    <row r="548" hidden="1" customHeight="1" spans="1:10">
      <c r="A548" s="140" t="s">
        <v>259</v>
      </c>
      <c r="B548" s="140" t="s">
        <v>198</v>
      </c>
      <c r="C548" s="171">
        <v>45693</v>
      </c>
      <c r="D548" s="172" t="s">
        <v>18</v>
      </c>
      <c r="E548" s="140" t="s">
        <v>19</v>
      </c>
      <c r="F548" s="140" t="s">
        <v>139</v>
      </c>
      <c r="G548" s="140" t="s">
        <v>21</v>
      </c>
      <c r="H548" s="140" t="s">
        <v>200</v>
      </c>
      <c r="I548" s="140" t="s">
        <v>21</v>
      </c>
      <c r="J548" s="174"/>
    </row>
    <row r="549" hidden="1" customHeight="1" spans="1:10">
      <c r="A549" s="140" t="s">
        <v>259</v>
      </c>
      <c r="B549" s="140" t="s">
        <v>198</v>
      </c>
      <c r="C549" s="171">
        <v>45694</v>
      </c>
      <c r="D549" s="172" t="s">
        <v>23</v>
      </c>
      <c r="E549" s="140" t="s">
        <v>19</v>
      </c>
      <c r="F549" s="140" t="s">
        <v>150</v>
      </c>
      <c r="G549" s="140" t="s">
        <v>21</v>
      </c>
      <c r="H549" s="140" t="s">
        <v>45</v>
      </c>
      <c r="I549" s="140" t="s">
        <v>21</v>
      </c>
      <c r="J549" s="174"/>
    </row>
    <row r="550" hidden="1" customHeight="1" spans="1:10">
      <c r="A550" s="140" t="s">
        <v>259</v>
      </c>
      <c r="B550" s="140" t="s">
        <v>198</v>
      </c>
      <c r="C550" s="171">
        <v>45695</v>
      </c>
      <c r="D550" s="172" t="s">
        <v>25</v>
      </c>
      <c r="E550" s="140" t="s">
        <v>19</v>
      </c>
      <c r="F550" s="140" t="s">
        <v>94</v>
      </c>
      <c r="G550" s="140" t="s">
        <v>21</v>
      </c>
      <c r="H550" s="140" t="s">
        <v>249</v>
      </c>
      <c r="I550" s="140" t="s">
        <v>21</v>
      </c>
      <c r="J550" s="174"/>
    </row>
    <row r="551" hidden="1" customHeight="1" spans="1:10">
      <c r="A551" s="140" t="s">
        <v>259</v>
      </c>
      <c r="B551" s="140" t="s">
        <v>198</v>
      </c>
      <c r="C551" s="171">
        <v>45696</v>
      </c>
      <c r="D551" s="172" t="s">
        <v>27</v>
      </c>
      <c r="E551" s="140" t="s">
        <v>19</v>
      </c>
      <c r="F551" s="140" t="s">
        <v>94</v>
      </c>
      <c r="G551" s="140" t="s">
        <v>21</v>
      </c>
      <c r="H551" s="140" t="s">
        <v>142</v>
      </c>
      <c r="I551" s="140" t="s">
        <v>21</v>
      </c>
      <c r="J551" s="174"/>
    </row>
    <row r="552" hidden="1" customHeight="1" spans="1:10">
      <c r="A552" s="140" t="s">
        <v>259</v>
      </c>
      <c r="B552" s="140" t="s">
        <v>198</v>
      </c>
      <c r="C552" s="171">
        <v>45697</v>
      </c>
      <c r="D552" s="172" t="s">
        <v>15</v>
      </c>
      <c r="E552" s="173" t="s">
        <v>13</v>
      </c>
      <c r="F552" s="140" t="s">
        <v>14</v>
      </c>
      <c r="G552" s="140" t="s">
        <v>14</v>
      </c>
      <c r="H552" s="140" t="s">
        <v>14</v>
      </c>
      <c r="I552" s="140" t="s">
        <v>14</v>
      </c>
      <c r="J552" s="174"/>
    </row>
    <row r="553" hidden="1" customHeight="1" spans="1:10">
      <c r="A553" s="140" t="s">
        <v>259</v>
      </c>
      <c r="B553" s="140" t="s">
        <v>198</v>
      </c>
      <c r="C553" s="171">
        <v>45698</v>
      </c>
      <c r="D553" s="172" t="s">
        <v>16</v>
      </c>
      <c r="E553" s="140" t="s">
        <v>19</v>
      </c>
      <c r="F553" s="140" t="s">
        <v>150</v>
      </c>
      <c r="G553" s="140" t="s">
        <v>21</v>
      </c>
      <c r="H553" s="140" t="s">
        <v>168</v>
      </c>
      <c r="I553" s="140" t="s">
        <v>21</v>
      </c>
      <c r="J553" s="174"/>
    </row>
    <row r="554" hidden="1" customHeight="1" spans="1:10">
      <c r="A554" s="140" t="s">
        <v>259</v>
      </c>
      <c r="B554" s="140" t="s">
        <v>198</v>
      </c>
      <c r="C554" s="171">
        <v>45699</v>
      </c>
      <c r="D554" s="172" t="s">
        <v>17</v>
      </c>
      <c r="E554" s="140" t="s">
        <v>19</v>
      </c>
      <c r="F554" s="140" t="s">
        <v>195</v>
      </c>
      <c r="G554" s="140" t="s">
        <v>21</v>
      </c>
      <c r="H554" s="140" t="s">
        <v>122</v>
      </c>
      <c r="I554" s="140" t="s">
        <v>21</v>
      </c>
      <c r="J554" s="174"/>
    </row>
    <row r="555" hidden="1" customHeight="1" spans="1:10">
      <c r="A555" s="140" t="s">
        <v>259</v>
      </c>
      <c r="B555" s="140" t="s">
        <v>198</v>
      </c>
      <c r="C555" s="171">
        <v>45700</v>
      </c>
      <c r="D555" s="172" t="s">
        <v>18</v>
      </c>
      <c r="E555" s="140" t="s">
        <v>19</v>
      </c>
      <c r="F555" s="140" t="s">
        <v>146</v>
      </c>
      <c r="G555" s="140" t="s">
        <v>21</v>
      </c>
      <c r="H555" s="140" t="s">
        <v>178</v>
      </c>
      <c r="I555" s="140" t="s">
        <v>21</v>
      </c>
      <c r="J555" s="174"/>
    </row>
    <row r="556" hidden="1" customHeight="1" spans="1:10">
      <c r="A556" s="140" t="s">
        <v>259</v>
      </c>
      <c r="B556" s="140" t="s">
        <v>198</v>
      </c>
      <c r="C556" s="171">
        <v>45701</v>
      </c>
      <c r="D556" s="172" t="s">
        <v>23</v>
      </c>
      <c r="E556" s="140" t="s">
        <v>19</v>
      </c>
      <c r="F556" s="140" t="s">
        <v>98</v>
      </c>
      <c r="G556" s="140" t="s">
        <v>21</v>
      </c>
      <c r="H556" s="140" t="s">
        <v>78</v>
      </c>
      <c r="I556" s="140" t="s">
        <v>21</v>
      </c>
      <c r="J556" s="174"/>
    </row>
    <row r="557" hidden="1" customHeight="1" spans="1:10">
      <c r="A557" s="140" t="s">
        <v>259</v>
      </c>
      <c r="B557" s="140" t="s">
        <v>198</v>
      </c>
      <c r="C557" s="171">
        <v>45702</v>
      </c>
      <c r="D557" s="172" t="s">
        <v>25</v>
      </c>
      <c r="E557" s="140" t="s">
        <v>19</v>
      </c>
      <c r="F557" s="140" t="s">
        <v>117</v>
      </c>
      <c r="G557" s="140" t="s">
        <v>21</v>
      </c>
      <c r="H557" s="140" t="s">
        <v>215</v>
      </c>
      <c r="I557" s="140" t="s">
        <v>21</v>
      </c>
      <c r="J557" s="174"/>
    </row>
    <row r="558" hidden="1" customHeight="1" spans="1:10">
      <c r="A558" s="140" t="s">
        <v>259</v>
      </c>
      <c r="B558" s="140" t="s">
        <v>198</v>
      </c>
      <c r="C558" s="171">
        <v>45703</v>
      </c>
      <c r="D558" s="172" t="s">
        <v>27</v>
      </c>
      <c r="E558" s="173" t="s">
        <v>13</v>
      </c>
      <c r="F558" s="140" t="s">
        <v>14</v>
      </c>
      <c r="G558" s="140" t="s">
        <v>14</v>
      </c>
      <c r="H558" s="140" t="s">
        <v>14</v>
      </c>
      <c r="I558" s="140" t="s">
        <v>14</v>
      </c>
      <c r="J558" s="174"/>
    </row>
    <row r="559" hidden="1" customHeight="1" spans="1:10">
      <c r="A559" s="140" t="s">
        <v>259</v>
      </c>
      <c r="B559" s="140" t="s">
        <v>198</v>
      </c>
      <c r="C559" s="171">
        <v>45704</v>
      </c>
      <c r="D559" s="172" t="s">
        <v>15</v>
      </c>
      <c r="E559" s="173" t="s">
        <v>13</v>
      </c>
      <c r="F559" s="140" t="s">
        <v>14</v>
      </c>
      <c r="G559" s="140" t="s">
        <v>14</v>
      </c>
      <c r="H559" s="140" t="s">
        <v>14</v>
      </c>
      <c r="I559" s="140" t="s">
        <v>14</v>
      </c>
      <c r="J559" s="174"/>
    </row>
    <row r="560" hidden="1" customHeight="1" spans="1:10">
      <c r="A560" s="140" t="s">
        <v>259</v>
      </c>
      <c r="B560" s="140" t="s">
        <v>198</v>
      </c>
      <c r="C560" s="171">
        <v>45705</v>
      </c>
      <c r="D560" s="172" t="s">
        <v>16</v>
      </c>
      <c r="E560" s="140" t="s">
        <v>19</v>
      </c>
      <c r="F560" s="140" t="s">
        <v>117</v>
      </c>
      <c r="G560" s="140" t="s">
        <v>21</v>
      </c>
      <c r="H560" s="140" t="s">
        <v>116</v>
      </c>
      <c r="I560" s="140" t="s">
        <v>21</v>
      </c>
      <c r="J560" s="174"/>
    </row>
    <row r="561" hidden="1" customHeight="1" spans="1:10">
      <c r="A561" s="140" t="s">
        <v>259</v>
      </c>
      <c r="B561" s="140" t="s">
        <v>198</v>
      </c>
      <c r="C561" s="171">
        <v>45706</v>
      </c>
      <c r="D561" s="172" t="s">
        <v>17</v>
      </c>
      <c r="E561" s="140" t="s">
        <v>19</v>
      </c>
      <c r="F561" s="140" t="s">
        <v>150</v>
      </c>
      <c r="G561" s="140" t="s">
        <v>21</v>
      </c>
      <c r="H561" s="140" t="s">
        <v>142</v>
      </c>
      <c r="I561" s="140" t="s">
        <v>21</v>
      </c>
      <c r="J561" s="174"/>
    </row>
    <row r="562" hidden="1" customHeight="1" spans="1:10">
      <c r="A562" s="140" t="s">
        <v>259</v>
      </c>
      <c r="B562" s="140" t="s">
        <v>198</v>
      </c>
      <c r="C562" s="171">
        <v>45707</v>
      </c>
      <c r="D562" s="172" t="s">
        <v>18</v>
      </c>
      <c r="E562" s="140" t="s">
        <v>19</v>
      </c>
      <c r="F562" s="140" t="s">
        <v>188</v>
      </c>
      <c r="G562" s="140" t="s">
        <v>21</v>
      </c>
      <c r="H562" s="140" t="s">
        <v>260</v>
      </c>
      <c r="I562" s="140" t="s">
        <v>21</v>
      </c>
      <c r="J562" s="174"/>
    </row>
    <row r="563" hidden="1" customHeight="1" spans="1:10">
      <c r="A563" s="140" t="s">
        <v>259</v>
      </c>
      <c r="B563" s="140" t="s">
        <v>198</v>
      </c>
      <c r="C563" s="171">
        <v>45708</v>
      </c>
      <c r="D563" s="172" t="s">
        <v>23</v>
      </c>
      <c r="E563" s="140" t="s">
        <v>19</v>
      </c>
      <c r="F563" s="140" t="s">
        <v>188</v>
      </c>
      <c r="G563" s="140" t="s">
        <v>21</v>
      </c>
      <c r="H563" s="140" t="s">
        <v>35</v>
      </c>
      <c r="I563" s="140" t="s">
        <v>21</v>
      </c>
      <c r="J563" s="174"/>
    </row>
    <row r="564" hidden="1" customHeight="1" spans="1:10">
      <c r="A564" s="140" t="s">
        <v>259</v>
      </c>
      <c r="B564" s="140" t="s">
        <v>198</v>
      </c>
      <c r="C564" s="171">
        <v>45709</v>
      </c>
      <c r="D564" s="172" t="s">
        <v>25</v>
      </c>
      <c r="E564" s="140" t="s">
        <v>19</v>
      </c>
      <c r="F564" s="140" t="s">
        <v>188</v>
      </c>
      <c r="G564" s="140" t="s">
        <v>21</v>
      </c>
      <c r="H564" s="140" t="s">
        <v>186</v>
      </c>
      <c r="I564" s="140" t="s">
        <v>21</v>
      </c>
      <c r="J564" s="174"/>
    </row>
    <row r="565" hidden="1" customHeight="1" spans="1:10">
      <c r="A565" s="140" t="s">
        <v>259</v>
      </c>
      <c r="B565" s="140" t="s">
        <v>198</v>
      </c>
      <c r="C565" s="171">
        <v>45710</v>
      </c>
      <c r="D565" s="172" t="s">
        <v>27</v>
      </c>
      <c r="E565" s="173" t="s">
        <v>13</v>
      </c>
      <c r="F565" s="140" t="s">
        <v>14</v>
      </c>
      <c r="G565" s="140" t="s">
        <v>14</v>
      </c>
      <c r="H565" s="140" t="s">
        <v>14</v>
      </c>
      <c r="I565" s="140" t="s">
        <v>14</v>
      </c>
      <c r="J565" s="174"/>
    </row>
    <row r="566" hidden="1" customHeight="1" spans="1:10">
      <c r="A566" s="140" t="s">
        <v>259</v>
      </c>
      <c r="B566" s="140" t="s">
        <v>198</v>
      </c>
      <c r="C566" s="171">
        <v>45711</v>
      </c>
      <c r="D566" s="172" t="s">
        <v>15</v>
      </c>
      <c r="E566" s="173" t="s">
        <v>13</v>
      </c>
      <c r="F566" s="140" t="s">
        <v>14</v>
      </c>
      <c r="G566" s="140" t="s">
        <v>14</v>
      </c>
      <c r="H566" s="140" t="s">
        <v>14</v>
      </c>
      <c r="I566" s="140" t="s">
        <v>14</v>
      </c>
      <c r="J566" s="174"/>
    </row>
    <row r="567" hidden="1" customHeight="1" spans="1:10">
      <c r="A567" s="140" t="s">
        <v>259</v>
      </c>
      <c r="B567" s="140" t="s">
        <v>198</v>
      </c>
      <c r="C567" s="171">
        <v>45712</v>
      </c>
      <c r="D567" s="172" t="s">
        <v>16</v>
      </c>
      <c r="E567" s="140" t="s">
        <v>19</v>
      </c>
      <c r="F567" s="140" t="s">
        <v>146</v>
      </c>
      <c r="G567" s="140" t="s">
        <v>21</v>
      </c>
      <c r="H567" s="140" t="s">
        <v>168</v>
      </c>
      <c r="I567" s="140" t="s">
        <v>21</v>
      </c>
      <c r="J567" s="174"/>
    </row>
    <row r="568" hidden="1" customHeight="1" spans="1:10">
      <c r="A568" s="140" t="s">
        <v>259</v>
      </c>
      <c r="B568" s="140" t="s">
        <v>198</v>
      </c>
      <c r="C568" s="171">
        <v>45713</v>
      </c>
      <c r="D568" s="172" t="s">
        <v>17</v>
      </c>
      <c r="E568" s="140" t="s">
        <v>19</v>
      </c>
      <c r="F568" s="140" t="s">
        <v>139</v>
      </c>
      <c r="G568" s="140" t="s">
        <v>21</v>
      </c>
      <c r="H568" s="140" t="s">
        <v>241</v>
      </c>
      <c r="I568" s="140" t="s">
        <v>21</v>
      </c>
      <c r="J568" s="174"/>
    </row>
    <row r="569" hidden="1" customHeight="1" spans="1:10">
      <c r="A569" s="140" t="s">
        <v>259</v>
      </c>
      <c r="B569" s="140" t="s">
        <v>198</v>
      </c>
      <c r="C569" s="171">
        <v>45714</v>
      </c>
      <c r="D569" s="172" t="s">
        <v>18</v>
      </c>
      <c r="E569" s="140" t="s">
        <v>19</v>
      </c>
      <c r="F569" s="140" t="s">
        <v>195</v>
      </c>
      <c r="G569" s="140" t="s">
        <v>21</v>
      </c>
      <c r="H569" s="140" t="s">
        <v>186</v>
      </c>
      <c r="I569" s="140" t="s">
        <v>21</v>
      </c>
      <c r="J569" s="174"/>
    </row>
    <row r="570" hidden="1" customHeight="1" spans="1:10">
      <c r="A570" s="140" t="s">
        <v>259</v>
      </c>
      <c r="B570" s="140" t="s">
        <v>198</v>
      </c>
      <c r="C570" s="171">
        <v>45715</v>
      </c>
      <c r="D570" s="172" t="s">
        <v>23</v>
      </c>
      <c r="E570" s="140" t="s">
        <v>19</v>
      </c>
      <c r="F570" s="140" t="s">
        <v>139</v>
      </c>
      <c r="G570" s="140" t="s">
        <v>21</v>
      </c>
      <c r="H570" s="140" t="s">
        <v>91</v>
      </c>
      <c r="I570" s="140" t="s">
        <v>21</v>
      </c>
      <c r="J570" s="174"/>
    </row>
    <row r="571" hidden="1" customHeight="1" spans="1:10">
      <c r="A571" s="140" t="s">
        <v>259</v>
      </c>
      <c r="B571" s="140" t="s">
        <v>198</v>
      </c>
      <c r="C571" s="171">
        <v>45716</v>
      </c>
      <c r="D571" s="172" t="s">
        <v>25</v>
      </c>
      <c r="E571" s="140" t="s">
        <v>19</v>
      </c>
      <c r="F571" s="140" t="s">
        <v>98</v>
      </c>
      <c r="G571" s="140" t="s">
        <v>21</v>
      </c>
      <c r="H571" s="140" t="s">
        <v>32</v>
      </c>
      <c r="I571" s="140" t="s">
        <v>21</v>
      </c>
      <c r="J571" s="174"/>
    </row>
    <row r="572" hidden="1" customHeight="1" spans="1:10">
      <c r="A572" s="140" t="s">
        <v>261</v>
      </c>
      <c r="B572" s="140" t="s">
        <v>237</v>
      </c>
      <c r="C572" s="171">
        <v>45689</v>
      </c>
      <c r="D572" s="172" t="s">
        <v>12</v>
      </c>
      <c r="E572" s="173" t="s">
        <v>13</v>
      </c>
      <c r="F572" s="140" t="s">
        <v>14</v>
      </c>
      <c r="G572" s="140" t="s">
        <v>14</v>
      </c>
      <c r="H572" s="140" t="s">
        <v>14</v>
      </c>
      <c r="I572" s="140" t="s">
        <v>14</v>
      </c>
      <c r="J572" s="174"/>
    </row>
    <row r="573" hidden="1" customHeight="1" spans="1:10">
      <c r="A573" s="140" t="s">
        <v>261</v>
      </c>
      <c r="B573" s="140" t="s">
        <v>237</v>
      </c>
      <c r="C573" s="171">
        <v>45690</v>
      </c>
      <c r="D573" s="172" t="s">
        <v>15</v>
      </c>
      <c r="E573" s="173" t="s">
        <v>13</v>
      </c>
      <c r="F573" s="140" t="s">
        <v>14</v>
      </c>
      <c r="G573" s="140" t="s">
        <v>14</v>
      </c>
      <c r="H573" s="140" t="s">
        <v>14</v>
      </c>
      <c r="I573" s="140" t="s">
        <v>14</v>
      </c>
      <c r="J573" s="174"/>
    </row>
    <row r="574" hidden="1" customHeight="1" spans="1:10">
      <c r="A574" s="140" t="s">
        <v>261</v>
      </c>
      <c r="B574" s="140" t="s">
        <v>237</v>
      </c>
      <c r="C574" s="171">
        <v>45691</v>
      </c>
      <c r="D574" s="172" t="s">
        <v>16</v>
      </c>
      <c r="E574" s="173" t="s">
        <v>13</v>
      </c>
      <c r="F574" s="140" t="s">
        <v>14</v>
      </c>
      <c r="G574" s="140" t="s">
        <v>14</v>
      </c>
      <c r="H574" s="140" t="s">
        <v>14</v>
      </c>
      <c r="I574" s="140" t="s">
        <v>14</v>
      </c>
      <c r="J574" s="174"/>
    </row>
    <row r="575" hidden="1" customHeight="1" spans="1:10">
      <c r="A575" s="140" t="s">
        <v>261</v>
      </c>
      <c r="B575" s="140" t="s">
        <v>237</v>
      </c>
      <c r="C575" s="171">
        <v>45692</v>
      </c>
      <c r="D575" s="172" t="s">
        <v>17</v>
      </c>
      <c r="E575" s="173" t="s">
        <v>13</v>
      </c>
      <c r="F575" s="140" t="s">
        <v>14</v>
      </c>
      <c r="G575" s="140" t="s">
        <v>14</v>
      </c>
      <c r="H575" s="140" t="s">
        <v>14</v>
      </c>
      <c r="I575" s="140" t="s">
        <v>14</v>
      </c>
      <c r="J575" s="174"/>
    </row>
    <row r="576" hidden="1" customHeight="1" spans="1:10">
      <c r="A576" s="140" t="s">
        <v>261</v>
      </c>
      <c r="B576" s="140" t="s">
        <v>237</v>
      </c>
      <c r="C576" s="171">
        <v>45693</v>
      </c>
      <c r="D576" s="172" t="s">
        <v>18</v>
      </c>
      <c r="E576" s="140" t="s">
        <v>19</v>
      </c>
      <c r="F576" s="140" t="s">
        <v>154</v>
      </c>
      <c r="G576" s="140" t="s">
        <v>21</v>
      </c>
      <c r="H576" s="140" t="s">
        <v>184</v>
      </c>
      <c r="I576" s="140" t="s">
        <v>21</v>
      </c>
      <c r="J576" s="174"/>
    </row>
    <row r="577" hidden="1" customHeight="1" spans="1:10">
      <c r="A577" s="140" t="s">
        <v>261</v>
      </c>
      <c r="B577" s="140" t="s">
        <v>237</v>
      </c>
      <c r="C577" s="171">
        <v>45694</v>
      </c>
      <c r="D577" s="172" t="s">
        <v>23</v>
      </c>
      <c r="E577" s="140" t="s">
        <v>19</v>
      </c>
      <c r="F577" s="140" t="s">
        <v>157</v>
      </c>
      <c r="G577" s="140" t="s">
        <v>21</v>
      </c>
      <c r="H577" s="140" t="s">
        <v>168</v>
      </c>
      <c r="I577" s="140" t="s">
        <v>21</v>
      </c>
      <c r="J577" s="174"/>
    </row>
    <row r="578" hidden="1" customHeight="1" spans="1:10">
      <c r="A578" s="140" t="s">
        <v>261</v>
      </c>
      <c r="B578" s="140" t="s">
        <v>237</v>
      </c>
      <c r="C578" s="171">
        <v>45695</v>
      </c>
      <c r="D578" s="172" t="s">
        <v>25</v>
      </c>
      <c r="E578" s="140" t="s">
        <v>19</v>
      </c>
      <c r="F578" s="140" t="s">
        <v>157</v>
      </c>
      <c r="G578" s="140" t="s">
        <v>21</v>
      </c>
      <c r="H578" s="140" t="s">
        <v>184</v>
      </c>
      <c r="I578" s="140" t="s">
        <v>21</v>
      </c>
      <c r="J578" s="174"/>
    </row>
    <row r="579" hidden="1" customHeight="1" spans="1:10">
      <c r="A579" s="140" t="s">
        <v>261</v>
      </c>
      <c r="B579" s="140" t="s">
        <v>237</v>
      </c>
      <c r="C579" s="171">
        <v>45696</v>
      </c>
      <c r="D579" s="172" t="s">
        <v>27</v>
      </c>
      <c r="E579" s="140" t="s">
        <v>19</v>
      </c>
      <c r="F579" s="140" t="s">
        <v>30</v>
      </c>
      <c r="G579" s="140" t="s">
        <v>21</v>
      </c>
      <c r="H579" s="140" t="s">
        <v>172</v>
      </c>
      <c r="I579" s="140" t="s">
        <v>21</v>
      </c>
      <c r="J579" s="174"/>
    </row>
    <row r="580" hidden="1" customHeight="1" spans="1:10">
      <c r="A580" s="140" t="s">
        <v>261</v>
      </c>
      <c r="B580" s="140" t="s">
        <v>237</v>
      </c>
      <c r="C580" s="171">
        <v>45697</v>
      </c>
      <c r="D580" s="172" t="s">
        <v>15</v>
      </c>
      <c r="E580" s="173" t="s">
        <v>13</v>
      </c>
      <c r="F580" s="140" t="s">
        <v>14</v>
      </c>
      <c r="G580" s="140" t="s">
        <v>14</v>
      </c>
      <c r="H580" s="140" t="s">
        <v>14</v>
      </c>
      <c r="I580" s="140" t="s">
        <v>14</v>
      </c>
      <c r="J580" s="174"/>
    </row>
    <row r="581" hidden="1" customHeight="1" spans="1:10">
      <c r="A581" s="140" t="s">
        <v>261</v>
      </c>
      <c r="B581" s="140" t="s">
        <v>237</v>
      </c>
      <c r="C581" s="171">
        <v>45698</v>
      </c>
      <c r="D581" s="172" t="s">
        <v>16</v>
      </c>
      <c r="E581" s="140" t="s">
        <v>19</v>
      </c>
      <c r="F581" s="140" t="s">
        <v>157</v>
      </c>
      <c r="G581" s="140" t="s">
        <v>21</v>
      </c>
      <c r="H581" s="140" t="s">
        <v>168</v>
      </c>
      <c r="I581" s="140" t="s">
        <v>21</v>
      </c>
      <c r="J581" s="174"/>
    </row>
    <row r="582" hidden="1" customHeight="1" spans="1:10">
      <c r="A582" s="140" t="s">
        <v>261</v>
      </c>
      <c r="B582" s="140" t="s">
        <v>237</v>
      </c>
      <c r="C582" s="171">
        <v>45699</v>
      </c>
      <c r="D582" s="172" t="s">
        <v>17</v>
      </c>
      <c r="E582" s="140" t="s">
        <v>19</v>
      </c>
      <c r="F582" s="140" t="s">
        <v>30</v>
      </c>
      <c r="G582" s="140" t="s">
        <v>21</v>
      </c>
      <c r="H582" s="140" t="s">
        <v>172</v>
      </c>
      <c r="I582" s="140" t="s">
        <v>21</v>
      </c>
      <c r="J582" s="174"/>
    </row>
    <row r="583" hidden="1" customHeight="1" spans="1:10">
      <c r="A583" s="140" t="s">
        <v>261</v>
      </c>
      <c r="B583" s="140" t="s">
        <v>237</v>
      </c>
      <c r="C583" s="171">
        <v>45700</v>
      </c>
      <c r="D583" s="172" t="s">
        <v>18</v>
      </c>
      <c r="E583" s="140" t="s">
        <v>19</v>
      </c>
      <c r="F583" s="140" t="s">
        <v>154</v>
      </c>
      <c r="G583" s="140" t="s">
        <v>21</v>
      </c>
      <c r="H583" s="140" t="s">
        <v>122</v>
      </c>
      <c r="I583" s="140" t="s">
        <v>21</v>
      </c>
      <c r="J583" s="174"/>
    </row>
    <row r="584" hidden="1" customHeight="1" spans="1:10">
      <c r="A584" s="140" t="s">
        <v>261</v>
      </c>
      <c r="B584" s="140" t="s">
        <v>237</v>
      </c>
      <c r="C584" s="171">
        <v>45701</v>
      </c>
      <c r="D584" s="172" t="s">
        <v>23</v>
      </c>
      <c r="E584" s="140" t="s">
        <v>19</v>
      </c>
      <c r="F584" s="140" t="s">
        <v>157</v>
      </c>
      <c r="G584" s="140" t="s">
        <v>21</v>
      </c>
      <c r="H584" s="140" t="s">
        <v>78</v>
      </c>
      <c r="I584" s="140" t="s">
        <v>21</v>
      </c>
      <c r="J584" s="174"/>
    </row>
    <row r="585" hidden="1" customHeight="1" spans="1:10">
      <c r="A585" s="140" t="s">
        <v>261</v>
      </c>
      <c r="B585" s="140" t="s">
        <v>237</v>
      </c>
      <c r="C585" s="171">
        <v>45702</v>
      </c>
      <c r="D585" s="172" t="s">
        <v>25</v>
      </c>
      <c r="E585" s="140" t="s">
        <v>19</v>
      </c>
      <c r="F585" s="140" t="s">
        <v>28</v>
      </c>
      <c r="G585" s="140" t="s">
        <v>21</v>
      </c>
      <c r="H585" s="140" t="s">
        <v>155</v>
      </c>
      <c r="I585" s="140" t="s">
        <v>21</v>
      </c>
      <c r="J585" s="174"/>
    </row>
    <row r="586" hidden="1" customHeight="1" spans="1:10">
      <c r="A586" s="140" t="s">
        <v>261</v>
      </c>
      <c r="B586" s="140" t="s">
        <v>237</v>
      </c>
      <c r="C586" s="171">
        <v>45703</v>
      </c>
      <c r="D586" s="172" t="s">
        <v>27</v>
      </c>
      <c r="E586" s="173" t="s">
        <v>13</v>
      </c>
      <c r="F586" s="140" t="s">
        <v>20</v>
      </c>
      <c r="G586" s="140" t="s">
        <v>21</v>
      </c>
      <c r="H586" s="140" t="s">
        <v>262</v>
      </c>
      <c r="I586" s="140" t="s">
        <v>21</v>
      </c>
      <c r="J586" s="174"/>
    </row>
    <row r="587" hidden="1" customHeight="1" spans="1:10">
      <c r="A587" s="140" t="s">
        <v>261</v>
      </c>
      <c r="B587" s="140" t="s">
        <v>237</v>
      </c>
      <c r="C587" s="171">
        <v>45704</v>
      </c>
      <c r="D587" s="172" t="s">
        <v>15</v>
      </c>
      <c r="E587" s="173" t="s">
        <v>13</v>
      </c>
      <c r="F587" s="140" t="s">
        <v>14</v>
      </c>
      <c r="G587" s="140" t="s">
        <v>14</v>
      </c>
      <c r="H587" s="140" t="s">
        <v>14</v>
      </c>
      <c r="I587" s="140" t="s">
        <v>14</v>
      </c>
      <c r="J587" s="174"/>
    </row>
    <row r="588" hidden="1" customHeight="1" spans="1:10">
      <c r="A588" s="140" t="s">
        <v>261</v>
      </c>
      <c r="B588" s="140" t="s">
        <v>237</v>
      </c>
      <c r="C588" s="171">
        <v>45705</v>
      </c>
      <c r="D588" s="172" t="s">
        <v>16</v>
      </c>
      <c r="E588" s="140" t="s">
        <v>19</v>
      </c>
      <c r="F588" s="140" t="s">
        <v>33</v>
      </c>
      <c r="G588" s="140" t="s">
        <v>21</v>
      </c>
      <c r="H588" s="140" t="s">
        <v>45</v>
      </c>
      <c r="I588" s="140" t="s">
        <v>21</v>
      </c>
      <c r="J588" s="174"/>
    </row>
    <row r="589" hidden="1" customHeight="1" spans="1:10">
      <c r="A589" s="140" t="s">
        <v>261</v>
      </c>
      <c r="B589" s="140" t="s">
        <v>237</v>
      </c>
      <c r="C589" s="171">
        <v>45706</v>
      </c>
      <c r="D589" s="172" t="s">
        <v>17</v>
      </c>
      <c r="E589" s="140" t="s">
        <v>19</v>
      </c>
      <c r="F589" s="140" t="s">
        <v>28</v>
      </c>
      <c r="G589" s="140" t="s">
        <v>21</v>
      </c>
      <c r="H589" s="140" t="s">
        <v>184</v>
      </c>
      <c r="I589" s="140" t="s">
        <v>21</v>
      </c>
      <c r="J589" s="174"/>
    </row>
    <row r="590" hidden="1" customHeight="1" spans="1:10">
      <c r="A590" s="140" t="s">
        <v>261</v>
      </c>
      <c r="B590" s="140" t="s">
        <v>237</v>
      </c>
      <c r="C590" s="171">
        <v>45707</v>
      </c>
      <c r="D590" s="172" t="s">
        <v>18</v>
      </c>
      <c r="E590" s="140" t="s">
        <v>19</v>
      </c>
      <c r="F590" s="140" t="s">
        <v>28</v>
      </c>
      <c r="G590" s="140" t="s">
        <v>21</v>
      </c>
      <c r="H590" s="140" t="s">
        <v>184</v>
      </c>
      <c r="I590" s="140" t="s">
        <v>21</v>
      </c>
      <c r="J590" s="174"/>
    </row>
    <row r="591" hidden="1" customHeight="1" spans="1:10">
      <c r="A591" s="140" t="s">
        <v>261</v>
      </c>
      <c r="B591" s="140" t="s">
        <v>237</v>
      </c>
      <c r="C591" s="171">
        <v>45708</v>
      </c>
      <c r="D591" s="172" t="s">
        <v>23</v>
      </c>
      <c r="E591" s="140" t="s">
        <v>19</v>
      </c>
      <c r="F591" s="140" t="s">
        <v>157</v>
      </c>
      <c r="G591" s="140" t="s">
        <v>21</v>
      </c>
      <c r="H591" s="140" t="s">
        <v>78</v>
      </c>
      <c r="I591" s="140" t="s">
        <v>21</v>
      </c>
      <c r="J591" s="174"/>
    </row>
    <row r="592" hidden="1" customHeight="1" spans="1:10">
      <c r="A592" s="140" t="s">
        <v>261</v>
      </c>
      <c r="B592" s="140" t="s">
        <v>237</v>
      </c>
      <c r="C592" s="171">
        <v>45709</v>
      </c>
      <c r="D592" s="172" t="s">
        <v>25</v>
      </c>
      <c r="E592" s="140" t="s">
        <v>19</v>
      </c>
      <c r="F592" s="140" t="s">
        <v>143</v>
      </c>
      <c r="G592" s="140" t="s">
        <v>21</v>
      </c>
      <c r="H592" s="140" t="s">
        <v>184</v>
      </c>
      <c r="I592" s="140" t="s">
        <v>21</v>
      </c>
      <c r="J592" s="175"/>
    </row>
    <row r="593" hidden="1" customHeight="1" spans="1:10">
      <c r="A593" s="140" t="s">
        <v>261</v>
      </c>
      <c r="B593" s="140" t="s">
        <v>237</v>
      </c>
      <c r="C593" s="171">
        <v>45710</v>
      </c>
      <c r="D593" s="172" t="s">
        <v>27</v>
      </c>
      <c r="E593" s="173" t="s">
        <v>13</v>
      </c>
      <c r="F593" s="140" t="s">
        <v>14</v>
      </c>
      <c r="G593" s="140" t="s">
        <v>14</v>
      </c>
      <c r="H593" s="140" t="s">
        <v>14</v>
      </c>
      <c r="I593" s="140" t="s">
        <v>14</v>
      </c>
      <c r="J593" s="175"/>
    </row>
    <row r="594" hidden="1" customHeight="1" spans="1:10">
      <c r="A594" s="140" t="s">
        <v>261</v>
      </c>
      <c r="B594" s="140" t="s">
        <v>237</v>
      </c>
      <c r="C594" s="171">
        <v>45711</v>
      </c>
      <c r="D594" s="172" t="s">
        <v>15</v>
      </c>
      <c r="E594" s="173" t="s">
        <v>13</v>
      </c>
      <c r="F594" s="140" t="s">
        <v>14</v>
      </c>
      <c r="G594" s="140" t="s">
        <v>14</v>
      </c>
      <c r="H594" s="140" t="s">
        <v>14</v>
      </c>
      <c r="I594" s="140" t="s">
        <v>14</v>
      </c>
      <c r="J594" s="175"/>
    </row>
    <row r="595" customHeight="1" spans="1:10">
      <c r="A595" s="140" t="s">
        <v>261</v>
      </c>
      <c r="B595" s="140" t="s">
        <v>237</v>
      </c>
      <c r="C595" s="171">
        <v>45712</v>
      </c>
      <c r="D595" s="172" t="s">
        <v>16</v>
      </c>
      <c r="E595" s="140" t="s">
        <v>19</v>
      </c>
      <c r="F595" s="140" t="s">
        <v>14</v>
      </c>
      <c r="G595" s="176" t="s">
        <v>68</v>
      </c>
      <c r="H595" s="140" t="s">
        <v>14</v>
      </c>
      <c r="I595" s="176" t="s">
        <v>68</v>
      </c>
      <c r="J595" s="174" t="s">
        <v>234</v>
      </c>
    </row>
    <row r="596" customHeight="1" spans="1:10">
      <c r="A596" s="140" t="s">
        <v>261</v>
      </c>
      <c r="B596" s="140" t="s">
        <v>237</v>
      </c>
      <c r="C596" s="171">
        <v>45713</v>
      </c>
      <c r="D596" s="172" t="s">
        <v>17</v>
      </c>
      <c r="E596" s="140" t="s">
        <v>19</v>
      </c>
      <c r="F596" s="140" t="s">
        <v>14</v>
      </c>
      <c r="G596" s="176" t="s">
        <v>68</v>
      </c>
      <c r="H596" s="140" t="s">
        <v>14</v>
      </c>
      <c r="I596" s="176" t="s">
        <v>68</v>
      </c>
      <c r="J596" s="174" t="s">
        <v>234</v>
      </c>
    </row>
    <row r="597" customHeight="1" spans="1:10">
      <c r="A597" s="140" t="s">
        <v>261</v>
      </c>
      <c r="B597" s="140" t="s">
        <v>237</v>
      </c>
      <c r="C597" s="171">
        <v>45714</v>
      </c>
      <c r="D597" s="172" t="s">
        <v>18</v>
      </c>
      <c r="E597" s="140" t="s">
        <v>19</v>
      </c>
      <c r="F597" s="140" t="s">
        <v>14</v>
      </c>
      <c r="G597" s="176" t="s">
        <v>68</v>
      </c>
      <c r="H597" s="140" t="s">
        <v>14</v>
      </c>
      <c r="I597" s="176" t="s">
        <v>68</v>
      </c>
      <c r="J597" s="174" t="s">
        <v>234</v>
      </c>
    </row>
    <row r="598" customHeight="1" spans="1:10">
      <c r="A598" s="140" t="s">
        <v>261</v>
      </c>
      <c r="B598" s="140" t="s">
        <v>237</v>
      </c>
      <c r="C598" s="171">
        <v>45715</v>
      </c>
      <c r="D598" s="172" t="s">
        <v>23</v>
      </c>
      <c r="E598" s="140" t="s">
        <v>19</v>
      </c>
      <c r="F598" s="140" t="s">
        <v>14</v>
      </c>
      <c r="G598" s="176" t="s">
        <v>68</v>
      </c>
      <c r="H598" s="140" t="s">
        <v>14</v>
      </c>
      <c r="I598" s="176" t="s">
        <v>68</v>
      </c>
      <c r="J598" s="174" t="s">
        <v>234</v>
      </c>
    </row>
    <row r="599" customHeight="1" spans="1:10">
      <c r="A599" s="140" t="s">
        <v>261</v>
      </c>
      <c r="B599" s="140" t="s">
        <v>237</v>
      </c>
      <c r="C599" s="171">
        <v>45716</v>
      </c>
      <c r="D599" s="172" t="s">
        <v>25</v>
      </c>
      <c r="E599" s="140" t="s">
        <v>19</v>
      </c>
      <c r="F599" s="140" t="s">
        <v>14</v>
      </c>
      <c r="G599" s="176" t="s">
        <v>68</v>
      </c>
      <c r="H599" s="140" t="s">
        <v>14</v>
      </c>
      <c r="I599" s="176" t="s">
        <v>68</v>
      </c>
      <c r="J599" s="174" t="s">
        <v>234</v>
      </c>
    </row>
    <row r="600" hidden="1" customHeight="1" spans="1:10">
      <c r="A600" s="140" t="s">
        <v>263</v>
      </c>
      <c r="B600" s="140" t="s">
        <v>237</v>
      </c>
      <c r="C600" s="171">
        <v>45689</v>
      </c>
      <c r="D600" s="172" t="s">
        <v>12</v>
      </c>
      <c r="E600" s="173" t="s">
        <v>13</v>
      </c>
      <c r="F600" s="140" t="s">
        <v>14</v>
      </c>
      <c r="G600" s="140" t="s">
        <v>14</v>
      </c>
      <c r="H600" s="140" t="s">
        <v>14</v>
      </c>
      <c r="I600" s="140" t="s">
        <v>14</v>
      </c>
      <c r="J600" s="174"/>
    </row>
    <row r="601" hidden="1" customHeight="1" spans="1:10">
      <c r="A601" s="140" t="s">
        <v>263</v>
      </c>
      <c r="B601" s="140" t="s">
        <v>237</v>
      </c>
      <c r="C601" s="171">
        <v>45690</v>
      </c>
      <c r="D601" s="172" t="s">
        <v>15</v>
      </c>
      <c r="E601" s="173" t="s">
        <v>13</v>
      </c>
      <c r="F601" s="140" t="s">
        <v>14</v>
      </c>
      <c r="G601" s="140" t="s">
        <v>14</v>
      </c>
      <c r="H601" s="140" t="s">
        <v>14</v>
      </c>
      <c r="I601" s="140" t="s">
        <v>14</v>
      </c>
      <c r="J601" s="174"/>
    </row>
    <row r="602" hidden="1" customHeight="1" spans="1:10">
      <c r="A602" s="140" t="s">
        <v>263</v>
      </c>
      <c r="B602" s="140" t="s">
        <v>237</v>
      </c>
      <c r="C602" s="171">
        <v>45691</v>
      </c>
      <c r="D602" s="172" t="s">
        <v>16</v>
      </c>
      <c r="E602" s="173" t="s">
        <v>13</v>
      </c>
      <c r="F602" s="140" t="s">
        <v>14</v>
      </c>
      <c r="G602" s="140" t="s">
        <v>14</v>
      </c>
      <c r="H602" s="140" t="s">
        <v>14</v>
      </c>
      <c r="I602" s="140" t="s">
        <v>14</v>
      </c>
      <c r="J602" s="174"/>
    </row>
    <row r="603" hidden="1" customHeight="1" spans="1:10">
      <c r="A603" s="140" t="s">
        <v>263</v>
      </c>
      <c r="B603" s="140" t="s">
        <v>237</v>
      </c>
      <c r="C603" s="171">
        <v>45692</v>
      </c>
      <c r="D603" s="172" t="s">
        <v>17</v>
      </c>
      <c r="E603" s="173" t="s">
        <v>13</v>
      </c>
      <c r="F603" s="140" t="s">
        <v>14</v>
      </c>
      <c r="G603" s="140" t="s">
        <v>14</v>
      </c>
      <c r="H603" s="140" t="s">
        <v>14</v>
      </c>
      <c r="I603" s="140" t="s">
        <v>14</v>
      </c>
      <c r="J603" s="174"/>
    </row>
    <row r="604" hidden="1" customHeight="1" spans="1:10">
      <c r="A604" s="140" t="s">
        <v>263</v>
      </c>
      <c r="B604" s="140" t="s">
        <v>237</v>
      </c>
      <c r="C604" s="171">
        <v>45693</v>
      </c>
      <c r="D604" s="172" t="s">
        <v>18</v>
      </c>
      <c r="E604" s="140" t="s">
        <v>19</v>
      </c>
      <c r="F604" s="140" t="s">
        <v>110</v>
      </c>
      <c r="G604" s="140" t="s">
        <v>21</v>
      </c>
      <c r="H604" s="140" t="s">
        <v>215</v>
      </c>
      <c r="I604" s="140" t="s">
        <v>21</v>
      </c>
      <c r="J604" s="174"/>
    </row>
    <row r="605" hidden="1" customHeight="1" spans="1:10">
      <c r="A605" s="140" t="s">
        <v>263</v>
      </c>
      <c r="B605" s="140" t="s">
        <v>237</v>
      </c>
      <c r="C605" s="171">
        <v>45694</v>
      </c>
      <c r="D605" s="172" t="s">
        <v>23</v>
      </c>
      <c r="E605" s="140" t="s">
        <v>19</v>
      </c>
      <c r="F605" s="140" t="s">
        <v>150</v>
      </c>
      <c r="G605" s="140" t="s">
        <v>21</v>
      </c>
      <c r="H605" s="140" t="s">
        <v>168</v>
      </c>
      <c r="I605" s="140" t="s">
        <v>21</v>
      </c>
      <c r="J605" s="174"/>
    </row>
    <row r="606" hidden="1" customHeight="1" spans="1:10">
      <c r="A606" s="140" t="s">
        <v>263</v>
      </c>
      <c r="B606" s="140" t="s">
        <v>237</v>
      </c>
      <c r="C606" s="171">
        <v>45695</v>
      </c>
      <c r="D606" s="172" t="s">
        <v>25</v>
      </c>
      <c r="E606" s="140" t="s">
        <v>19</v>
      </c>
      <c r="F606" s="140" t="s">
        <v>110</v>
      </c>
      <c r="G606" s="140" t="s">
        <v>21</v>
      </c>
      <c r="H606" s="140" t="s">
        <v>238</v>
      </c>
      <c r="I606" s="140" t="s">
        <v>21</v>
      </c>
      <c r="J606" s="174"/>
    </row>
    <row r="607" hidden="1" customHeight="1" spans="1:10">
      <c r="A607" s="140" t="s">
        <v>263</v>
      </c>
      <c r="B607" s="140" t="s">
        <v>237</v>
      </c>
      <c r="C607" s="171">
        <v>45696</v>
      </c>
      <c r="D607" s="172" t="s">
        <v>27</v>
      </c>
      <c r="E607" s="140" t="s">
        <v>19</v>
      </c>
      <c r="F607" s="140" t="s">
        <v>94</v>
      </c>
      <c r="G607" s="140" t="s">
        <v>21</v>
      </c>
      <c r="H607" s="140" t="s">
        <v>189</v>
      </c>
      <c r="I607" s="140" t="s">
        <v>21</v>
      </c>
      <c r="J607" s="174"/>
    </row>
    <row r="608" hidden="1" customHeight="1" spans="1:10">
      <c r="A608" s="140" t="s">
        <v>263</v>
      </c>
      <c r="B608" s="140" t="s">
        <v>237</v>
      </c>
      <c r="C608" s="171">
        <v>45697</v>
      </c>
      <c r="D608" s="172" t="s">
        <v>15</v>
      </c>
      <c r="E608" s="173" t="s">
        <v>13</v>
      </c>
      <c r="F608" s="140" t="s">
        <v>14</v>
      </c>
      <c r="G608" s="140" t="s">
        <v>14</v>
      </c>
      <c r="H608" s="140" t="s">
        <v>14</v>
      </c>
      <c r="I608" s="140" t="s">
        <v>14</v>
      </c>
      <c r="J608" s="174"/>
    </row>
    <row r="609" hidden="1" customHeight="1" spans="1:10">
      <c r="A609" s="140" t="s">
        <v>263</v>
      </c>
      <c r="B609" s="140" t="s">
        <v>237</v>
      </c>
      <c r="C609" s="171">
        <v>45698</v>
      </c>
      <c r="D609" s="172" t="s">
        <v>16</v>
      </c>
      <c r="E609" s="140" t="s">
        <v>19</v>
      </c>
      <c r="F609" s="140" t="s">
        <v>110</v>
      </c>
      <c r="G609" s="140" t="s">
        <v>21</v>
      </c>
      <c r="H609" s="140" t="s">
        <v>168</v>
      </c>
      <c r="I609" s="140" t="s">
        <v>21</v>
      </c>
      <c r="J609" s="174"/>
    </row>
    <row r="610" hidden="1" customHeight="1" spans="1:10">
      <c r="A610" s="140" t="s">
        <v>263</v>
      </c>
      <c r="B610" s="140" t="s">
        <v>237</v>
      </c>
      <c r="C610" s="171">
        <v>45699</v>
      </c>
      <c r="D610" s="172" t="s">
        <v>17</v>
      </c>
      <c r="E610" s="140" t="s">
        <v>19</v>
      </c>
      <c r="F610" s="140" t="s">
        <v>94</v>
      </c>
      <c r="G610" s="140" t="s">
        <v>21</v>
      </c>
      <c r="H610" s="140" t="s">
        <v>181</v>
      </c>
      <c r="I610" s="140" t="s">
        <v>21</v>
      </c>
      <c r="J610" s="174"/>
    </row>
    <row r="611" hidden="1" customHeight="1" spans="1:10">
      <c r="A611" s="140" t="s">
        <v>263</v>
      </c>
      <c r="B611" s="140" t="s">
        <v>237</v>
      </c>
      <c r="C611" s="171">
        <v>45700</v>
      </c>
      <c r="D611" s="172" t="s">
        <v>18</v>
      </c>
      <c r="E611" s="140" t="s">
        <v>19</v>
      </c>
      <c r="F611" s="140" t="s">
        <v>94</v>
      </c>
      <c r="G611" s="140" t="s">
        <v>21</v>
      </c>
      <c r="H611" s="140" t="s">
        <v>172</v>
      </c>
      <c r="I611" s="140" t="s">
        <v>21</v>
      </c>
      <c r="J611" s="174"/>
    </row>
    <row r="612" hidden="1" customHeight="1" spans="1:10">
      <c r="A612" s="140" t="s">
        <v>263</v>
      </c>
      <c r="B612" s="140" t="s">
        <v>237</v>
      </c>
      <c r="C612" s="171">
        <v>45701</v>
      </c>
      <c r="D612" s="172" t="s">
        <v>23</v>
      </c>
      <c r="E612" s="140" t="s">
        <v>19</v>
      </c>
      <c r="F612" s="140" t="s">
        <v>94</v>
      </c>
      <c r="G612" s="140" t="s">
        <v>21</v>
      </c>
      <c r="H612" s="140" t="s">
        <v>78</v>
      </c>
      <c r="I612" s="140" t="s">
        <v>21</v>
      </c>
      <c r="J612" s="174"/>
    </row>
    <row r="613" hidden="1" customHeight="1" spans="1:10">
      <c r="A613" s="140" t="s">
        <v>263</v>
      </c>
      <c r="B613" s="140" t="s">
        <v>237</v>
      </c>
      <c r="C613" s="171">
        <v>45702</v>
      </c>
      <c r="D613" s="172" t="s">
        <v>25</v>
      </c>
      <c r="E613" s="140" t="s">
        <v>19</v>
      </c>
      <c r="F613" s="140" t="s">
        <v>110</v>
      </c>
      <c r="G613" s="140" t="s">
        <v>21</v>
      </c>
      <c r="H613" s="140" t="s">
        <v>178</v>
      </c>
      <c r="I613" s="140" t="s">
        <v>21</v>
      </c>
      <c r="J613" s="174"/>
    </row>
    <row r="614" hidden="1" customHeight="1" spans="1:10">
      <c r="A614" s="140" t="s">
        <v>263</v>
      </c>
      <c r="B614" s="140" t="s">
        <v>237</v>
      </c>
      <c r="C614" s="171">
        <v>45703</v>
      </c>
      <c r="D614" s="172" t="s">
        <v>27</v>
      </c>
      <c r="E614" s="173" t="s">
        <v>13</v>
      </c>
      <c r="F614" s="140" t="s">
        <v>14</v>
      </c>
      <c r="G614" s="140" t="s">
        <v>14</v>
      </c>
      <c r="H614" s="140" t="s">
        <v>14</v>
      </c>
      <c r="I614" s="140" t="s">
        <v>14</v>
      </c>
      <c r="J614" s="174"/>
    </row>
    <row r="615" hidden="1" customHeight="1" spans="1:10">
      <c r="A615" s="140" t="s">
        <v>263</v>
      </c>
      <c r="B615" s="140" t="s">
        <v>237</v>
      </c>
      <c r="C615" s="171">
        <v>45704</v>
      </c>
      <c r="D615" s="172" t="s">
        <v>15</v>
      </c>
      <c r="E615" s="173" t="s">
        <v>13</v>
      </c>
      <c r="F615" s="140" t="s">
        <v>14</v>
      </c>
      <c r="G615" s="140" t="s">
        <v>14</v>
      </c>
      <c r="H615" s="140" t="s">
        <v>14</v>
      </c>
      <c r="I615" s="140" t="s">
        <v>14</v>
      </c>
      <c r="J615" s="174"/>
    </row>
    <row r="616" hidden="1" customHeight="1" spans="1:10">
      <c r="A616" s="140" t="s">
        <v>263</v>
      </c>
      <c r="B616" s="140" t="s">
        <v>237</v>
      </c>
      <c r="C616" s="171">
        <v>45705</v>
      </c>
      <c r="D616" s="172" t="s">
        <v>16</v>
      </c>
      <c r="E616" s="140" t="s">
        <v>19</v>
      </c>
      <c r="F616" s="140" t="s">
        <v>110</v>
      </c>
      <c r="G616" s="140" t="s">
        <v>21</v>
      </c>
      <c r="H616" s="140" t="s">
        <v>168</v>
      </c>
      <c r="I616" s="140" t="s">
        <v>21</v>
      </c>
      <c r="J616" s="174"/>
    </row>
    <row r="617" hidden="1" customHeight="1" spans="1:10">
      <c r="A617" s="140" t="s">
        <v>263</v>
      </c>
      <c r="B617" s="140" t="s">
        <v>237</v>
      </c>
      <c r="C617" s="171">
        <v>45706</v>
      </c>
      <c r="D617" s="172" t="s">
        <v>17</v>
      </c>
      <c r="E617" s="140" t="s">
        <v>19</v>
      </c>
      <c r="F617" s="140" t="s">
        <v>110</v>
      </c>
      <c r="G617" s="140" t="s">
        <v>21</v>
      </c>
      <c r="H617" s="140" t="s">
        <v>189</v>
      </c>
      <c r="I617" s="140" t="s">
        <v>21</v>
      </c>
      <c r="J617" s="174"/>
    </row>
    <row r="618" hidden="1" customHeight="1" spans="1:10">
      <c r="A618" s="140" t="s">
        <v>263</v>
      </c>
      <c r="B618" s="140" t="s">
        <v>237</v>
      </c>
      <c r="C618" s="171">
        <v>45707</v>
      </c>
      <c r="D618" s="172" t="s">
        <v>18</v>
      </c>
      <c r="E618" s="140" t="s">
        <v>19</v>
      </c>
      <c r="F618" s="140" t="s">
        <v>110</v>
      </c>
      <c r="G618" s="140" t="s">
        <v>21</v>
      </c>
      <c r="H618" s="140" t="s">
        <v>122</v>
      </c>
      <c r="I618" s="140" t="s">
        <v>21</v>
      </c>
      <c r="J618" s="174"/>
    </row>
    <row r="619" hidden="1" customHeight="1" spans="1:10">
      <c r="A619" s="140" t="s">
        <v>263</v>
      </c>
      <c r="B619" s="140" t="s">
        <v>237</v>
      </c>
      <c r="C619" s="171">
        <v>45708</v>
      </c>
      <c r="D619" s="172" t="s">
        <v>23</v>
      </c>
      <c r="E619" s="140" t="s">
        <v>19</v>
      </c>
      <c r="F619" s="140" t="s">
        <v>110</v>
      </c>
      <c r="G619" s="140" t="s">
        <v>21</v>
      </c>
      <c r="H619" s="140" t="s">
        <v>168</v>
      </c>
      <c r="I619" s="140" t="s">
        <v>21</v>
      </c>
      <c r="J619" s="174"/>
    </row>
    <row r="620" hidden="1" customHeight="1" spans="1:10">
      <c r="A620" s="140" t="s">
        <v>263</v>
      </c>
      <c r="B620" s="140" t="s">
        <v>237</v>
      </c>
      <c r="C620" s="171">
        <v>45709</v>
      </c>
      <c r="D620" s="172" t="s">
        <v>25</v>
      </c>
      <c r="E620" s="140" t="s">
        <v>19</v>
      </c>
      <c r="F620" s="140" t="s">
        <v>98</v>
      </c>
      <c r="G620" s="140" t="s">
        <v>21</v>
      </c>
      <c r="H620" s="140" t="s">
        <v>184</v>
      </c>
      <c r="I620" s="140" t="s">
        <v>21</v>
      </c>
      <c r="J620" s="174"/>
    </row>
    <row r="621" hidden="1" customHeight="1" spans="1:10">
      <c r="A621" s="140" t="s">
        <v>263</v>
      </c>
      <c r="B621" s="140" t="s">
        <v>237</v>
      </c>
      <c r="C621" s="171">
        <v>45710</v>
      </c>
      <c r="D621" s="172" t="s">
        <v>27</v>
      </c>
      <c r="E621" s="173" t="s">
        <v>13</v>
      </c>
      <c r="F621" s="140" t="s">
        <v>14</v>
      </c>
      <c r="G621" s="140" t="s">
        <v>14</v>
      </c>
      <c r="H621" s="140" t="s">
        <v>14</v>
      </c>
      <c r="I621" s="140" t="s">
        <v>14</v>
      </c>
      <c r="J621" s="174"/>
    </row>
    <row r="622" hidden="1" customHeight="1" spans="1:10">
      <c r="A622" s="140" t="s">
        <v>263</v>
      </c>
      <c r="B622" s="140" t="s">
        <v>237</v>
      </c>
      <c r="C622" s="171">
        <v>45711</v>
      </c>
      <c r="D622" s="172" t="s">
        <v>15</v>
      </c>
      <c r="E622" s="173" t="s">
        <v>13</v>
      </c>
      <c r="F622" s="140" t="s">
        <v>14</v>
      </c>
      <c r="G622" s="140" t="s">
        <v>14</v>
      </c>
      <c r="H622" s="140" t="s">
        <v>14</v>
      </c>
      <c r="I622" s="140" t="s">
        <v>14</v>
      </c>
      <c r="J622" s="174"/>
    </row>
    <row r="623" hidden="1" customHeight="1" spans="1:10">
      <c r="A623" s="140" t="s">
        <v>263</v>
      </c>
      <c r="B623" s="140" t="s">
        <v>237</v>
      </c>
      <c r="C623" s="171">
        <v>45712</v>
      </c>
      <c r="D623" s="172" t="s">
        <v>16</v>
      </c>
      <c r="E623" s="140" t="s">
        <v>19</v>
      </c>
      <c r="F623" s="140" t="s">
        <v>110</v>
      </c>
      <c r="G623" s="140" t="s">
        <v>21</v>
      </c>
      <c r="H623" s="140" t="s">
        <v>78</v>
      </c>
      <c r="I623" s="140" t="s">
        <v>21</v>
      </c>
      <c r="J623" s="174"/>
    </row>
    <row r="624" hidden="1" customHeight="1" spans="1:10">
      <c r="A624" s="140" t="s">
        <v>263</v>
      </c>
      <c r="B624" s="140" t="s">
        <v>237</v>
      </c>
      <c r="C624" s="171">
        <v>45713</v>
      </c>
      <c r="D624" s="172" t="s">
        <v>17</v>
      </c>
      <c r="E624" s="140" t="s">
        <v>19</v>
      </c>
      <c r="F624" s="140" t="s">
        <v>94</v>
      </c>
      <c r="G624" s="140" t="s">
        <v>21</v>
      </c>
      <c r="H624" s="140" t="s">
        <v>238</v>
      </c>
      <c r="I624" s="140" t="s">
        <v>21</v>
      </c>
      <c r="J624" s="174"/>
    </row>
    <row r="625" hidden="1" customHeight="1" spans="1:10">
      <c r="A625" s="140" t="s">
        <v>263</v>
      </c>
      <c r="B625" s="140" t="s">
        <v>237</v>
      </c>
      <c r="C625" s="171">
        <v>45714</v>
      </c>
      <c r="D625" s="172" t="s">
        <v>18</v>
      </c>
      <c r="E625" s="140" t="s">
        <v>19</v>
      </c>
      <c r="F625" s="140" t="s">
        <v>98</v>
      </c>
      <c r="G625" s="140" t="s">
        <v>21</v>
      </c>
      <c r="H625" s="140" t="s">
        <v>200</v>
      </c>
      <c r="I625" s="140" t="s">
        <v>21</v>
      </c>
      <c r="J625" s="174"/>
    </row>
    <row r="626" hidden="1" customHeight="1" spans="1:10">
      <c r="A626" s="140" t="s">
        <v>263</v>
      </c>
      <c r="B626" s="140" t="s">
        <v>237</v>
      </c>
      <c r="C626" s="171">
        <v>45715</v>
      </c>
      <c r="D626" s="172" t="s">
        <v>23</v>
      </c>
      <c r="E626" s="140" t="s">
        <v>19</v>
      </c>
      <c r="F626" s="140" t="s">
        <v>98</v>
      </c>
      <c r="G626" s="140" t="s">
        <v>21</v>
      </c>
      <c r="H626" s="140" t="s">
        <v>168</v>
      </c>
      <c r="I626" s="140" t="s">
        <v>21</v>
      </c>
      <c r="J626" s="174"/>
    </row>
    <row r="627" hidden="1" customHeight="1" spans="1:10">
      <c r="A627" s="140" t="s">
        <v>263</v>
      </c>
      <c r="B627" s="140" t="s">
        <v>237</v>
      </c>
      <c r="C627" s="171">
        <v>45716</v>
      </c>
      <c r="D627" s="172" t="s">
        <v>25</v>
      </c>
      <c r="E627" s="140" t="s">
        <v>19</v>
      </c>
      <c r="F627" s="140" t="s">
        <v>98</v>
      </c>
      <c r="G627" s="140" t="s">
        <v>21</v>
      </c>
      <c r="H627" s="140" t="s">
        <v>245</v>
      </c>
      <c r="I627" s="140" t="s">
        <v>21</v>
      </c>
      <c r="J627" s="174"/>
    </row>
    <row r="628" hidden="1" customHeight="1" spans="1:10">
      <c r="A628" s="140" t="s">
        <v>264</v>
      </c>
      <c r="B628" s="140" t="s">
        <v>237</v>
      </c>
      <c r="C628" s="171">
        <v>45689</v>
      </c>
      <c r="D628" s="172" t="s">
        <v>12</v>
      </c>
      <c r="E628" s="173" t="s">
        <v>13</v>
      </c>
      <c r="F628" s="140" t="s">
        <v>14</v>
      </c>
      <c r="G628" s="140" t="s">
        <v>14</v>
      </c>
      <c r="H628" s="140" t="s">
        <v>14</v>
      </c>
      <c r="I628" s="140" t="s">
        <v>14</v>
      </c>
      <c r="J628" s="174"/>
    </row>
    <row r="629" hidden="1" customHeight="1" spans="1:10">
      <c r="A629" s="140" t="s">
        <v>264</v>
      </c>
      <c r="B629" s="140" t="s">
        <v>237</v>
      </c>
      <c r="C629" s="171">
        <v>45690</v>
      </c>
      <c r="D629" s="172" t="s">
        <v>15</v>
      </c>
      <c r="E629" s="173" t="s">
        <v>13</v>
      </c>
      <c r="F629" s="140" t="s">
        <v>14</v>
      </c>
      <c r="G629" s="140" t="s">
        <v>14</v>
      </c>
      <c r="H629" s="140" t="s">
        <v>14</v>
      </c>
      <c r="I629" s="140" t="s">
        <v>14</v>
      </c>
      <c r="J629" s="174"/>
    </row>
    <row r="630" hidden="1" customHeight="1" spans="1:10">
      <c r="A630" s="140" t="s">
        <v>264</v>
      </c>
      <c r="B630" s="140" t="s">
        <v>237</v>
      </c>
      <c r="C630" s="171">
        <v>45691</v>
      </c>
      <c r="D630" s="172" t="s">
        <v>16</v>
      </c>
      <c r="E630" s="173" t="s">
        <v>13</v>
      </c>
      <c r="F630" s="140" t="s">
        <v>14</v>
      </c>
      <c r="G630" s="140" t="s">
        <v>14</v>
      </c>
      <c r="H630" s="140" t="s">
        <v>14</v>
      </c>
      <c r="I630" s="140" t="s">
        <v>14</v>
      </c>
      <c r="J630" s="174"/>
    </row>
    <row r="631" hidden="1" customHeight="1" spans="1:10">
      <c r="A631" s="140" t="s">
        <v>264</v>
      </c>
      <c r="B631" s="140" t="s">
        <v>237</v>
      </c>
      <c r="C631" s="171">
        <v>45692</v>
      </c>
      <c r="D631" s="172" t="s">
        <v>17</v>
      </c>
      <c r="E631" s="173" t="s">
        <v>13</v>
      </c>
      <c r="F631" s="140" t="s">
        <v>14</v>
      </c>
      <c r="G631" s="140" t="s">
        <v>14</v>
      </c>
      <c r="H631" s="140" t="s">
        <v>14</v>
      </c>
      <c r="I631" s="140" t="s">
        <v>14</v>
      </c>
      <c r="J631" s="174"/>
    </row>
    <row r="632" hidden="1" customHeight="1" spans="1:10">
      <c r="A632" s="140" t="s">
        <v>264</v>
      </c>
      <c r="B632" s="140" t="s">
        <v>237</v>
      </c>
      <c r="C632" s="171">
        <v>45693</v>
      </c>
      <c r="D632" s="172" t="s">
        <v>18</v>
      </c>
      <c r="E632" s="140" t="s">
        <v>19</v>
      </c>
      <c r="F632" s="140" t="s">
        <v>36</v>
      </c>
      <c r="G632" s="140" t="s">
        <v>21</v>
      </c>
      <c r="H632" s="140" t="s">
        <v>210</v>
      </c>
      <c r="I632" s="140" t="s">
        <v>21</v>
      </c>
      <c r="J632" s="174"/>
    </row>
    <row r="633" hidden="1" customHeight="1" spans="1:10">
      <c r="A633" s="140" t="s">
        <v>264</v>
      </c>
      <c r="B633" s="140" t="s">
        <v>237</v>
      </c>
      <c r="C633" s="171">
        <v>45694</v>
      </c>
      <c r="D633" s="172" t="s">
        <v>23</v>
      </c>
      <c r="E633" s="140" t="s">
        <v>19</v>
      </c>
      <c r="F633" s="140" t="s">
        <v>51</v>
      </c>
      <c r="G633" s="140" t="s">
        <v>21</v>
      </c>
      <c r="H633" s="140" t="s">
        <v>168</v>
      </c>
      <c r="I633" s="140" t="s">
        <v>21</v>
      </c>
      <c r="J633" s="174"/>
    </row>
    <row r="634" hidden="1" customHeight="1" spans="1:10">
      <c r="A634" s="140" t="s">
        <v>264</v>
      </c>
      <c r="B634" s="140" t="s">
        <v>237</v>
      </c>
      <c r="C634" s="171">
        <v>45695</v>
      </c>
      <c r="D634" s="172" t="s">
        <v>25</v>
      </c>
      <c r="E634" s="140" t="s">
        <v>19</v>
      </c>
      <c r="F634" s="140" t="s">
        <v>46</v>
      </c>
      <c r="G634" s="140" t="s">
        <v>21</v>
      </c>
      <c r="H634" s="140" t="s">
        <v>265</v>
      </c>
      <c r="I634" s="140" t="s">
        <v>21</v>
      </c>
      <c r="J634" s="174"/>
    </row>
    <row r="635" customHeight="1" spans="1:10">
      <c r="A635" s="140" t="s">
        <v>264</v>
      </c>
      <c r="B635" s="140" t="s">
        <v>237</v>
      </c>
      <c r="C635" s="171">
        <v>45696</v>
      </c>
      <c r="D635" s="172" t="s">
        <v>27</v>
      </c>
      <c r="E635" s="140" t="s">
        <v>19</v>
      </c>
      <c r="F635" s="140" t="s">
        <v>14</v>
      </c>
      <c r="G635" s="176" t="s">
        <v>68</v>
      </c>
      <c r="H635" s="140" t="s">
        <v>14</v>
      </c>
      <c r="I635" s="176" t="s">
        <v>68</v>
      </c>
      <c r="J635" s="174" t="s">
        <v>234</v>
      </c>
    </row>
    <row r="636" hidden="1" customHeight="1" spans="1:10">
      <c r="A636" s="140" t="s">
        <v>264</v>
      </c>
      <c r="B636" s="140" t="s">
        <v>237</v>
      </c>
      <c r="C636" s="171">
        <v>45697</v>
      </c>
      <c r="D636" s="172" t="s">
        <v>15</v>
      </c>
      <c r="E636" s="173" t="s">
        <v>13</v>
      </c>
      <c r="F636" s="140" t="s">
        <v>14</v>
      </c>
      <c r="G636" s="140" t="s">
        <v>14</v>
      </c>
      <c r="H636" s="140" t="s">
        <v>14</v>
      </c>
      <c r="I636" s="140" t="s">
        <v>14</v>
      </c>
      <c r="J636" s="174"/>
    </row>
    <row r="637" customHeight="1" spans="1:10">
      <c r="A637" s="140" t="s">
        <v>264</v>
      </c>
      <c r="B637" s="140" t="s">
        <v>237</v>
      </c>
      <c r="C637" s="171">
        <v>45698</v>
      </c>
      <c r="D637" s="172" t="s">
        <v>16</v>
      </c>
      <c r="E637" s="140" t="s">
        <v>19</v>
      </c>
      <c r="F637" s="140" t="s">
        <v>14</v>
      </c>
      <c r="G637" s="176" t="s">
        <v>68</v>
      </c>
      <c r="H637" s="140" t="s">
        <v>78</v>
      </c>
      <c r="I637" s="140" t="s">
        <v>21</v>
      </c>
      <c r="J637" s="174" t="s">
        <v>136</v>
      </c>
    </row>
    <row r="638" customHeight="1" spans="1:10">
      <c r="A638" s="140" t="s">
        <v>264</v>
      </c>
      <c r="B638" s="140" t="s">
        <v>237</v>
      </c>
      <c r="C638" s="171">
        <v>45699</v>
      </c>
      <c r="D638" s="172" t="s">
        <v>17</v>
      </c>
      <c r="E638" s="140" t="s">
        <v>19</v>
      </c>
      <c r="F638" s="140" t="s">
        <v>14</v>
      </c>
      <c r="G638" s="176" t="s">
        <v>68</v>
      </c>
      <c r="H638" s="140" t="s">
        <v>241</v>
      </c>
      <c r="I638" s="140" t="s">
        <v>21</v>
      </c>
      <c r="J638" s="174" t="s">
        <v>136</v>
      </c>
    </row>
    <row r="639" hidden="1" customHeight="1" spans="1:10">
      <c r="A639" s="140" t="s">
        <v>264</v>
      </c>
      <c r="B639" s="140" t="s">
        <v>237</v>
      </c>
      <c r="C639" s="171">
        <v>45700</v>
      </c>
      <c r="D639" s="172" t="s">
        <v>18</v>
      </c>
      <c r="E639" s="140" t="s">
        <v>19</v>
      </c>
      <c r="F639" s="140" t="s">
        <v>209</v>
      </c>
      <c r="G639" s="140" t="s">
        <v>21</v>
      </c>
      <c r="H639" s="140" t="s">
        <v>235</v>
      </c>
      <c r="I639" s="140" t="s">
        <v>21</v>
      </c>
      <c r="J639" s="174"/>
    </row>
    <row r="640" customHeight="1" spans="1:10">
      <c r="A640" s="140" t="s">
        <v>264</v>
      </c>
      <c r="B640" s="140" t="s">
        <v>237</v>
      </c>
      <c r="C640" s="171">
        <v>45701</v>
      </c>
      <c r="D640" s="172" t="s">
        <v>23</v>
      </c>
      <c r="E640" s="140" t="s">
        <v>19</v>
      </c>
      <c r="F640" s="140" t="s">
        <v>14</v>
      </c>
      <c r="G640" s="176" t="s">
        <v>68</v>
      </c>
      <c r="H640" s="140" t="s">
        <v>31</v>
      </c>
      <c r="I640" s="140" t="s">
        <v>21</v>
      </c>
      <c r="J640" s="174" t="s">
        <v>136</v>
      </c>
    </row>
    <row r="641" customHeight="1" spans="1:10">
      <c r="A641" s="140" t="s">
        <v>264</v>
      </c>
      <c r="B641" s="140" t="s">
        <v>237</v>
      </c>
      <c r="C641" s="171">
        <v>45702</v>
      </c>
      <c r="D641" s="172" t="s">
        <v>25</v>
      </c>
      <c r="E641" s="140" t="s">
        <v>19</v>
      </c>
      <c r="F641" s="140" t="s">
        <v>209</v>
      </c>
      <c r="G641" s="140" t="s">
        <v>21</v>
      </c>
      <c r="H641" s="140" t="s">
        <v>14</v>
      </c>
      <c r="I641" s="176" t="s">
        <v>68</v>
      </c>
      <c r="J641" s="174" t="s">
        <v>69</v>
      </c>
    </row>
    <row r="642" hidden="1" customHeight="1" spans="1:10">
      <c r="A642" s="140" t="s">
        <v>264</v>
      </c>
      <c r="B642" s="140" t="s">
        <v>237</v>
      </c>
      <c r="C642" s="171">
        <v>45703</v>
      </c>
      <c r="D642" s="172" t="s">
        <v>27</v>
      </c>
      <c r="E642" s="173" t="s">
        <v>13</v>
      </c>
      <c r="F642" s="140" t="s">
        <v>14</v>
      </c>
      <c r="G642" s="140" t="s">
        <v>14</v>
      </c>
      <c r="H642" s="140" t="s">
        <v>14</v>
      </c>
      <c r="I642" s="140" t="s">
        <v>14</v>
      </c>
      <c r="J642" s="174"/>
    </row>
    <row r="643" hidden="1" customHeight="1" spans="1:10">
      <c r="A643" s="140" t="s">
        <v>264</v>
      </c>
      <c r="B643" s="140" t="s">
        <v>237</v>
      </c>
      <c r="C643" s="171">
        <v>45704</v>
      </c>
      <c r="D643" s="172" t="s">
        <v>15</v>
      </c>
      <c r="E643" s="173" t="s">
        <v>13</v>
      </c>
      <c r="F643" s="140" t="s">
        <v>14</v>
      </c>
      <c r="G643" s="140" t="s">
        <v>14</v>
      </c>
      <c r="H643" s="140" t="s">
        <v>14</v>
      </c>
      <c r="I643" s="140" t="s">
        <v>14</v>
      </c>
      <c r="J643" s="174"/>
    </row>
    <row r="644" hidden="1" customHeight="1" spans="1:10">
      <c r="A644" s="140" t="s">
        <v>264</v>
      </c>
      <c r="B644" s="140" t="s">
        <v>237</v>
      </c>
      <c r="C644" s="171">
        <v>45705</v>
      </c>
      <c r="D644" s="172" t="s">
        <v>16</v>
      </c>
      <c r="E644" s="140" t="s">
        <v>19</v>
      </c>
      <c r="F644" s="140" t="s">
        <v>90</v>
      </c>
      <c r="G644" s="140" t="s">
        <v>21</v>
      </c>
      <c r="H644" s="140" t="s">
        <v>35</v>
      </c>
      <c r="I644" s="140" t="s">
        <v>21</v>
      </c>
      <c r="J644" s="174"/>
    </row>
    <row r="645" hidden="1" customHeight="1" spans="1:10">
      <c r="A645" s="140" t="s">
        <v>264</v>
      </c>
      <c r="B645" s="140" t="s">
        <v>237</v>
      </c>
      <c r="C645" s="171">
        <v>45706</v>
      </c>
      <c r="D645" s="172" t="s">
        <v>17</v>
      </c>
      <c r="E645" s="140" t="s">
        <v>19</v>
      </c>
      <c r="F645" s="140" t="s">
        <v>90</v>
      </c>
      <c r="G645" s="140" t="s">
        <v>21</v>
      </c>
      <c r="H645" s="140" t="s">
        <v>266</v>
      </c>
      <c r="I645" s="140" t="s">
        <v>21</v>
      </c>
      <c r="J645" s="174"/>
    </row>
    <row r="646" hidden="1" customHeight="1" spans="1:10">
      <c r="A646" s="140" t="s">
        <v>264</v>
      </c>
      <c r="B646" s="140" t="s">
        <v>237</v>
      </c>
      <c r="C646" s="171">
        <v>45707</v>
      </c>
      <c r="D646" s="172" t="s">
        <v>18</v>
      </c>
      <c r="E646" s="140" t="s">
        <v>19</v>
      </c>
      <c r="F646" s="140" t="s">
        <v>90</v>
      </c>
      <c r="G646" s="140" t="s">
        <v>21</v>
      </c>
      <c r="H646" s="140" t="s">
        <v>238</v>
      </c>
      <c r="I646" s="140" t="s">
        <v>21</v>
      </c>
      <c r="J646" s="174"/>
    </row>
    <row r="647" customHeight="1" spans="1:10">
      <c r="A647" s="140" t="s">
        <v>264</v>
      </c>
      <c r="B647" s="140" t="s">
        <v>237</v>
      </c>
      <c r="C647" s="171">
        <v>45708</v>
      </c>
      <c r="D647" s="172" t="s">
        <v>23</v>
      </c>
      <c r="E647" s="140" t="s">
        <v>19</v>
      </c>
      <c r="F647" s="140" t="s">
        <v>267</v>
      </c>
      <c r="G647" s="177" t="s">
        <v>103</v>
      </c>
      <c r="H647" s="140" t="s">
        <v>153</v>
      </c>
      <c r="I647" s="140" t="s">
        <v>21</v>
      </c>
      <c r="J647" s="175" t="s">
        <v>164</v>
      </c>
    </row>
    <row r="648" customHeight="1" spans="1:10">
      <c r="A648" s="140" t="s">
        <v>264</v>
      </c>
      <c r="B648" s="140" t="s">
        <v>237</v>
      </c>
      <c r="C648" s="171">
        <v>45709</v>
      </c>
      <c r="D648" s="172" t="s">
        <v>25</v>
      </c>
      <c r="E648" s="140" t="s">
        <v>19</v>
      </c>
      <c r="F648" s="140" t="s">
        <v>90</v>
      </c>
      <c r="G648" s="140" t="s">
        <v>21</v>
      </c>
      <c r="H648" s="140" t="s">
        <v>14</v>
      </c>
      <c r="I648" s="176" t="s">
        <v>68</v>
      </c>
      <c r="J648" s="174" t="s">
        <v>69</v>
      </c>
    </row>
    <row r="649" hidden="1" customHeight="1" spans="1:10">
      <c r="A649" s="140" t="s">
        <v>264</v>
      </c>
      <c r="B649" s="140" t="s">
        <v>237</v>
      </c>
      <c r="C649" s="171">
        <v>45710</v>
      </c>
      <c r="D649" s="172" t="s">
        <v>27</v>
      </c>
      <c r="E649" s="173" t="s">
        <v>13</v>
      </c>
      <c r="F649" s="140" t="s">
        <v>14</v>
      </c>
      <c r="G649" s="140" t="s">
        <v>14</v>
      </c>
      <c r="H649" s="140" t="s">
        <v>14</v>
      </c>
      <c r="I649" s="140" t="s">
        <v>14</v>
      </c>
      <c r="J649" s="174"/>
    </row>
    <row r="650" hidden="1" customHeight="1" spans="1:10">
      <c r="A650" s="140" t="s">
        <v>264</v>
      </c>
      <c r="B650" s="140" t="s">
        <v>237</v>
      </c>
      <c r="C650" s="171">
        <v>45711</v>
      </c>
      <c r="D650" s="172" t="s">
        <v>15</v>
      </c>
      <c r="E650" s="173" t="s">
        <v>13</v>
      </c>
      <c r="F650" s="140" t="s">
        <v>14</v>
      </c>
      <c r="G650" s="140" t="s">
        <v>14</v>
      </c>
      <c r="H650" s="140" t="s">
        <v>14</v>
      </c>
      <c r="I650" s="140" t="s">
        <v>14</v>
      </c>
      <c r="J650" s="174"/>
    </row>
    <row r="651" customHeight="1" spans="1:10">
      <c r="A651" s="140" t="s">
        <v>264</v>
      </c>
      <c r="B651" s="140" t="s">
        <v>237</v>
      </c>
      <c r="C651" s="171">
        <v>45712</v>
      </c>
      <c r="D651" s="172" t="s">
        <v>16</v>
      </c>
      <c r="E651" s="140" t="s">
        <v>19</v>
      </c>
      <c r="F651" s="140" t="s">
        <v>14</v>
      </c>
      <c r="G651" s="176" t="s">
        <v>68</v>
      </c>
      <c r="H651" s="140" t="s">
        <v>168</v>
      </c>
      <c r="I651" s="140" t="s">
        <v>21</v>
      </c>
      <c r="J651" s="174" t="s">
        <v>69</v>
      </c>
    </row>
    <row r="652" hidden="1" customHeight="1" spans="1:10">
      <c r="A652" s="140" t="s">
        <v>264</v>
      </c>
      <c r="B652" s="140" t="s">
        <v>237</v>
      </c>
      <c r="C652" s="171">
        <v>45713</v>
      </c>
      <c r="D652" s="172" t="s">
        <v>17</v>
      </c>
      <c r="E652" s="140" t="s">
        <v>19</v>
      </c>
      <c r="F652" s="140" t="s">
        <v>90</v>
      </c>
      <c r="G652" s="140" t="s">
        <v>21</v>
      </c>
      <c r="H652" s="140" t="s">
        <v>73</v>
      </c>
      <c r="I652" s="140" t="s">
        <v>21</v>
      </c>
      <c r="J652" s="174"/>
    </row>
    <row r="653" hidden="1" customHeight="1" spans="1:10">
      <c r="A653" s="140" t="s">
        <v>264</v>
      </c>
      <c r="B653" s="140" t="s">
        <v>237</v>
      </c>
      <c r="C653" s="171">
        <v>45714</v>
      </c>
      <c r="D653" s="172" t="s">
        <v>18</v>
      </c>
      <c r="E653" s="140" t="s">
        <v>19</v>
      </c>
      <c r="F653" s="140" t="s">
        <v>90</v>
      </c>
      <c r="G653" s="140" t="s">
        <v>21</v>
      </c>
      <c r="H653" s="140" t="s">
        <v>181</v>
      </c>
      <c r="I653" s="140" t="s">
        <v>21</v>
      </c>
      <c r="J653" s="174"/>
    </row>
    <row r="654" customHeight="1" spans="1:10">
      <c r="A654" s="140" t="s">
        <v>264</v>
      </c>
      <c r="B654" s="140" t="s">
        <v>237</v>
      </c>
      <c r="C654" s="171">
        <v>45715</v>
      </c>
      <c r="D654" s="172" t="s">
        <v>23</v>
      </c>
      <c r="E654" s="140" t="s">
        <v>19</v>
      </c>
      <c r="F654" s="140" t="s">
        <v>268</v>
      </c>
      <c r="G654" s="177" t="s">
        <v>103</v>
      </c>
      <c r="H654" s="140" t="s">
        <v>269</v>
      </c>
      <c r="I654" s="140" t="s">
        <v>21</v>
      </c>
      <c r="J654" s="174" t="s">
        <v>270</v>
      </c>
    </row>
    <row r="655" customHeight="1" spans="1:10">
      <c r="A655" s="140" t="s">
        <v>264</v>
      </c>
      <c r="B655" s="140" t="s">
        <v>237</v>
      </c>
      <c r="C655" s="171">
        <v>45716</v>
      </c>
      <c r="D655" s="172" t="s">
        <v>25</v>
      </c>
      <c r="E655" s="140" t="s">
        <v>19</v>
      </c>
      <c r="F655" s="140" t="s">
        <v>14</v>
      </c>
      <c r="G655" s="176" t="s">
        <v>68</v>
      </c>
      <c r="H655" s="140" t="s">
        <v>240</v>
      </c>
      <c r="I655" s="140" t="s">
        <v>21</v>
      </c>
      <c r="J655" s="174" t="s">
        <v>136</v>
      </c>
    </row>
    <row r="656" hidden="1" customHeight="1" spans="1:10">
      <c r="A656" s="140" t="s">
        <v>271</v>
      </c>
      <c r="B656" s="140" t="s">
        <v>149</v>
      </c>
      <c r="C656" s="171">
        <v>45689</v>
      </c>
      <c r="D656" s="172" t="s">
        <v>12</v>
      </c>
      <c r="E656" s="173" t="s">
        <v>13</v>
      </c>
      <c r="F656" s="140" t="s">
        <v>14</v>
      </c>
      <c r="G656" s="140" t="s">
        <v>14</v>
      </c>
      <c r="H656" s="140" t="s">
        <v>14</v>
      </c>
      <c r="I656" s="140" t="s">
        <v>14</v>
      </c>
      <c r="J656" s="174"/>
    </row>
    <row r="657" hidden="1" customHeight="1" spans="1:10">
      <c r="A657" s="140" t="s">
        <v>271</v>
      </c>
      <c r="B657" s="140" t="s">
        <v>149</v>
      </c>
      <c r="C657" s="171">
        <v>45690</v>
      </c>
      <c r="D657" s="172" t="s">
        <v>15</v>
      </c>
      <c r="E657" s="173" t="s">
        <v>13</v>
      </c>
      <c r="F657" s="140" t="s">
        <v>14</v>
      </c>
      <c r="G657" s="140" t="s">
        <v>14</v>
      </c>
      <c r="H657" s="140" t="s">
        <v>14</v>
      </c>
      <c r="I657" s="140" t="s">
        <v>14</v>
      </c>
      <c r="J657" s="174"/>
    </row>
    <row r="658" hidden="1" customHeight="1" spans="1:10">
      <c r="A658" s="140" t="s">
        <v>271</v>
      </c>
      <c r="B658" s="140" t="s">
        <v>149</v>
      </c>
      <c r="C658" s="171">
        <v>45691</v>
      </c>
      <c r="D658" s="172" t="s">
        <v>16</v>
      </c>
      <c r="E658" s="173" t="s">
        <v>13</v>
      </c>
      <c r="F658" s="140" t="s">
        <v>14</v>
      </c>
      <c r="G658" s="140" t="s">
        <v>14</v>
      </c>
      <c r="H658" s="140" t="s">
        <v>14</v>
      </c>
      <c r="I658" s="140" t="s">
        <v>14</v>
      </c>
      <c r="J658" s="174"/>
    </row>
    <row r="659" hidden="1" customHeight="1" spans="1:10">
      <c r="A659" s="140" t="s">
        <v>271</v>
      </c>
      <c r="B659" s="140" t="s">
        <v>149</v>
      </c>
      <c r="C659" s="171">
        <v>45692</v>
      </c>
      <c r="D659" s="172" t="s">
        <v>17</v>
      </c>
      <c r="E659" s="173" t="s">
        <v>13</v>
      </c>
      <c r="F659" s="140" t="s">
        <v>14</v>
      </c>
      <c r="G659" s="140" t="s">
        <v>14</v>
      </c>
      <c r="H659" s="140" t="s">
        <v>14</v>
      </c>
      <c r="I659" s="140" t="s">
        <v>14</v>
      </c>
      <c r="J659" s="174"/>
    </row>
    <row r="660" hidden="1" customHeight="1" spans="1:10">
      <c r="A660" s="140" t="s">
        <v>271</v>
      </c>
      <c r="B660" s="140" t="s">
        <v>149</v>
      </c>
      <c r="C660" s="171">
        <v>45693</v>
      </c>
      <c r="D660" s="172" t="s">
        <v>18</v>
      </c>
      <c r="E660" s="140" t="s">
        <v>19</v>
      </c>
      <c r="F660" s="140" t="s">
        <v>137</v>
      </c>
      <c r="G660" s="140" t="s">
        <v>21</v>
      </c>
      <c r="H660" s="140" t="s">
        <v>272</v>
      </c>
      <c r="I660" s="140" t="s">
        <v>21</v>
      </c>
      <c r="J660" s="174"/>
    </row>
    <row r="661" hidden="1" customHeight="1" spans="1:10">
      <c r="A661" s="140" t="s">
        <v>271</v>
      </c>
      <c r="B661" s="140" t="s">
        <v>149</v>
      </c>
      <c r="C661" s="171">
        <v>45694</v>
      </c>
      <c r="D661" s="172" t="s">
        <v>23</v>
      </c>
      <c r="E661" s="140" t="s">
        <v>19</v>
      </c>
      <c r="F661" s="140" t="s">
        <v>51</v>
      </c>
      <c r="G661" s="140" t="s">
        <v>21</v>
      </c>
      <c r="H661" s="140" t="s">
        <v>273</v>
      </c>
      <c r="I661" s="140" t="s">
        <v>21</v>
      </c>
      <c r="J661" s="174"/>
    </row>
    <row r="662" hidden="1" customHeight="1" spans="1:10">
      <c r="A662" s="140" t="s">
        <v>271</v>
      </c>
      <c r="B662" s="140" t="s">
        <v>149</v>
      </c>
      <c r="C662" s="171">
        <v>45695</v>
      </c>
      <c r="D662" s="172" t="s">
        <v>25</v>
      </c>
      <c r="E662" s="140" t="s">
        <v>19</v>
      </c>
      <c r="F662" s="140" t="s">
        <v>28</v>
      </c>
      <c r="G662" s="140" t="s">
        <v>21</v>
      </c>
      <c r="H662" s="140" t="s">
        <v>42</v>
      </c>
      <c r="I662" s="140" t="s">
        <v>21</v>
      </c>
      <c r="J662" s="174"/>
    </row>
    <row r="663" hidden="1" customHeight="1" spans="1:10">
      <c r="A663" s="140" t="s">
        <v>271</v>
      </c>
      <c r="B663" s="140" t="s">
        <v>149</v>
      </c>
      <c r="C663" s="171">
        <v>45696</v>
      </c>
      <c r="D663" s="172" t="s">
        <v>27</v>
      </c>
      <c r="E663" s="140" t="s">
        <v>19</v>
      </c>
      <c r="F663" s="140" t="s">
        <v>28</v>
      </c>
      <c r="G663" s="140" t="s">
        <v>21</v>
      </c>
      <c r="H663" s="140" t="s">
        <v>225</v>
      </c>
      <c r="I663" s="140" t="s">
        <v>21</v>
      </c>
      <c r="J663" s="174"/>
    </row>
    <row r="664" hidden="1" customHeight="1" spans="1:10">
      <c r="A664" s="140" t="s">
        <v>271</v>
      </c>
      <c r="B664" s="140" t="s">
        <v>149</v>
      </c>
      <c r="C664" s="171">
        <v>45697</v>
      </c>
      <c r="D664" s="172" t="s">
        <v>15</v>
      </c>
      <c r="E664" s="173" t="s">
        <v>13</v>
      </c>
      <c r="F664" s="140" t="s">
        <v>14</v>
      </c>
      <c r="G664" s="140" t="s">
        <v>14</v>
      </c>
      <c r="H664" s="140" t="s">
        <v>14</v>
      </c>
      <c r="I664" s="140" t="s">
        <v>14</v>
      </c>
      <c r="J664" s="175"/>
    </row>
    <row r="665" hidden="1" customHeight="1" spans="1:10">
      <c r="A665" s="140" t="s">
        <v>271</v>
      </c>
      <c r="B665" s="140" t="s">
        <v>149</v>
      </c>
      <c r="C665" s="171">
        <v>45698</v>
      </c>
      <c r="D665" s="172" t="s">
        <v>16</v>
      </c>
      <c r="E665" s="140" t="s">
        <v>19</v>
      </c>
      <c r="F665" s="140" t="s">
        <v>28</v>
      </c>
      <c r="G665" s="140" t="s">
        <v>21</v>
      </c>
      <c r="H665" s="140" t="s">
        <v>78</v>
      </c>
      <c r="I665" s="140" t="s">
        <v>21</v>
      </c>
      <c r="J665" s="174"/>
    </row>
    <row r="666" hidden="1" customHeight="1" spans="1:10">
      <c r="A666" s="140" t="s">
        <v>271</v>
      </c>
      <c r="B666" s="140" t="s">
        <v>149</v>
      </c>
      <c r="C666" s="171">
        <v>45699</v>
      </c>
      <c r="D666" s="172" t="s">
        <v>17</v>
      </c>
      <c r="E666" s="140" t="s">
        <v>19</v>
      </c>
      <c r="F666" s="140" t="s">
        <v>28</v>
      </c>
      <c r="G666" s="140" t="s">
        <v>21</v>
      </c>
      <c r="H666" s="140" t="s">
        <v>245</v>
      </c>
      <c r="I666" s="140" t="s">
        <v>21</v>
      </c>
      <c r="J666" s="174"/>
    </row>
    <row r="667" hidden="1" customHeight="1" spans="1:10">
      <c r="A667" s="140" t="s">
        <v>271</v>
      </c>
      <c r="B667" s="140" t="s">
        <v>149</v>
      </c>
      <c r="C667" s="171">
        <v>45700</v>
      </c>
      <c r="D667" s="172" t="s">
        <v>18</v>
      </c>
      <c r="E667" s="140" t="s">
        <v>19</v>
      </c>
      <c r="F667" s="140" t="s">
        <v>28</v>
      </c>
      <c r="G667" s="140" t="s">
        <v>21</v>
      </c>
      <c r="H667" s="140" t="s">
        <v>241</v>
      </c>
      <c r="I667" s="140" t="s">
        <v>21</v>
      </c>
      <c r="J667" s="174"/>
    </row>
    <row r="668" customHeight="1" spans="1:10">
      <c r="A668" s="140" t="s">
        <v>271</v>
      </c>
      <c r="B668" s="140" t="s">
        <v>149</v>
      </c>
      <c r="C668" s="171">
        <v>45701</v>
      </c>
      <c r="D668" s="172" t="s">
        <v>23</v>
      </c>
      <c r="E668" s="140" t="s">
        <v>19</v>
      </c>
      <c r="F668" s="140" t="s">
        <v>14</v>
      </c>
      <c r="G668" s="176" t="s">
        <v>68</v>
      </c>
      <c r="H668" s="140" t="s">
        <v>78</v>
      </c>
      <c r="I668" s="140" t="s">
        <v>21</v>
      </c>
      <c r="J668" s="174" t="s">
        <v>69</v>
      </c>
    </row>
    <row r="669" hidden="1" customHeight="1" spans="1:10">
      <c r="A669" s="140" t="s">
        <v>271</v>
      </c>
      <c r="B669" s="140" t="s">
        <v>149</v>
      </c>
      <c r="C669" s="171">
        <v>45702</v>
      </c>
      <c r="D669" s="172" t="s">
        <v>25</v>
      </c>
      <c r="E669" s="140" t="s">
        <v>19</v>
      </c>
      <c r="F669" s="140" t="s">
        <v>33</v>
      </c>
      <c r="G669" s="140" t="s">
        <v>21</v>
      </c>
      <c r="H669" s="140" t="s">
        <v>181</v>
      </c>
      <c r="I669" s="140" t="s">
        <v>21</v>
      </c>
      <c r="J669" s="174"/>
    </row>
    <row r="670" hidden="1" customHeight="1" spans="1:10">
      <c r="A670" s="140" t="s">
        <v>271</v>
      </c>
      <c r="B670" s="140" t="s">
        <v>149</v>
      </c>
      <c r="C670" s="171">
        <v>45703</v>
      </c>
      <c r="D670" s="172" t="s">
        <v>27</v>
      </c>
      <c r="E670" s="173" t="s">
        <v>13</v>
      </c>
      <c r="F670" s="140" t="s">
        <v>14</v>
      </c>
      <c r="G670" s="140" t="s">
        <v>14</v>
      </c>
      <c r="H670" s="140" t="s">
        <v>14</v>
      </c>
      <c r="I670" s="140" t="s">
        <v>14</v>
      </c>
      <c r="J670" s="174"/>
    </row>
    <row r="671" hidden="1" customHeight="1" spans="1:10">
      <c r="A671" s="140" t="s">
        <v>271</v>
      </c>
      <c r="B671" s="140" t="s">
        <v>149</v>
      </c>
      <c r="C671" s="171">
        <v>45704</v>
      </c>
      <c r="D671" s="172" t="s">
        <v>15</v>
      </c>
      <c r="E671" s="173" t="s">
        <v>13</v>
      </c>
      <c r="F671" s="140" t="s">
        <v>14</v>
      </c>
      <c r="G671" s="140" t="s">
        <v>14</v>
      </c>
      <c r="H671" s="140" t="s">
        <v>14</v>
      </c>
      <c r="I671" s="140" t="s">
        <v>14</v>
      </c>
      <c r="J671" s="174"/>
    </row>
    <row r="672" customHeight="1" spans="1:10">
      <c r="A672" s="140" t="s">
        <v>271</v>
      </c>
      <c r="B672" s="140" t="s">
        <v>149</v>
      </c>
      <c r="C672" s="171">
        <v>45705</v>
      </c>
      <c r="D672" s="172" t="s">
        <v>16</v>
      </c>
      <c r="E672" s="140" t="s">
        <v>19</v>
      </c>
      <c r="F672" s="140" t="s">
        <v>33</v>
      </c>
      <c r="G672" s="140" t="s">
        <v>21</v>
      </c>
      <c r="H672" s="140" t="s">
        <v>14</v>
      </c>
      <c r="I672" s="176" t="s">
        <v>68</v>
      </c>
      <c r="J672" s="174" t="s">
        <v>136</v>
      </c>
    </row>
    <row r="673" hidden="1" customHeight="1" spans="1:10">
      <c r="A673" s="140" t="s">
        <v>271</v>
      </c>
      <c r="B673" s="140" t="s">
        <v>149</v>
      </c>
      <c r="C673" s="171">
        <v>45706</v>
      </c>
      <c r="D673" s="172" t="s">
        <v>17</v>
      </c>
      <c r="E673" s="140" t="s">
        <v>19</v>
      </c>
      <c r="F673" s="140" t="s">
        <v>33</v>
      </c>
      <c r="G673" s="140" t="s">
        <v>21</v>
      </c>
      <c r="H673" s="140" t="s">
        <v>231</v>
      </c>
      <c r="I673" s="140" t="s">
        <v>21</v>
      </c>
      <c r="J673" s="174"/>
    </row>
    <row r="674" hidden="1" customHeight="1" spans="1:10">
      <c r="A674" s="140" t="s">
        <v>271</v>
      </c>
      <c r="B674" s="140" t="s">
        <v>149</v>
      </c>
      <c r="C674" s="171">
        <v>45707</v>
      </c>
      <c r="D674" s="172" t="s">
        <v>18</v>
      </c>
      <c r="E674" s="140" t="s">
        <v>19</v>
      </c>
      <c r="F674" s="140" t="s">
        <v>28</v>
      </c>
      <c r="G674" s="140" t="s">
        <v>21</v>
      </c>
      <c r="H674" s="140" t="s">
        <v>123</v>
      </c>
      <c r="I674" s="140" t="s">
        <v>21</v>
      </c>
      <c r="J674" s="174"/>
    </row>
    <row r="675" hidden="1" customHeight="1" spans="1:10">
      <c r="A675" s="140" t="s">
        <v>271</v>
      </c>
      <c r="B675" s="140" t="s">
        <v>149</v>
      </c>
      <c r="C675" s="171">
        <v>45708</v>
      </c>
      <c r="D675" s="172" t="s">
        <v>23</v>
      </c>
      <c r="E675" s="140" t="s">
        <v>19</v>
      </c>
      <c r="F675" s="140" t="s">
        <v>30</v>
      </c>
      <c r="G675" s="140" t="s">
        <v>21</v>
      </c>
      <c r="H675" s="140" t="s">
        <v>35</v>
      </c>
      <c r="I675" s="140" t="s">
        <v>21</v>
      </c>
      <c r="J675" s="174"/>
    </row>
    <row r="676" hidden="1" customHeight="1" spans="1:10">
      <c r="A676" s="140" t="s">
        <v>271</v>
      </c>
      <c r="B676" s="140" t="s">
        <v>149</v>
      </c>
      <c r="C676" s="171">
        <v>45709</v>
      </c>
      <c r="D676" s="172" t="s">
        <v>25</v>
      </c>
      <c r="E676" s="140" t="s">
        <v>19</v>
      </c>
      <c r="F676" s="140" t="s">
        <v>157</v>
      </c>
      <c r="G676" s="140" t="s">
        <v>21</v>
      </c>
      <c r="H676" s="140" t="s">
        <v>134</v>
      </c>
      <c r="I676" s="140" t="s">
        <v>21</v>
      </c>
      <c r="J676" s="174"/>
    </row>
    <row r="677" hidden="1" customHeight="1" spans="1:10">
      <c r="A677" s="140" t="s">
        <v>271</v>
      </c>
      <c r="B677" s="140" t="s">
        <v>149</v>
      </c>
      <c r="C677" s="171">
        <v>45710</v>
      </c>
      <c r="D677" s="172" t="s">
        <v>27</v>
      </c>
      <c r="E677" s="173" t="s">
        <v>13</v>
      </c>
      <c r="F677" s="140" t="s">
        <v>14</v>
      </c>
      <c r="G677" s="140" t="s">
        <v>14</v>
      </c>
      <c r="H677" s="140" t="s">
        <v>14</v>
      </c>
      <c r="I677" s="140" t="s">
        <v>14</v>
      </c>
      <c r="J677" s="174"/>
    </row>
    <row r="678" hidden="1" customHeight="1" spans="1:10">
      <c r="A678" s="140" t="s">
        <v>271</v>
      </c>
      <c r="B678" s="140" t="s">
        <v>149</v>
      </c>
      <c r="C678" s="171">
        <v>45711</v>
      </c>
      <c r="D678" s="172" t="s">
        <v>15</v>
      </c>
      <c r="E678" s="173" t="s">
        <v>13</v>
      </c>
      <c r="F678" s="140" t="s">
        <v>14</v>
      </c>
      <c r="G678" s="140" t="s">
        <v>14</v>
      </c>
      <c r="H678" s="140" t="s">
        <v>14</v>
      </c>
      <c r="I678" s="140" t="s">
        <v>14</v>
      </c>
      <c r="J678" s="174"/>
    </row>
    <row r="679" hidden="1" customHeight="1" spans="1:10">
      <c r="A679" s="140" t="s">
        <v>271</v>
      </c>
      <c r="B679" s="140" t="s">
        <v>149</v>
      </c>
      <c r="C679" s="171">
        <v>45712</v>
      </c>
      <c r="D679" s="172" t="s">
        <v>16</v>
      </c>
      <c r="E679" s="140" t="s">
        <v>19</v>
      </c>
      <c r="F679" s="140" t="s">
        <v>146</v>
      </c>
      <c r="G679" s="140" t="s">
        <v>21</v>
      </c>
      <c r="H679" s="140" t="s">
        <v>163</v>
      </c>
      <c r="I679" s="140" t="s">
        <v>21</v>
      </c>
      <c r="J679" s="174"/>
    </row>
    <row r="680" hidden="1" customHeight="1" spans="1:10">
      <c r="A680" s="140" t="s">
        <v>271</v>
      </c>
      <c r="B680" s="140" t="s">
        <v>149</v>
      </c>
      <c r="C680" s="171">
        <v>45713</v>
      </c>
      <c r="D680" s="172" t="s">
        <v>17</v>
      </c>
      <c r="E680" s="140" t="s">
        <v>19</v>
      </c>
      <c r="F680" s="140" t="s">
        <v>40</v>
      </c>
      <c r="G680" s="140" t="s">
        <v>21</v>
      </c>
      <c r="H680" s="140" t="s">
        <v>50</v>
      </c>
      <c r="I680" s="140" t="s">
        <v>21</v>
      </c>
      <c r="J680" s="174"/>
    </row>
    <row r="681" hidden="1" customHeight="1" spans="1:10">
      <c r="A681" s="140" t="s">
        <v>271</v>
      </c>
      <c r="B681" s="140" t="s">
        <v>149</v>
      </c>
      <c r="C681" s="171">
        <v>45714</v>
      </c>
      <c r="D681" s="172" t="s">
        <v>18</v>
      </c>
      <c r="E681" s="140" t="s">
        <v>19</v>
      </c>
      <c r="F681" s="140" t="s">
        <v>146</v>
      </c>
      <c r="G681" s="140" t="s">
        <v>21</v>
      </c>
      <c r="H681" s="140" t="s">
        <v>124</v>
      </c>
      <c r="I681" s="140" t="s">
        <v>21</v>
      </c>
      <c r="J681" s="174"/>
    </row>
    <row r="682" hidden="1" customHeight="1" spans="1:10">
      <c r="A682" s="140" t="s">
        <v>271</v>
      </c>
      <c r="B682" s="140" t="s">
        <v>149</v>
      </c>
      <c r="C682" s="171">
        <v>45715</v>
      </c>
      <c r="D682" s="172" t="s">
        <v>23</v>
      </c>
      <c r="E682" s="140" t="s">
        <v>19</v>
      </c>
      <c r="F682" s="140" t="s">
        <v>146</v>
      </c>
      <c r="G682" s="140" t="s">
        <v>21</v>
      </c>
      <c r="H682" s="140" t="s">
        <v>78</v>
      </c>
      <c r="I682" s="140" t="s">
        <v>21</v>
      </c>
      <c r="J682" s="174"/>
    </row>
    <row r="683" hidden="1" customHeight="1" spans="1:10">
      <c r="A683" s="140" t="s">
        <v>271</v>
      </c>
      <c r="B683" s="140" t="s">
        <v>149</v>
      </c>
      <c r="C683" s="171">
        <v>45716</v>
      </c>
      <c r="D683" s="172" t="s">
        <v>25</v>
      </c>
      <c r="E683" s="140" t="s">
        <v>19</v>
      </c>
      <c r="F683" s="140" t="s">
        <v>28</v>
      </c>
      <c r="G683" s="140" t="s">
        <v>21</v>
      </c>
      <c r="H683" s="140" t="s">
        <v>274</v>
      </c>
      <c r="I683" s="140" t="s">
        <v>21</v>
      </c>
      <c r="J683" s="174"/>
    </row>
    <row r="684" hidden="1" customHeight="1" spans="1:10">
      <c r="A684" s="140" t="s">
        <v>275</v>
      </c>
      <c r="B684" s="140" t="s">
        <v>237</v>
      </c>
      <c r="C684" s="171">
        <v>45689</v>
      </c>
      <c r="D684" s="172" t="s">
        <v>12</v>
      </c>
      <c r="E684" s="173" t="s">
        <v>13</v>
      </c>
      <c r="F684" s="140" t="s">
        <v>14</v>
      </c>
      <c r="G684" s="140" t="s">
        <v>14</v>
      </c>
      <c r="H684" s="140" t="s">
        <v>14</v>
      </c>
      <c r="I684" s="140" t="s">
        <v>14</v>
      </c>
      <c r="J684" s="174"/>
    </row>
    <row r="685" hidden="1" customHeight="1" spans="1:10">
      <c r="A685" s="140" t="s">
        <v>275</v>
      </c>
      <c r="B685" s="140" t="s">
        <v>237</v>
      </c>
      <c r="C685" s="171">
        <v>45690</v>
      </c>
      <c r="D685" s="172" t="s">
        <v>15</v>
      </c>
      <c r="E685" s="173" t="s">
        <v>13</v>
      </c>
      <c r="F685" s="140" t="s">
        <v>14</v>
      </c>
      <c r="G685" s="140" t="s">
        <v>14</v>
      </c>
      <c r="H685" s="140" t="s">
        <v>14</v>
      </c>
      <c r="I685" s="140" t="s">
        <v>14</v>
      </c>
      <c r="J685" s="174"/>
    </row>
    <row r="686" hidden="1" customHeight="1" spans="1:10">
      <c r="A686" s="140" t="s">
        <v>275</v>
      </c>
      <c r="B686" s="140" t="s">
        <v>237</v>
      </c>
      <c r="C686" s="171">
        <v>45691</v>
      </c>
      <c r="D686" s="172" t="s">
        <v>16</v>
      </c>
      <c r="E686" s="173" t="s">
        <v>13</v>
      </c>
      <c r="F686" s="140" t="s">
        <v>14</v>
      </c>
      <c r="G686" s="140" t="s">
        <v>14</v>
      </c>
      <c r="H686" s="140" t="s">
        <v>14</v>
      </c>
      <c r="I686" s="140" t="s">
        <v>14</v>
      </c>
      <c r="J686" s="174"/>
    </row>
    <row r="687" hidden="1" customHeight="1" spans="1:10">
      <c r="A687" s="140" t="s">
        <v>275</v>
      </c>
      <c r="B687" s="140" t="s">
        <v>237</v>
      </c>
      <c r="C687" s="171">
        <v>45692</v>
      </c>
      <c r="D687" s="172" t="s">
        <v>17</v>
      </c>
      <c r="E687" s="173" t="s">
        <v>13</v>
      </c>
      <c r="F687" s="140" t="s">
        <v>14</v>
      </c>
      <c r="G687" s="140" t="s">
        <v>14</v>
      </c>
      <c r="H687" s="140" t="s">
        <v>14</v>
      </c>
      <c r="I687" s="140" t="s">
        <v>14</v>
      </c>
      <c r="J687" s="174"/>
    </row>
    <row r="688" hidden="1" customHeight="1" spans="1:10">
      <c r="A688" s="140" t="s">
        <v>275</v>
      </c>
      <c r="B688" s="140" t="s">
        <v>237</v>
      </c>
      <c r="C688" s="171">
        <v>45693</v>
      </c>
      <c r="D688" s="172" t="s">
        <v>18</v>
      </c>
      <c r="E688" s="140" t="s">
        <v>19</v>
      </c>
      <c r="F688" s="140" t="s">
        <v>51</v>
      </c>
      <c r="G688" s="140" t="s">
        <v>21</v>
      </c>
      <c r="H688" s="140" t="s">
        <v>185</v>
      </c>
      <c r="I688" s="140" t="s">
        <v>21</v>
      </c>
      <c r="J688" s="174"/>
    </row>
    <row r="689" customHeight="1" spans="1:10">
      <c r="A689" s="140" t="s">
        <v>275</v>
      </c>
      <c r="B689" s="140" t="s">
        <v>237</v>
      </c>
      <c r="C689" s="171">
        <v>45694</v>
      </c>
      <c r="D689" s="172" t="s">
        <v>23</v>
      </c>
      <c r="E689" s="140" t="s">
        <v>19</v>
      </c>
      <c r="F689" s="140" t="s">
        <v>14</v>
      </c>
      <c r="G689" s="176" t="s">
        <v>68</v>
      </c>
      <c r="H689" s="140" t="s">
        <v>14</v>
      </c>
      <c r="I689" s="176" t="s">
        <v>68</v>
      </c>
      <c r="J689" s="174" t="s">
        <v>234</v>
      </c>
    </row>
    <row r="690" hidden="1" customHeight="1" spans="1:10">
      <c r="A690" s="140" t="s">
        <v>275</v>
      </c>
      <c r="B690" s="140" t="s">
        <v>237</v>
      </c>
      <c r="C690" s="171">
        <v>45695</v>
      </c>
      <c r="D690" s="172" t="s">
        <v>25</v>
      </c>
      <c r="E690" s="140" t="s">
        <v>19</v>
      </c>
      <c r="F690" s="140" t="s">
        <v>51</v>
      </c>
      <c r="G690" s="140" t="s">
        <v>21</v>
      </c>
      <c r="H690" s="140" t="s">
        <v>175</v>
      </c>
      <c r="I690" s="140" t="s">
        <v>21</v>
      </c>
      <c r="J690" s="174"/>
    </row>
    <row r="691" customHeight="1" spans="1:10">
      <c r="A691" s="140" t="s">
        <v>275</v>
      </c>
      <c r="B691" s="140" t="s">
        <v>237</v>
      </c>
      <c r="C691" s="171">
        <v>45696</v>
      </c>
      <c r="D691" s="172" t="s">
        <v>27</v>
      </c>
      <c r="E691" s="140" t="s">
        <v>19</v>
      </c>
      <c r="F691" s="140" t="s">
        <v>14</v>
      </c>
      <c r="G691" s="176" t="s">
        <v>68</v>
      </c>
      <c r="H691" s="140" t="s">
        <v>206</v>
      </c>
      <c r="I691" s="140" t="s">
        <v>21</v>
      </c>
      <c r="J691" s="174" t="s">
        <v>69</v>
      </c>
    </row>
    <row r="692" hidden="1" customHeight="1" spans="1:10">
      <c r="A692" s="140" t="s">
        <v>275</v>
      </c>
      <c r="B692" s="140" t="s">
        <v>237</v>
      </c>
      <c r="C692" s="171">
        <v>45697</v>
      </c>
      <c r="D692" s="172" t="s">
        <v>15</v>
      </c>
      <c r="E692" s="173" t="s">
        <v>13</v>
      </c>
      <c r="F692" s="140" t="s">
        <v>14</v>
      </c>
      <c r="G692" s="140" t="s">
        <v>14</v>
      </c>
      <c r="H692" s="140" t="s">
        <v>14</v>
      </c>
      <c r="I692" s="140" t="s">
        <v>14</v>
      </c>
      <c r="J692" s="174"/>
    </row>
    <row r="693" hidden="1" customHeight="1" spans="1:10">
      <c r="A693" s="140" t="s">
        <v>275</v>
      </c>
      <c r="B693" s="140" t="s">
        <v>237</v>
      </c>
      <c r="C693" s="171">
        <v>45698</v>
      </c>
      <c r="D693" s="172" t="s">
        <v>16</v>
      </c>
      <c r="E693" s="140" t="s">
        <v>19</v>
      </c>
      <c r="F693" s="140" t="s">
        <v>209</v>
      </c>
      <c r="G693" s="140" t="s">
        <v>21</v>
      </c>
      <c r="H693" s="140" t="s">
        <v>276</v>
      </c>
      <c r="I693" s="140" t="s">
        <v>21</v>
      </c>
      <c r="J693" s="174"/>
    </row>
    <row r="694" hidden="1" customHeight="1" spans="1:10">
      <c r="A694" s="140" t="s">
        <v>275</v>
      </c>
      <c r="B694" s="140" t="s">
        <v>237</v>
      </c>
      <c r="C694" s="171">
        <v>45699</v>
      </c>
      <c r="D694" s="172" t="s">
        <v>17</v>
      </c>
      <c r="E694" s="140" t="s">
        <v>19</v>
      </c>
      <c r="F694" s="140" t="s">
        <v>36</v>
      </c>
      <c r="G694" s="140" t="s">
        <v>21</v>
      </c>
      <c r="H694" s="140" t="s">
        <v>122</v>
      </c>
      <c r="I694" s="140" t="s">
        <v>21</v>
      </c>
      <c r="J694" s="174"/>
    </row>
    <row r="695" hidden="1" customHeight="1" spans="1:10">
      <c r="A695" s="140" t="s">
        <v>275</v>
      </c>
      <c r="B695" s="140" t="s">
        <v>237</v>
      </c>
      <c r="C695" s="171">
        <v>45700</v>
      </c>
      <c r="D695" s="172" t="s">
        <v>18</v>
      </c>
      <c r="E695" s="140" t="s">
        <v>19</v>
      </c>
      <c r="F695" s="140" t="s">
        <v>43</v>
      </c>
      <c r="G695" s="140" t="s">
        <v>21</v>
      </c>
      <c r="H695" s="140" t="s">
        <v>172</v>
      </c>
      <c r="I695" s="140" t="s">
        <v>21</v>
      </c>
      <c r="J695" s="174"/>
    </row>
    <row r="696" customHeight="1" spans="1:10">
      <c r="A696" s="140" t="s">
        <v>275</v>
      </c>
      <c r="B696" s="140" t="s">
        <v>237</v>
      </c>
      <c r="C696" s="171">
        <v>45701</v>
      </c>
      <c r="D696" s="172" t="s">
        <v>23</v>
      </c>
      <c r="E696" s="140" t="s">
        <v>19</v>
      </c>
      <c r="F696" s="140" t="s">
        <v>14</v>
      </c>
      <c r="G696" s="176" t="s">
        <v>68</v>
      </c>
      <c r="H696" s="140" t="s">
        <v>116</v>
      </c>
      <c r="I696" s="140" t="s">
        <v>21</v>
      </c>
      <c r="J696" s="174" t="s">
        <v>69</v>
      </c>
    </row>
    <row r="697" hidden="1" customHeight="1" spans="1:10">
      <c r="A697" s="140" t="s">
        <v>275</v>
      </c>
      <c r="B697" s="140" t="s">
        <v>237</v>
      </c>
      <c r="C697" s="171">
        <v>45702</v>
      </c>
      <c r="D697" s="172" t="s">
        <v>25</v>
      </c>
      <c r="E697" s="140" t="s">
        <v>19</v>
      </c>
      <c r="F697" s="140" t="s">
        <v>43</v>
      </c>
      <c r="G697" s="140" t="s">
        <v>21</v>
      </c>
      <c r="H697" s="140" t="s">
        <v>175</v>
      </c>
      <c r="I697" s="140" t="s">
        <v>21</v>
      </c>
      <c r="J697" s="174"/>
    </row>
    <row r="698" hidden="1" customHeight="1" spans="1:10">
      <c r="A698" s="140" t="s">
        <v>275</v>
      </c>
      <c r="B698" s="140" t="s">
        <v>237</v>
      </c>
      <c r="C698" s="171">
        <v>45703</v>
      </c>
      <c r="D698" s="172" t="s">
        <v>27</v>
      </c>
      <c r="E698" s="173" t="s">
        <v>13</v>
      </c>
      <c r="F698" s="140" t="s">
        <v>14</v>
      </c>
      <c r="G698" s="140" t="s">
        <v>14</v>
      </c>
      <c r="H698" s="140" t="s">
        <v>14</v>
      </c>
      <c r="I698" s="140" t="s">
        <v>14</v>
      </c>
      <c r="J698" s="174"/>
    </row>
    <row r="699" hidden="1" customHeight="1" spans="1:10">
      <c r="A699" s="140" t="s">
        <v>275</v>
      </c>
      <c r="B699" s="140" t="s">
        <v>237</v>
      </c>
      <c r="C699" s="171">
        <v>45704</v>
      </c>
      <c r="D699" s="172" t="s">
        <v>15</v>
      </c>
      <c r="E699" s="173" t="s">
        <v>13</v>
      </c>
      <c r="F699" s="140" t="s">
        <v>14</v>
      </c>
      <c r="G699" s="140" t="s">
        <v>14</v>
      </c>
      <c r="H699" s="140" t="s">
        <v>14</v>
      </c>
      <c r="I699" s="140" t="s">
        <v>14</v>
      </c>
      <c r="J699" s="174"/>
    </row>
    <row r="700" hidden="1" customHeight="1" spans="1:10">
      <c r="A700" s="140" t="s">
        <v>275</v>
      </c>
      <c r="B700" s="140" t="s">
        <v>237</v>
      </c>
      <c r="C700" s="171">
        <v>45705</v>
      </c>
      <c r="D700" s="172" t="s">
        <v>16</v>
      </c>
      <c r="E700" s="140" t="s">
        <v>19</v>
      </c>
      <c r="F700" s="140" t="s">
        <v>36</v>
      </c>
      <c r="G700" s="140" t="s">
        <v>21</v>
      </c>
      <c r="H700" s="140" t="s">
        <v>35</v>
      </c>
      <c r="I700" s="140" t="s">
        <v>21</v>
      </c>
      <c r="J700" s="174"/>
    </row>
    <row r="701" hidden="1" customHeight="1" spans="1:10">
      <c r="A701" s="140" t="s">
        <v>275</v>
      </c>
      <c r="B701" s="140" t="s">
        <v>237</v>
      </c>
      <c r="C701" s="171">
        <v>45706</v>
      </c>
      <c r="D701" s="172" t="s">
        <v>17</v>
      </c>
      <c r="E701" s="140" t="s">
        <v>19</v>
      </c>
      <c r="F701" s="140" t="s">
        <v>43</v>
      </c>
      <c r="G701" s="140" t="s">
        <v>21</v>
      </c>
      <c r="H701" s="140" t="s">
        <v>184</v>
      </c>
      <c r="I701" s="140" t="s">
        <v>21</v>
      </c>
      <c r="J701" s="174"/>
    </row>
    <row r="702" hidden="1" customHeight="1" spans="1:10">
      <c r="A702" s="140" t="s">
        <v>275</v>
      </c>
      <c r="B702" s="140" t="s">
        <v>237</v>
      </c>
      <c r="C702" s="171">
        <v>45707</v>
      </c>
      <c r="D702" s="172" t="s">
        <v>18</v>
      </c>
      <c r="E702" s="140" t="s">
        <v>19</v>
      </c>
      <c r="F702" s="140" t="s">
        <v>20</v>
      </c>
      <c r="G702" s="140" t="s">
        <v>21</v>
      </c>
      <c r="H702" s="140" t="s">
        <v>200</v>
      </c>
      <c r="I702" s="140" t="s">
        <v>21</v>
      </c>
      <c r="J702" s="174"/>
    </row>
    <row r="703" customHeight="1" spans="1:10">
      <c r="A703" s="140" t="s">
        <v>275</v>
      </c>
      <c r="B703" s="140" t="s">
        <v>237</v>
      </c>
      <c r="C703" s="171">
        <v>45708</v>
      </c>
      <c r="D703" s="172" t="s">
        <v>23</v>
      </c>
      <c r="E703" s="140" t="s">
        <v>19</v>
      </c>
      <c r="F703" s="140" t="s">
        <v>14</v>
      </c>
      <c r="G703" s="176" t="s">
        <v>68</v>
      </c>
      <c r="H703" s="140" t="s">
        <v>91</v>
      </c>
      <c r="I703" s="140" t="s">
        <v>21</v>
      </c>
      <c r="J703" s="174" t="s">
        <v>69</v>
      </c>
    </row>
    <row r="704" hidden="1" customHeight="1" spans="1:10">
      <c r="A704" s="140" t="s">
        <v>275</v>
      </c>
      <c r="B704" s="140" t="s">
        <v>237</v>
      </c>
      <c r="C704" s="171">
        <v>45709</v>
      </c>
      <c r="D704" s="172" t="s">
        <v>25</v>
      </c>
      <c r="E704" s="140" t="s">
        <v>19</v>
      </c>
      <c r="F704" s="140" t="s">
        <v>36</v>
      </c>
      <c r="G704" s="140" t="s">
        <v>21</v>
      </c>
      <c r="H704" s="140" t="s">
        <v>92</v>
      </c>
      <c r="I704" s="140" t="s">
        <v>21</v>
      </c>
      <c r="J704" s="174"/>
    </row>
    <row r="705" hidden="1" customHeight="1" spans="1:10">
      <c r="A705" s="140" t="s">
        <v>275</v>
      </c>
      <c r="B705" s="140" t="s">
        <v>237</v>
      </c>
      <c r="C705" s="171">
        <v>45710</v>
      </c>
      <c r="D705" s="172" t="s">
        <v>27</v>
      </c>
      <c r="E705" s="173" t="s">
        <v>13</v>
      </c>
      <c r="F705" s="140" t="s">
        <v>14</v>
      </c>
      <c r="G705" s="140" t="s">
        <v>14</v>
      </c>
      <c r="H705" s="140" t="s">
        <v>14</v>
      </c>
      <c r="I705" s="140" t="s">
        <v>14</v>
      </c>
      <c r="J705" s="174"/>
    </row>
    <row r="706" hidden="1" customHeight="1" spans="1:10">
      <c r="A706" s="140" t="s">
        <v>275</v>
      </c>
      <c r="B706" s="140" t="s">
        <v>237</v>
      </c>
      <c r="C706" s="171">
        <v>45711</v>
      </c>
      <c r="D706" s="172" t="s">
        <v>15</v>
      </c>
      <c r="E706" s="173" t="s">
        <v>13</v>
      </c>
      <c r="F706" s="140" t="s">
        <v>14</v>
      </c>
      <c r="G706" s="140" t="s">
        <v>14</v>
      </c>
      <c r="H706" s="140" t="s">
        <v>14</v>
      </c>
      <c r="I706" s="140" t="s">
        <v>14</v>
      </c>
      <c r="J706" s="174"/>
    </row>
    <row r="707" hidden="1" customHeight="1" spans="1:10">
      <c r="A707" s="140" t="s">
        <v>275</v>
      </c>
      <c r="B707" s="140" t="s">
        <v>237</v>
      </c>
      <c r="C707" s="171">
        <v>45712</v>
      </c>
      <c r="D707" s="172" t="s">
        <v>16</v>
      </c>
      <c r="E707" s="140" t="s">
        <v>19</v>
      </c>
      <c r="F707" s="140" t="s">
        <v>46</v>
      </c>
      <c r="G707" s="140" t="s">
        <v>21</v>
      </c>
      <c r="H707" s="140" t="s">
        <v>41</v>
      </c>
      <c r="I707" s="140" t="s">
        <v>21</v>
      </c>
      <c r="J707" s="174"/>
    </row>
    <row r="708" hidden="1" customHeight="1" spans="1:10">
      <c r="A708" s="140" t="s">
        <v>275</v>
      </c>
      <c r="B708" s="140" t="s">
        <v>237</v>
      </c>
      <c r="C708" s="171">
        <v>45713</v>
      </c>
      <c r="D708" s="172" t="s">
        <v>17</v>
      </c>
      <c r="E708" s="140" t="s">
        <v>19</v>
      </c>
      <c r="F708" s="140" t="s">
        <v>20</v>
      </c>
      <c r="G708" s="140" t="s">
        <v>21</v>
      </c>
      <c r="H708" s="140" t="s">
        <v>235</v>
      </c>
      <c r="I708" s="140" t="s">
        <v>21</v>
      </c>
      <c r="J708" s="174"/>
    </row>
    <row r="709" hidden="1" customHeight="1" spans="1:10">
      <c r="A709" s="140" t="s">
        <v>275</v>
      </c>
      <c r="B709" s="140" t="s">
        <v>237</v>
      </c>
      <c r="C709" s="171">
        <v>45714</v>
      </c>
      <c r="D709" s="172" t="s">
        <v>18</v>
      </c>
      <c r="E709" s="140" t="s">
        <v>19</v>
      </c>
      <c r="F709" s="140" t="s">
        <v>51</v>
      </c>
      <c r="G709" s="140" t="s">
        <v>21</v>
      </c>
      <c r="H709" s="140" t="s">
        <v>178</v>
      </c>
      <c r="I709" s="140" t="s">
        <v>21</v>
      </c>
      <c r="J709" s="174"/>
    </row>
    <row r="710" hidden="1" customHeight="1" spans="1:10">
      <c r="A710" s="140" t="s">
        <v>275</v>
      </c>
      <c r="B710" s="140" t="s">
        <v>237</v>
      </c>
      <c r="C710" s="171">
        <v>45715</v>
      </c>
      <c r="D710" s="172" t="s">
        <v>23</v>
      </c>
      <c r="E710" s="140" t="s">
        <v>19</v>
      </c>
      <c r="F710" s="140" t="s">
        <v>209</v>
      </c>
      <c r="G710" s="140" t="s">
        <v>21</v>
      </c>
      <c r="H710" s="140" t="s">
        <v>134</v>
      </c>
      <c r="I710" s="140" t="s">
        <v>21</v>
      </c>
      <c r="J710" s="174"/>
    </row>
    <row r="711" hidden="1" customHeight="1" spans="1:10">
      <c r="A711" s="140" t="s">
        <v>275</v>
      </c>
      <c r="B711" s="140" t="s">
        <v>237</v>
      </c>
      <c r="C711" s="171">
        <v>45716</v>
      </c>
      <c r="D711" s="172" t="s">
        <v>25</v>
      </c>
      <c r="E711" s="140" t="s">
        <v>19</v>
      </c>
      <c r="F711" s="140" t="s">
        <v>157</v>
      </c>
      <c r="G711" s="140" t="s">
        <v>21</v>
      </c>
      <c r="H711" s="140" t="s">
        <v>91</v>
      </c>
      <c r="I711" s="140" t="s">
        <v>21</v>
      </c>
      <c r="J711" s="174"/>
    </row>
    <row r="712" hidden="1" customHeight="1" spans="1:10">
      <c r="A712" s="140" t="s">
        <v>277</v>
      </c>
      <c r="B712" s="140" t="s">
        <v>237</v>
      </c>
      <c r="C712" s="171">
        <v>45689</v>
      </c>
      <c r="D712" s="172" t="s">
        <v>12</v>
      </c>
      <c r="E712" s="173" t="s">
        <v>13</v>
      </c>
      <c r="F712" s="140" t="s">
        <v>14</v>
      </c>
      <c r="G712" s="140" t="s">
        <v>14</v>
      </c>
      <c r="H712" s="140" t="s">
        <v>14</v>
      </c>
      <c r="I712" s="140" t="s">
        <v>14</v>
      </c>
      <c r="J712" s="174"/>
    </row>
    <row r="713" hidden="1" customHeight="1" spans="1:10">
      <c r="A713" s="140" t="s">
        <v>277</v>
      </c>
      <c r="B713" s="140" t="s">
        <v>237</v>
      </c>
      <c r="C713" s="171">
        <v>45690</v>
      </c>
      <c r="D713" s="172" t="s">
        <v>15</v>
      </c>
      <c r="E713" s="173" t="s">
        <v>13</v>
      </c>
      <c r="F713" s="140" t="s">
        <v>14</v>
      </c>
      <c r="G713" s="140" t="s">
        <v>14</v>
      </c>
      <c r="H713" s="140" t="s">
        <v>14</v>
      </c>
      <c r="I713" s="140" t="s">
        <v>14</v>
      </c>
      <c r="J713" s="174"/>
    </row>
    <row r="714" hidden="1" customHeight="1" spans="1:10">
      <c r="A714" s="140" t="s">
        <v>277</v>
      </c>
      <c r="B714" s="140" t="s">
        <v>237</v>
      </c>
      <c r="C714" s="171">
        <v>45691</v>
      </c>
      <c r="D714" s="172" t="s">
        <v>16</v>
      </c>
      <c r="E714" s="173" t="s">
        <v>13</v>
      </c>
      <c r="F714" s="140" t="s">
        <v>14</v>
      </c>
      <c r="G714" s="140" t="s">
        <v>14</v>
      </c>
      <c r="H714" s="140" t="s">
        <v>14</v>
      </c>
      <c r="I714" s="140" t="s">
        <v>14</v>
      </c>
      <c r="J714" s="174"/>
    </row>
    <row r="715" hidden="1" customHeight="1" spans="1:10">
      <c r="A715" s="140" t="s">
        <v>277</v>
      </c>
      <c r="B715" s="140" t="s">
        <v>237</v>
      </c>
      <c r="C715" s="171">
        <v>45692</v>
      </c>
      <c r="D715" s="172" t="s">
        <v>17</v>
      </c>
      <c r="E715" s="173" t="s">
        <v>13</v>
      </c>
      <c r="F715" s="140" t="s">
        <v>14</v>
      </c>
      <c r="G715" s="140" t="s">
        <v>14</v>
      </c>
      <c r="H715" s="140" t="s">
        <v>14</v>
      </c>
      <c r="I715" s="140" t="s">
        <v>14</v>
      </c>
      <c r="J715" s="174"/>
    </row>
    <row r="716" hidden="1" customHeight="1" spans="1:10">
      <c r="A716" s="140" t="s">
        <v>277</v>
      </c>
      <c r="B716" s="140" t="s">
        <v>237</v>
      </c>
      <c r="C716" s="171">
        <v>45693</v>
      </c>
      <c r="D716" s="172" t="s">
        <v>18</v>
      </c>
      <c r="E716" s="140" t="s">
        <v>19</v>
      </c>
      <c r="F716" s="140" t="s">
        <v>46</v>
      </c>
      <c r="G716" s="140" t="s">
        <v>21</v>
      </c>
      <c r="H716" s="140" t="s">
        <v>235</v>
      </c>
      <c r="I716" s="140" t="s">
        <v>21</v>
      </c>
      <c r="J716" s="174"/>
    </row>
    <row r="717" hidden="1" customHeight="1" spans="1:10">
      <c r="A717" s="140" t="s">
        <v>277</v>
      </c>
      <c r="B717" s="140" t="s">
        <v>237</v>
      </c>
      <c r="C717" s="171">
        <v>45694</v>
      </c>
      <c r="D717" s="172" t="s">
        <v>23</v>
      </c>
      <c r="E717" s="140" t="s">
        <v>19</v>
      </c>
      <c r="F717" s="140" t="s">
        <v>20</v>
      </c>
      <c r="G717" s="140" t="s">
        <v>21</v>
      </c>
      <c r="H717" s="140" t="s">
        <v>35</v>
      </c>
      <c r="I717" s="140" t="s">
        <v>21</v>
      </c>
      <c r="J717" s="174"/>
    </row>
    <row r="718" hidden="1" customHeight="1" spans="1:10">
      <c r="A718" s="140" t="s">
        <v>277</v>
      </c>
      <c r="B718" s="140" t="s">
        <v>237</v>
      </c>
      <c r="C718" s="171">
        <v>45695</v>
      </c>
      <c r="D718" s="172" t="s">
        <v>25</v>
      </c>
      <c r="E718" s="140" t="s">
        <v>19</v>
      </c>
      <c r="F718" s="140" t="s">
        <v>209</v>
      </c>
      <c r="G718" s="140" t="s">
        <v>21</v>
      </c>
      <c r="H718" s="140" t="s">
        <v>191</v>
      </c>
      <c r="I718" s="140" t="s">
        <v>21</v>
      </c>
      <c r="J718" s="174"/>
    </row>
    <row r="719" hidden="1" customHeight="1" spans="1:10">
      <c r="A719" s="140" t="s">
        <v>277</v>
      </c>
      <c r="B719" s="140" t="s">
        <v>237</v>
      </c>
      <c r="C719" s="171">
        <v>45696</v>
      </c>
      <c r="D719" s="172" t="s">
        <v>27</v>
      </c>
      <c r="E719" s="140" t="s">
        <v>19</v>
      </c>
      <c r="F719" s="140" t="s">
        <v>20</v>
      </c>
      <c r="G719" s="140" t="s">
        <v>21</v>
      </c>
      <c r="H719" s="140" t="s">
        <v>191</v>
      </c>
      <c r="I719" s="140" t="s">
        <v>21</v>
      </c>
      <c r="J719" s="175"/>
    </row>
    <row r="720" hidden="1" customHeight="1" spans="1:10">
      <c r="A720" s="140" t="s">
        <v>277</v>
      </c>
      <c r="B720" s="140" t="s">
        <v>237</v>
      </c>
      <c r="C720" s="171">
        <v>45697</v>
      </c>
      <c r="D720" s="172" t="s">
        <v>15</v>
      </c>
      <c r="E720" s="173" t="s">
        <v>13</v>
      </c>
      <c r="F720" s="140" t="s">
        <v>14</v>
      </c>
      <c r="G720" s="140" t="s">
        <v>14</v>
      </c>
      <c r="H720" s="140" t="s">
        <v>14</v>
      </c>
      <c r="I720" s="140" t="s">
        <v>14</v>
      </c>
      <c r="J720" s="174"/>
    </row>
    <row r="721" hidden="1" customHeight="1" spans="1:10">
      <c r="A721" s="140" t="s">
        <v>277</v>
      </c>
      <c r="B721" s="140" t="s">
        <v>237</v>
      </c>
      <c r="C721" s="171">
        <v>45698</v>
      </c>
      <c r="D721" s="172" t="s">
        <v>16</v>
      </c>
      <c r="E721" s="140" t="s">
        <v>19</v>
      </c>
      <c r="F721" s="140" t="s">
        <v>46</v>
      </c>
      <c r="G721" s="140" t="s">
        <v>21</v>
      </c>
      <c r="H721" s="140" t="s">
        <v>45</v>
      </c>
      <c r="I721" s="140" t="s">
        <v>21</v>
      </c>
      <c r="J721" s="174"/>
    </row>
    <row r="722" hidden="1" customHeight="1" spans="1:10">
      <c r="A722" s="140" t="s">
        <v>277</v>
      </c>
      <c r="B722" s="140" t="s">
        <v>237</v>
      </c>
      <c r="C722" s="171">
        <v>45699</v>
      </c>
      <c r="D722" s="172" t="s">
        <v>17</v>
      </c>
      <c r="E722" s="140" t="s">
        <v>19</v>
      </c>
      <c r="F722" s="140" t="s">
        <v>36</v>
      </c>
      <c r="G722" s="140" t="s">
        <v>21</v>
      </c>
      <c r="H722" s="140" t="s">
        <v>174</v>
      </c>
      <c r="I722" s="140" t="s">
        <v>21</v>
      </c>
      <c r="J722" s="174"/>
    </row>
    <row r="723" hidden="1" customHeight="1" spans="1:10">
      <c r="A723" s="140" t="s">
        <v>277</v>
      </c>
      <c r="B723" s="140" t="s">
        <v>237</v>
      </c>
      <c r="C723" s="171">
        <v>45700</v>
      </c>
      <c r="D723" s="172" t="s">
        <v>18</v>
      </c>
      <c r="E723" s="140" t="s">
        <v>19</v>
      </c>
      <c r="F723" s="140" t="s">
        <v>51</v>
      </c>
      <c r="G723" s="140" t="s">
        <v>21</v>
      </c>
      <c r="H723" s="140" t="s">
        <v>200</v>
      </c>
      <c r="I723" s="140" t="s">
        <v>21</v>
      </c>
      <c r="J723" s="174"/>
    </row>
    <row r="724" hidden="1" customHeight="1" spans="1:10">
      <c r="A724" s="140" t="s">
        <v>277</v>
      </c>
      <c r="B724" s="140" t="s">
        <v>237</v>
      </c>
      <c r="C724" s="171">
        <v>45701</v>
      </c>
      <c r="D724" s="172" t="s">
        <v>23</v>
      </c>
      <c r="E724" s="140" t="s">
        <v>19</v>
      </c>
      <c r="F724" s="140" t="s">
        <v>33</v>
      </c>
      <c r="G724" s="140" t="s">
        <v>21</v>
      </c>
      <c r="H724" s="140" t="s">
        <v>254</v>
      </c>
      <c r="I724" s="140" t="s">
        <v>21</v>
      </c>
      <c r="J724" s="174"/>
    </row>
    <row r="725" hidden="1" customHeight="1" spans="1:10">
      <c r="A725" s="140" t="s">
        <v>277</v>
      </c>
      <c r="B725" s="140" t="s">
        <v>237</v>
      </c>
      <c r="C725" s="171">
        <v>45702</v>
      </c>
      <c r="D725" s="172" t="s">
        <v>25</v>
      </c>
      <c r="E725" s="140" t="s">
        <v>19</v>
      </c>
      <c r="F725" s="140" t="s">
        <v>28</v>
      </c>
      <c r="G725" s="140" t="s">
        <v>21</v>
      </c>
      <c r="H725" s="140" t="s">
        <v>184</v>
      </c>
      <c r="I725" s="140" t="s">
        <v>21</v>
      </c>
      <c r="J725" s="175"/>
    </row>
    <row r="726" hidden="1" customHeight="1" spans="1:10">
      <c r="A726" s="140" t="s">
        <v>277</v>
      </c>
      <c r="B726" s="140" t="s">
        <v>237</v>
      </c>
      <c r="C726" s="171">
        <v>45703</v>
      </c>
      <c r="D726" s="172" t="s">
        <v>27</v>
      </c>
      <c r="E726" s="173" t="s">
        <v>13</v>
      </c>
      <c r="F726" s="140" t="s">
        <v>14</v>
      </c>
      <c r="G726" s="140" t="s">
        <v>14</v>
      </c>
      <c r="H726" s="140" t="s">
        <v>14</v>
      </c>
      <c r="I726" s="140" t="s">
        <v>14</v>
      </c>
      <c r="J726" s="174"/>
    </row>
    <row r="727" hidden="1" customHeight="1" spans="1:10">
      <c r="A727" s="140" t="s">
        <v>277</v>
      </c>
      <c r="B727" s="140" t="s">
        <v>237</v>
      </c>
      <c r="C727" s="171">
        <v>45704</v>
      </c>
      <c r="D727" s="172" t="s">
        <v>15</v>
      </c>
      <c r="E727" s="173" t="s">
        <v>13</v>
      </c>
      <c r="F727" s="140" t="s">
        <v>14</v>
      </c>
      <c r="G727" s="140" t="s">
        <v>14</v>
      </c>
      <c r="H727" s="140" t="s">
        <v>14</v>
      </c>
      <c r="I727" s="140" t="s">
        <v>14</v>
      </c>
      <c r="J727" s="174"/>
    </row>
    <row r="728" hidden="1" customHeight="1" spans="1:10">
      <c r="A728" s="140" t="s">
        <v>277</v>
      </c>
      <c r="B728" s="140" t="s">
        <v>237</v>
      </c>
      <c r="C728" s="171">
        <v>45705</v>
      </c>
      <c r="D728" s="172" t="s">
        <v>16</v>
      </c>
      <c r="E728" s="140" t="s">
        <v>19</v>
      </c>
      <c r="F728" s="140" t="s">
        <v>20</v>
      </c>
      <c r="G728" s="140" t="s">
        <v>21</v>
      </c>
      <c r="H728" s="140" t="s">
        <v>45</v>
      </c>
      <c r="I728" s="140" t="s">
        <v>21</v>
      </c>
      <c r="J728" s="174"/>
    </row>
    <row r="729" hidden="1" customHeight="1" spans="1:10">
      <c r="A729" s="140" t="s">
        <v>277</v>
      </c>
      <c r="B729" s="140" t="s">
        <v>237</v>
      </c>
      <c r="C729" s="171">
        <v>45706</v>
      </c>
      <c r="D729" s="172" t="s">
        <v>17</v>
      </c>
      <c r="E729" s="140" t="s">
        <v>19</v>
      </c>
      <c r="F729" s="140" t="s">
        <v>46</v>
      </c>
      <c r="G729" s="140" t="s">
        <v>21</v>
      </c>
      <c r="H729" s="140" t="s">
        <v>278</v>
      </c>
      <c r="I729" s="140" t="s">
        <v>21</v>
      </c>
      <c r="J729" s="174"/>
    </row>
    <row r="730" hidden="1" customHeight="1" spans="1:10">
      <c r="A730" s="140" t="s">
        <v>277</v>
      </c>
      <c r="B730" s="140" t="s">
        <v>237</v>
      </c>
      <c r="C730" s="171">
        <v>45707</v>
      </c>
      <c r="D730" s="172" t="s">
        <v>18</v>
      </c>
      <c r="E730" s="140" t="s">
        <v>19</v>
      </c>
      <c r="F730" s="140" t="s">
        <v>46</v>
      </c>
      <c r="G730" s="140" t="s">
        <v>21</v>
      </c>
      <c r="H730" s="140" t="s">
        <v>174</v>
      </c>
      <c r="I730" s="140" t="s">
        <v>21</v>
      </c>
      <c r="J730" s="174"/>
    </row>
    <row r="731" hidden="1" customHeight="1" spans="1:10">
      <c r="A731" s="140" t="s">
        <v>277</v>
      </c>
      <c r="B731" s="140" t="s">
        <v>237</v>
      </c>
      <c r="C731" s="171">
        <v>45708</v>
      </c>
      <c r="D731" s="172" t="s">
        <v>23</v>
      </c>
      <c r="E731" s="140" t="s">
        <v>19</v>
      </c>
      <c r="F731" s="140" t="s">
        <v>20</v>
      </c>
      <c r="G731" s="140" t="s">
        <v>21</v>
      </c>
      <c r="H731" s="140" t="s">
        <v>45</v>
      </c>
      <c r="I731" s="140" t="s">
        <v>21</v>
      </c>
      <c r="J731" s="174"/>
    </row>
    <row r="732" hidden="1" customHeight="1" spans="1:10">
      <c r="A732" s="140" t="s">
        <v>277</v>
      </c>
      <c r="B732" s="140" t="s">
        <v>237</v>
      </c>
      <c r="C732" s="171">
        <v>45709</v>
      </c>
      <c r="D732" s="172" t="s">
        <v>25</v>
      </c>
      <c r="E732" s="140" t="s">
        <v>19</v>
      </c>
      <c r="F732" s="140" t="s">
        <v>46</v>
      </c>
      <c r="G732" s="140" t="s">
        <v>21</v>
      </c>
      <c r="H732" s="140" t="s">
        <v>79</v>
      </c>
      <c r="I732" s="140" t="s">
        <v>21</v>
      </c>
      <c r="J732" s="174"/>
    </row>
    <row r="733" hidden="1" customHeight="1" spans="1:10">
      <c r="A733" s="140" t="s">
        <v>277</v>
      </c>
      <c r="B733" s="140" t="s">
        <v>237</v>
      </c>
      <c r="C733" s="171">
        <v>45710</v>
      </c>
      <c r="D733" s="172" t="s">
        <v>27</v>
      </c>
      <c r="E733" s="173" t="s">
        <v>13</v>
      </c>
      <c r="F733" s="140" t="s">
        <v>14</v>
      </c>
      <c r="G733" s="140" t="s">
        <v>14</v>
      </c>
      <c r="H733" s="140" t="s">
        <v>14</v>
      </c>
      <c r="I733" s="140" t="s">
        <v>14</v>
      </c>
      <c r="J733" s="174"/>
    </row>
    <row r="734" hidden="1" customHeight="1" spans="1:10">
      <c r="A734" s="140" t="s">
        <v>277</v>
      </c>
      <c r="B734" s="140" t="s">
        <v>237</v>
      </c>
      <c r="C734" s="171">
        <v>45711</v>
      </c>
      <c r="D734" s="172" t="s">
        <v>15</v>
      </c>
      <c r="E734" s="173" t="s">
        <v>13</v>
      </c>
      <c r="F734" s="140" t="s">
        <v>14</v>
      </c>
      <c r="G734" s="140" t="s">
        <v>14</v>
      </c>
      <c r="H734" s="140" t="s">
        <v>14</v>
      </c>
      <c r="I734" s="140" t="s">
        <v>14</v>
      </c>
      <c r="J734" s="174"/>
    </row>
    <row r="735" hidden="1" customHeight="1" spans="1:10">
      <c r="A735" s="140" t="s">
        <v>277</v>
      </c>
      <c r="B735" s="140" t="s">
        <v>237</v>
      </c>
      <c r="C735" s="171">
        <v>45712</v>
      </c>
      <c r="D735" s="172" t="s">
        <v>16</v>
      </c>
      <c r="E735" s="140" t="s">
        <v>19</v>
      </c>
      <c r="F735" s="140" t="s">
        <v>20</v>
      </c>
      <c r="G735" s="140" t="s">
        <v>21</v>
      </c>
      <c r="H735" s="140" t="s">
        <v>78</v>
      </c>
      <c r="I735" s="140" t="s">
        <v>21</v>
      </c>
      <c r="J735" s="174"/>
    </row>
    <row r="736" hidden="1" customHeight="1" spans="1:10">
      <c r="A736" s="140" t="s">
        <v>277</v>
      </c>
      <c r="B736" s="140" t="s">
        <v>237</v>
      </c>
      <c r="C736" s="171">
        <v>45713</v>
      </c>
      <c r="D736" s="172" t="s">
        <v>17</v>
      </c>
      <c r="E736" s="140" t="s">
        <v>19</v>
      </c>
      <c r="F736" s="140" t="s">
        <v>193</v>
      </c>
      <c r="G736" s="140" t="s">
        <v>21</v>
      </c>
      <c r="H736" s="140" t="s">
        <v>207</v>
      </c>
      <c r="I736" s="140" t="s">
        <v>21</v>
      </c>
      <c r="J736" s="174"/>
    </row>
    <row r="737" hidden="1" customHeight="1" spans="1:10">
      <c r="A737" s="140" t="s">
        <v>277</v>
      </c>
      <c r="B737" s="140" t="s">
        <v>237</v>
      </c>
      <c r="C737" s="171">
        <v>45714</v>
      </c>
      <c r="D737" s="172" t="s">
        <v>18</v>
      </c>
      <c r="E737" s="140" t="s">
        <v>19</v>
      </c>
      <c r="F737" s="140" t="s">
        <v>46</v>
      </c>
      <c r="G737" s="140" t="s">
        <v>21</v>
      </c>
      <c r="H737" s="140" t="s">
        <v>240</v>
      </c>
      <c r="I737" s="140" t="s">
        <v>21</v>
      </c>
      <c r="J737" s="174"/>
    </row>
    <row r="738" hidden="1" customHeight="1" spans="1:10">
      <c r="A738" s="140" t="s">
        <v>277</v>
      </c>
      <c r="B738" s="140" t="s">
        <v>237</v>
      </c>
      <c r="C738" s="171">
        <v>45715</v>
      </c>
      <c r="D738" s="172" t="s">
        <v>23</v>
      </c>
      <c r="E738" s="140" t="s">
        <v>19</v>
      </c>
      <c r="F738" s="140" t="s">
        <v>36</v>
      </c>
      <c r="G738" s="140" t="s">
        <v>21</v>
      </c>
      <c r="H738" s="140" t="s">
        <v>45</v>
      </c>
      <c r="I738" s="140" t="s">
        <v>21</v>
      </c>
      <c r="J738" s="174"/>
    </row>
    <row r="739" hidden="1" customHeight="1" spans="1:10">
      <c r="A739" s="140" t="s">
        <v>277</v>
      </c>
      <c r="B739" s="140" t="s">
        <v>237</v>
      </c>
      <c r="C739" s="171">
        <v>45716</v>
      </c>
      <c r="D739" s="172" t="s">
        <v>25</v>
      </c>
      <c r="E739" s="140" t="s">
        <v>19</v>
      </c>
      <c r="F739" s="140" t="s">
        <v>51</v>
      </c>
      <c r="G739" s="140" t="s">
        <v>21</v>
      </c>
      <c r="H739" s="140" t="s">
        <v>235</v>
      </c>
      <c r="I739" s="140" t="s">
        <v>21</v>
      </c>
      <c r="J739" s="174"/>
    </row>
    <row r="740" hidden="1" customHeight="1" spans="1:10">
      <c r="A740" s="140" t="s">
        <v>279</v>
      </c>
      <c r="B740" s="140" t="s">
        <v>237</v>
      </c>
      <c r="C740" s="171">
        <v>45689</v>
      </c>
      <c r="D740" s="172" t="s">
        <v>12</v>
      </c>
      <c r="E740" s="173" t="s">
        <v>13</v>
      </c>
      <c r="F740" s="140" t="s">
        <v>14</v>
      </c>
      <c r="G740" s="140" t="s">
        <v>14</v>
      </c>
      <c r="H740" s="140" t="s">
        <v>14</v>
      </c>
      <c r="I740" s="140" t="s">
        <v>14</v>
      </c>
      <c r="J740" s="174"/>
    </row>
    <row r="741" hidden="1" customHeight="1" spans="1:10">
      <c r="A741" s="140" t="s">
        <v>279</v>
      </c>
      <c r="B741" s="140" t="s">
        <v>237</v>
      </c>
      <c r="C741" s="171">
        <v>45690</v>
      </c>
      <c r="D741" s="172" t="s">
        <v>15</v>
      </c>
      <c r="E741" s="173" t="s">
        <v>13</v>
      </c>
      <c r="F741" s="140" t="s">
        <v>14</v>
      </c>
      <c r="G741" s="140" t="s">
        <v>14</v>
      </c>
      <c r="H741" s="140" t="s">
        <v>14</v>
      </c>
      <c r="I741" s="140" t="s">
        <v>14</v>
      </c>
      <c r="J741" s="174"/>
    </row>
    <row r="742" hidden="1" customHeight="1" spans="1:10">
      <c r="A742" s="140" t="s">
        <v>279</v>
      </c>
      <c r="B742" s="140" t="s">
        <v>237</v>
      </c>
      <c r="C742" s="171">
        <v>45691</v>
      </c>
      <c r="D742" s="172" t="s">
        <v>16</v>
      </c>
      <c r="E742" s="173" t="s">
        <v>13</v>
      </c>
      <c r="F742" s="140" t="s">
        <v>14</v>
      </c>
      <c r="G742" s="140" t="s">
        <v>14</v>
      </c>
      <c r="H742" s="140" t="s">
        <v>14</v>
      </c>
      <c r="I742" s="140" t="s">
        <v>14</v>
      </c>
      <c r="J742" s="174"/>
    </row>
    <row r="743" hidden="1" customHeight="1" spans="1:10">
      <c r="A743" s="140" t="s">
        <v>279</v>
      </c>
      <c r="B743" s="140" t="s">
        <v>237</v>
      </c>
      <c r="C743" s="171">
        <v>45692</v>
      </c>
      <c r="D743" s="172" t="s">
        <v>17</v>
      </c>
      <c r="E743" s="173" t="s">
        <v>13</v>
      </c>
      <c r="F743" s="140" t="s">
        <v>14</v>
      </c>
      <c r="G743" s="140" t="s">
        <v>14</v>
      </c>
      <c r="H743" s="140" t="s">
        <v>14</v>
      </c>
      <c r="I743" s="140" t="s">
        <v>14</v>
      </c>
      <c r="J743" s="174"/>
    </row>
    <row r="744" hidden="1" customHeight="1" spans="1:10">
      <c r="A744" s="140" t="s">
        <v>279</v>
      </c>
      <c r="B744" s="140" t="s">
        <v>237</v>
      </c>
      <c r="C744" s="171">
        <v>45693</v>
      </c>
      <c r="D744" s="172" t="s">
        <v>18</v>
      </c>
      <c r="E744" s="140" t="s">
        <v>19</v>
      </c>
      <c r="F744" s="140" t="s">
        <v>137</v>
      </c>
      <c r="G744" s="140" t="s">
        <v>21</v>
      </c>
      <c r="H744" s="140" t="s">
        <v>174</v>
      </c>
      <c r="I744" s="140" t="s">
        <v>21</v>
      </c>
      <c r="J744" s="174"/>
    </row>
    <row r="745" hidden="1" customHeight="1" spans="1:10">
      <c r="A745" s="140" t="s">
        <v>279</v>
      </c>
      <c r="B745" s="140" t="s">
        <v>237</v>
      </c>
      <c r="C745" s="171">
        <v>45694</v>
      </c>
      <c r="D745" s="172" t="s">
        <v>23</v>
      </c>
      <c r="E745" s="140" t="s">
        <v>19</v>
      </c>
      <c r="F745" s="140" t="s">
        <v>28</v>
      </c>
      <c r="G745" s="140" t="s">
        <v>21</v>
      </c>
      <c r="H745" s="140" t="s">
        <v>78</v>
      </c>
      <c r="I745" s="140" t="s">
        <v>21</v>
      </c>
      <c r="J745" s="174"/>
    </row>
    <row r="746" customHeight="1" spans="1:10">
      <c r="A746" s="140" t="s">
        <v>279</v>
      </c>
      <c r="B746" s="140" t="s">
        <v>237</v>
      </c>
      <c r="C746" s="171">
        <v>45695</v>
      </c>
      <c r="D746" s="172" t="s">
        <v>25</v>
      </c>
      <c r="E746" s="140" t="s">
        <v>19</v>
      </c>
      <c r="F746" s="140" t="s">
        <v>188</v>
      </c>
      <c r="G746" s="140" t="s">
        <v>21</v>
      </c>
      <c r="H746" s="140" t="s">
        <v>14</v>
      </c>
      <c r="I746" s="176" t="s">
        <v>68</v>
      </c>
      <c r="J746" s="174" t="s">
        <v>69</v>
      </c>
    </row>
    <row r="747" hidden="1" customHeight="1" spans="1:10">
      <c r="A747" s="140" t="s">
        <v>279</v>
      </c>
      <c r="B747" s="140" t="s">
        <v>237</v>
      </c>
      <c r="C747" s="171">
        <v>45696</v>
      </c>
      <c r="D747" s="172" t="s">
        <v>27</v>
      </c>
      <c r="E747" s="140" t="s">
        <v>19</v>
      </c>
      <c r="F747" s="140" t="s">
        <v>28</v>
      </c>
      <c r="G747" s="140" t="s">
        <v>21</v>
      </c>
      <c r="H747" s="140" t="s">
        <v>189</v>
      </c>
      <c r="I747" s="140" t="s">
        <v>21</v>
      </c>
      <c r="J747" s="174"/>
    </row>
    <row r="748" hidden="1" customHeight="1" spans="1:10">
      <c r="A748" s="140" t="s">
        <v>279</v>
      </c>
      <c r="B748" s="140" t="s">
        <v>237</v>
      </c>
      <c r="C748" s="171">
        <v>45697</v>
      </c>
      <c r="D748" s="172" t="s">
        <v>15</v>
      </c>
      <c r="E748" s="173" t="s">
        <v>13</v>
      </c>
      <c r="F748" s="140" t="s">
        <v>14</v>
      </c>
      <c r="G748" s="140" t="s">
        <v>14</v>
      </c>
      <c r="H748" s="140" t="s">
        <v>14</v>
      </c>
      <c r="I748" s="140" t="s">
        <v>14</v>
      </c>
      <c r="J748" s="174"/>
    </row>
    <row r="749" hidden="1" customHeight="1" spans="1:10">
      <c r="A749" s="140" t="s">
        <v>279</v>
      </c>
      <c r="B749" s="140" t="s">
        <v>237</v>
      </c>
      <c r="C749" s="171">
        <v>45698</v>
      </c>
      <c r="D749" s="172" t="s">
        <v>16</v>
      </c>
      <c r="E749" s="140" t="s">
        <v>19</v>
      </c>
      <c r="F749" s="140" t="s">
        <v>28</v>
      </c>
      <c r="G749" s="140" t="s">
        <v>21</v>
      </c>
      <c r="H749" s="140" t="s">
        <v>170</v>
      </c>
      <c r="I749" s="140" t="s">
        <v>21</v>
      </c>
      <c r="J749" s="174"/>
    </row>
    <row r="750" hidden="1" customHeight="1" spans="1:10">
      <c r="A750" s="140" t="s">
        <v>279</v>
      </c>
      <c r="B750" s="140" t="s">
        <v>237</v>
      </c>
      <c r="C750" s="171">
        <v>45699</v>
      </c>
      <c r="D750" s="172" t="s">
        <v>17</v>
      </c>
      <c r="E750" s="140" t="s">
        <v>19</v>
      </c>
      <c r="F750" s="140" t="s">
        <v>188</v>
      </c>
      <c r="G750" s="140" t="s">
        <v>21</v>
      </c>
      <c r="H750" s="140" t="s">
        <v>200</v>
      </c>
      <c r="I750" s="140" t="s">
        <v>21</v>
      </c>
      <c r="J750" s="174"/>
    </row>
    <row r="751" hidden="1" customHeight="1" spans="1:10">
      <c r="A751" s="140" t="s">
        <v>279</v>
      </c>
      <c r="B751" s="140" t="s">
        <v>237</v>
      </c>
      <c r="C751" s="171">
        <v>45700</v>
      </c>
      <c r="D751" s="172" t="s">
        <v>18</v>
      </c>
      <c r="E751" s="140" t="s">
        <v>19</v>
      </c>
      <c r="F751" s="140" t="s">
        <v>137</v>
      </c>
      <c r="G751" s="140" t="s">
        <v>21</v>
      </c>
      <c r="H751" s="140" t="s">
        <v>189</v>
      </c>
      <c r="I751" s="140" t="s">
        <v>21</v>
      </c>
      <c r="J751" s="174"/>
    </row>
    <row r="752" hidden="1" customHeight="1" spans="1:10">
      <c r="A752" s="140" t="s">
        <v>279</v>
      </c>
      <c r="B752" s="140" t="s">
        <v>237</v>
      </c>
      <c r="C752" s="171">
        <v>45701</v>
      </c>
      <c r="D752" s="172" t="s">
        <v>23</v>
      </c>
      <c r="E752" s="140" t="s">
        <v>19</v>
      </c>
      <c r="F752" s="140" t="s">
        <v>137</v>
      </c>
      <c r="G752" s="140" t="s">
        <v>21</v>
      </c>
      <c r="H752" s="140" t="s">
        <v>168</v>
      </c>
      <c r="I752" s="140" t="s">
        <v>21</v>
      </c>
      <c r="J752" s="174"/>
    </row>
    <row r="753" hidden="1" customHeight="1" spans="1:10">
      <c r="A753" s="140" t="s">
        <v>279</v>
      </c>
      <c r="B753" s="140" t="s">
        <v>237</v>
      </c>
      <c r="C753" s="171">
        <v>45702</v>
      </c>
      <c r="D753" s="172" t="s">
        <v>25</v>
      </c>
      <c r="E753" s="140" t="s">
        <v>19</v>
      </c>
      <c r="F753" s="140" t="s">
        <v>137</v>
      </c>
      <c r="G753" s="140" t="s">
        <v>21</v>
      </c>
      <c r="H753" s="140" t="s">
        <v>167</v>
      </c>
      <c r="I753" s="140" t="s">
        <v>21</v>
      </c>
      <c r="J753" s="174"/>
    </row>
    <row r="754" hidden="1" customHeight="1" spans="1:10">
      <c r="A754" s="140" t="s">
        <v>279</v>
      </c>
      <c r="B754" s="140" t="s">
        <v>237</v>
      </c>
      <c r="C754" s="171">
        <v>45703</v>
      </c>
      <c r="D754" s="172" t="s">
        <v>27</v>
      </c>
      <c r="E754" s="173" t="s">
        <v>13</v>
      </c>
      <c r="F754" s="140" t="s">
        <v>14</v>
      </c>
      <c r="G754" s="140" t="s">
        <v>14</v>
      </c>
      <c r="H754" s="140" t="s">
        <v>14</v>
      </c>
      <c r="I754" s="140" t="s">
        <v>14</v>
      </c>
      <c r="J754" s="175"/>
    </row>
    <row r="755" hidden="1" customHeight="1" spans="1:10">
      <c r="A755" s="140" t="s">
        <v>279</v>
      </c>
      <c r="B755" s="140" t="s">
        <v>237</v>
      </c>
      <c r="C755" s="171">
        <v>45704</v>
      </c>
      <c r="D755" s="172" t="s">
        <v>15</v>
      </c>
      <c r="E755" s="173" t="s">
        <v>13</v>
      </c>
      <c r="F755" s="140" t="s">
        <v>14</v>
      </c>
      <c r="G755" s="140" t="s">
        <v>14</v>
      </c>
      <c r="H755" s="140" t="s">
        <v>14</v>
      </c>
      <c r="I755" s="140" t="s">
        <v>14</v>
      </c>
      <c r="J755" s="174"/>
    </row>
    <row r="756" hidden="1" customHeight="1" spans="1:10">
      <c r="A756" s="140" t="s">
        <v>279</v>
      </c>
      <c r="B756" s="140" t="s">
        <v>237</v>
      </c>
      <c r="C756" s="171">
        <v>45705</v>
      </c>
      <c r="D756" s="172" t="s">
        <v>16</v>
      </c>
      <c r="E756" s="140" t="s">
        <v>19</v>
      </c>
      <c r="F756" s="140" t="s">
        <v>110</v>
      </c>
      <c r="G756" s="140" t="s">
        <v>21</v>
      </c>
      <c r="H756" s="140" t="s">
        <v>168</v>
      </c>
      <c r="I756" s="140" t="s">
        <v>21</v>
      </c>
      <c r="J756" s="174"/>
    </row>
    <row r="757" hidden="1" customHeight="1" spans="1:10">
      <c r="A757" s="140" t="s">
        <v>279</v>
      </c>
      <c r="B757" s="140" t="s">
        <v>237</v>
      </c>
      <c r="C757" s="171">
        <v>45706</v>
      </c>
      <c r="D757" s="172" t="s">
        <v>17</v>
      </c>
      <c r="E757" s="140" t="s">
        <v>19</v>
      </c>
      <c r="F757" s="140" t="s">
        <v>137</v>
      </c>
      <c r="G757" s="140" t="s">
        <v>21</v>
      </c>
      <c r="H757" s="140" t="s">
        <v>189</v>
      </c>
      <c r="I757" s="140" t="s">
        <v>21</v>
      </c>
      <c r="J757" s="174"/>
    </row>
    <row r="758" hidden="1" customHeight="1" spans="1:10">
      <c r="A758" s="140" t="s">
        <v>279</v>
      </c>
      <c r="B758" s="140" t="s">
        <v>237</v>
      </c>
      <c r="C758" s="171">
        <v>45707</v>
      </c>
      <c r="D758" s="172" t="s">
        <v>18</v>
      </c>
      <c r="E758" s="140" t="s">
        <v>19</v>
      </c>
      <c r="F758" s="140" t="s">
        <v>137</v>
      </c>
      <c r="G758" s="140" t="s">
        <v>21</v>
      </c>
      <c r="H758" s="140" t="s">
        <v>215</v>
      </c>
      <c r="I758" s="140" t="s">
        <v>21</v>
      </c>
      <c r="J758" s="174"/>
    </row>
    <row r="759" hidden="1" customHeight="1" spans="1:10">
      <c r="A759" s="140" t="s">
        <v>279</v>
      </c>
      <c r="B759" s="140" t="s">
        <v>237</v>
      </c>
      <c r="C759" s="171">
        <v>45708</v>
      </c>
      <c r="D759" s="172" t="s">
        <v>23</v>
      </c>
      <c r="E759" s="140" t="s">
        <v>19</v>
      </c>
      <c r="F759" s="140" t="s">
        <v>139</v>
      </c>
      <c r="G759" s="140" t="s">
        <v>21</v>
      </c>
      <c r="H759" s="140" t="s">
        <v>168</v>
      </c>
      <c r="I759" s="140" t="s">
        <v>21</v>
      </c>
      <c r="J759" s="174"/>
    </row>
    <row r="760" hidden="1" customHeight="1" spans="1:10">
      <c r="A760" s="140" t="s">
        <v>279</v>
      </c>
      <c r="B760" s="140" t="s">
        <v>237</v>
      </c>
      <c r="C760" s="171">
        <v>45709</v>
      </c>
      <c r="D760" s="172" t="s">
        <v>25</v>
      </c>
      <c r="E760" s="140" t="s">
        <v>19</v>
      </c>
      <c r="F760" s="140" t="s">
        <v>110</v>
      </c>
      <c r="G760" s="140" t="s">
        <v>21</v>
      </c>
      <c r="H760" s="140" t="s">
        <v>184</v>
      </c>
      <c r="I760" s="140" t="s">
        <v>21</v>
      </c>
      <c r="J760" s="174"/>
    </row>
    <row r="761" hidden="1" customHeight="1" spans="1:10">
      <c r="A761" s="140" t="s">
        <v>279</v>
      </c>
      <c r="B761" s="140" t="s">
        <v>237</v>
      </c>
      <c r="C761" s="171">
        <v>45710</v>
      </c>
      <c r="D761" s="172" t="s">
        <v>27</v>
      </c>
      <c r="E761" s="173" t="s">
        <v>13</v>
      </c>
      <c r="F761" s="140" t="s">
        <v>14</v>
      </c>
      <c r="G761" s="140" t="s">
        <v>14</v>
      </c>
      <c r="H761" s="140" t="s">
        <v>14</v>
      </c>
      <c r="I761" s="140" t="s">
        <v>14</v>
      </c>
      <c r="J761" s="174"/>
    </row>
    <row r="762" hidden="1" customHeight="1" spans="1:10">
      <c r="A762" s="140" t="s">
        <v>279</v>
      </c>
      <c r="B762" s="140" t="s">
        <v>237</v>
      </c>
      <c r="C762" s="171">
        <v>45711</v>
      </c>
      <c r="D762" s="172" t="s">
        <v>15</v>
      </c>
      <c r="E762" s="173" t="s">
        <v>13</v>
      </c>
      <c r="F762" s="140" t="s">
        <v>14</v>
      </c>
      <c r="G762" s="140" t="s">
        <v>14</v>
      </c>
      <c r="H762" s="140" t="s">
        <v>14</v>
      </c>
      <c r="I762" s="140" t="s">
        <v>14</v>
      </c>
      <c r="J762" s="174"/>
    </row>
    <row r="763" hidden="1" customHeight="1" spans="1:10">
      <c r="A763" s="140" t="s">
        <v>279</v>
      </c>
      <c r="B763" s="140" t="s">
        <v>237</v>
      </c>
      <c r="C763" s="171">
        <v>45712</v>
      </c>
      <c r="D763" s="172" t="s">
        <v>16</v>
      </c>
      <c r="E763" s="140" t="s">
        <v>19</v>
      </c>
      <c r="F763" s="140" t="s">
        <v>108</v>
      </c>
      <c r="G763" s="140" t="s">
        <v>21</v>
      </c>
      <c r="H763" s="140" t="s">
        <v>78</v>
      </c>
      <c r="I763" s="140" t="s">
        <v>21</v>
      </c>
      <c r="J763" s="174"/>
    </row>
    <row r="764" customHeight="1" spans="1:10">
      <c r="A764" s="140" t="s">
        <v>279</v>
      </c>
      <c r="B764" s="140" t="s">
        <v>237</v>
      </c>
      <c r="C764" s="171">
        <v>45713</v>
      </c>
      <c r="D764" s="172" t="s">
        <v>17</v>
      </c>
      <c r="E764" s="140" t="s">
        <v>19</v>
      </c>
      <c r="F764" s="140" t="s">
        <v>14</v>
      </c>
      <c r="G764" s="176" t="s">
        <v>68</v>
      </c>
      <c r="H764" s="140" t="s">
        <v>170</v>
      </c>
      <c r="I764" s="140" t="s">
        <v>21</v>
      </c>
      <c r="J764" s="174" t="s">
        <v>69</v>
      </c>
    </row>
    <row r="765" hidden="1" customHeight="1" spans="1:10">
      <c r="A765" s="140" t="s">
        <v>279</v>
      </c>
      <c r="B765" s="140" t="s">
        <v>237</v>
      </c>
      <c r="C765" s="171">
        <v>45714</v>
      </c>
      <c r="D765" s="172" t="s">
        <v>18</v>
      </c>
      <c r="E765" s="140" t="s">
        <v>19</v>
      </c>
      <c r="F765" s="140" t="s">
        <v>110</v>
      </c>
      <c r="G765" s="140" t="s">
        <v>21</v>
      </c>
      <c r="H765" s="140" t="s">
        <v>172</v>
      </c>
      <c r="I765" s="140" t="s">
        <v>21</v>
      </c>
      <c r="J765" s="174"/>
    </row>
    <row r="766" hidden="1" customHeight="1" spans="1:10">
      <c r="A766" s="140" t="s">
        <v>279</v>
      </c>
      <c r="B766" s="140" t="s">
        <v>237</v>
      </c>
      <c r="C766" s="171">
        <v>45715</v>
      </c>
      <c r="D766" s="172" t="s">
        <v>23</v>
      </c>
      <c r="E766" s="140" t="s">
        <v>19</v>
      </c>
      <c r="F766" s="140" t="s">
        <v>40</v>
      </c>
      <c r="G766" s="140" t="s">
        <v>21</v>
      </c>
      <c r="H766" s="140" t="s">
        <v>168</v>
      </c>
      <c r="I766" s="140" t="s">
        <v>21</v>
      </c>
      <c r="J766" s="174"/>
    </row>
    <row r="767" hidden="1" customHeight="1" spans="1:10">
      <c r="A767" s="140" t="s">
        <v>279</v>
      </c>
      <c r="B767" s="140" t="s">
        <v>237</v>
      </c>
      <c r="C767" s="171">
        <v>45716</v>
      </c>
      <c r="D767" s="172" t="s">
        <v>25</v>
      </c>
      <c r="E767" s="140" t="s">
        <v>19</v>
      </c>
      <c r="F767" s="140" t="s">
        <v>137</v>
      </c>
      <c r="G767" s="140" t="s">
        <v>21</v>
      </c>
      <c r="H767" s="140" t="s">
        <v>235</v>
      </c>
      <c r="I767" s="140" t="s">
        <v>21</v>
      </c>
      <c r="J767" s="174"/>
    </row>
    <row r="768" hidden="1" customHeight="1" spans="1:10">
      <c r="A768" s="140" t="s">
        <v>280</v>
      </c>
      <c r="B768" s="140" t="s">
        <v>248</v>
      </c>
      <c r="C768" s="171">
        <v>45689</v>
      </c>
      <c r="D768" s="172" t="s">
        <v>12</v>
      </c>
      <c r="E768" s="173" t="s">
        <v>13</v>
      </c>
      <c r="F768" s="140" t="s">
        <v>14</v>
      </c>
      <c r="G768" s="140" t="s">
        <v>14</v>
      </c>
      <c r="H768" s="140" t="s">
        <v>14</v>
      </c>
      <c r="I768" s="140" t="s">
        <v>14</v>
      </c>
      <c r="J768" s="175"/>
    </row>
    <row r="769" hidden="1" customHeight="1" spans="1:10">
      <c r="A769" s="140" t="s">
        <v>280</v>
      </c>
      <c r="B769" s="140" t="s">
        <v>248</v>
      </c>
      <c r="C769" s="171">
        <v>45690</v>
      </c>
      <c r="D769" s="172" t="s">
        <v>15</v>
      </c>
      <c r="E769" s="173" t="s">
        <v>13</v>
      </c>
      <c r="F769" s="140" t="s">
        <v>14</v>
      </c>
      <c r="G769" s="140" t="s">
        <v>14</v>
      </c>
      <c r="H769" s="140" t="s">
        <v>14</v>
      </c>
      <c r="I769" s="140" t="s">
        <v>14</v>
      </c>
      <c r="J769" s="174"/>
    </row>
    <row r="770" hidden="1" customHeight="1" spans="1:10">
      <c r="A770" s="140" t="s">
        <v>280</v>
      </c>
      <c r="B770" s="140" t="s">
        <v>248</v>
      </c>
      <c r="C770" s="171">
        <v>45691</v>
      </c>
      <c r="D770" s="172" t="s">
        <v>16</v>
      </c>
      <c r="E770" s="173" t="s">
        <v>13</v>
      </c>
      <c r="F770" s="140" t="s">
        <v>14</v>
      </c>
      <c r="G770" s="140" t="s">
        <v>14</v>
      </c>
      <c r="H770" s="140" t="s">
        <v>14</v>
      </c>
      <c r="I770" s="140" t="s">
        <v>14</v>
      </c>
      <c r="J770" s="174"/>
    </row>
    <row r="771" hidden="1" customHeight="1" spans="1:10">
      <c r="A771" s="140" t="s">
        <v>280</v>
      </c>
      <c r="B771" s="140" t="s">
        <v>248</v>
      </c>
      <c r="C771" s="171">
        <v>45692</v>
      </c>
      <c r="D771" s="172" t="s">
        <v>17</v>
      </c>
      <c r="E771" s="173" t="s">
        <v>13</v>
      </c>
      <c r="F771" s="140" t="s">
        <v>14</v>
      </c>
      <c r="G771" s="140" t="s">
        <v>14</v>
      </c>
      <c r="H771" s="140" t="s">
        <v>14</v>
      </c>
      <c r="I771" s="140" t="s">
        <v>14</v>
      </c>
      <c r="J771" s="174"/>
    </row>
    <row r="772" hidden="1" customHeight="1" spans="1:10">
      <c r="A772" s="140" t="s">
        <v>280</v>
      </c>
      <c r="B772" s="140" t="s">
        <v>248</v>
      </c>
      <c r="C772" s="171">
        <v>45693</v>
      </c>
      <c r="D772" s="172" t="s">
        <v>18</v>
      </c>
      <c r="E772" s="140" t="s">
        <v>19</v>
      </c>
      <c r="F772" s="140" t="s">
        <v>137</v>
      </c>
      <c r="G772" s="140" t="s">
        <v>21</v>
      </c>
      <c r="H772" s="140" t="s">
        <v>212</v>
      </c>
      <c r="I772" s="140" t="s">
        <v>21</v>
      </c>
      <c r="J772" s="175"/>
    </row>
    <row r="773" hidden="1" customHeight="1" spans="1:10">
      <c r="A773" s="140" t="s">
        <v>280</v>
      </c>
      <c r="B773" s="140" t="s">
        <v>248</v>
      </c>
      <c r="C773" s="171">
        <v>45694</v>
      </c>
      <c r="D773" s="172" t="s">
        <v>23</v>
      </c>
      <c r="E773" s="140" t="s">
        <v>19</v>
      </c>
      <c r="F773" s="140" t="s">
        <v>154</v>
      </c>
      <c r="G773" s="140" t="s">
        <v>21</v>
      </c>
      <c r="H773" s="140" t="s">
        <v>175</v>
      </c>
      <c r="I773" s="140" t="s">
        <v>21</v>
      </c>
      <c r="J773" s="174"/>
    </row>
    <row r="774" hidden="1" customHeight="1" spans="1:10">
      <c r="A774" s="140" t="s">
        <v>280</v>
      </c>
      <c r="B774" s="140" t="s">
        <v>248</v>
      </c>
      <c r="C774" s="171">
        <v>45695</v>
      </c>
      <c r="D774" s="172" t="s">
        <v>25</v>
      </c>
      <c r="E774" s="140" t="s">
        <v>19</v>
      </c>
      <c r="F774" s="140" t="s">
        <v>46</v>
      </c>
      <c r="G774" s="140" t="s">
        <v>21</v>
      </c>
      <c r="H774" s="140" t="s">
        <v>178</v>
      </c>
      <c r="I774" s="140" t="s">
        <v>21</v>
      </c>
      <c r="J774" s="174"/>
    </row>
    <row r="775" hidden="1" customHeight="1" spans="1:10">
      <c r="A775" s="140" t="s">
        <v>280</v>
      </c>
      <c r="B775" s="140" t="s">
        <v>248</v>
      </c>
      <c r="C775" s="171">
        <v>45696</v>
      </c>
      <c r="D775" s="172" t="s">
        <v>27</v>
      </c>
      <c r="E775" s="140" t="s">
        <v>19</v>
      </c>
      <c r="F775" s="140" t="s">
        <v>33</v>
      </c>
      <c r="G775" s="140" t="s">
        <v>21</v>
      </c>
      <c r="H775" s="140" t="s">
        <v>184</v>
      </c>
      <c r="I775" s="140" t="s">
        <v>21</v>
      </c>
      <c r="J775" s="174"/>
    </row>
    <row r="776" hidden="1" customHeight="1" spans="1:10">
      <c r="A776" s="140" t="s">
        <v>280</v>
      </c>
      <c r="B776" s="140" t="s">
        <v>248</v>
      </c>
      <c r="C776" s="171">
        <v>45697</v>
      </c>
      <c r="D776" s="172" t="s">
        <v>15</v>
      </c>
      <c r="E776" s="173" t="s">
        <v>13</v>
      </c>
      <c r="F776" s="140" t="s">
        <v>14</v>
      </c>
      <c r="G776" s="140" t="s">
        <v>14</v>
      </c>
      <c r="H776" s="140" t="s">
        <v>14</v>
      </c>
      <c r="I776" s="140" t="s">
        <v>14</v>
      </c>
      <c r="J776" s="174"/>
    </row>
    <row r="777" hidden="1" customHeight="1" spans="1:10">
      <c r="A777" s="140" t="s">
        <v>280</v>
      </c>
      <c r="B777" s="140" t="s">
        <v>248</v>
      </c>
      <c r="C777" s="171">
        <v>45698</v>
      </c>
      <c r="D777" s="172" t="s">
        <v>16</v>
      </c>
      <c r="E777" s="140" t="s">
        <v>19</v>
      </c>
      <c r="F777" s="140" t="s">
        <v>20</v>
      </c>
      <c r="G777" s="140" t="s">
        <v>21</v>
      </c>
      <c r="H777" s="140" t="s">
        <v>168</v>
      </c>
      <c r="I777" s="140" t="s">
        <v>21</v>
      </c>
      <c r="J777" s="174"/>
    </row>
    <row r="778" hidden="1" customHeight="1" spans="1:10">
      <c r="A778" s="140" t="s">
        <v>280</v>
      </c>
      <c r="B778" s="140" t="s">
        <v>248</v>
      </c>
      <c r="C778" s="171">
        <v>45699</v>
      </c>
      <c r="D778" s="172" t="s">
        <v>17</v>
      </c>
      <c r="E778" s="140" t="s">
        <v>19</v>
      </c>
      <c r="F778" s="140" t="s">
        <v>51</v>
      </c>
      <c r="G778" s="140" t="s">
        <v>21</v>
      </c>
      <c r="H778" s="140" t="s">
        <v>174</v>
      </c>
      <c r="I778" s="140" t="s">
        <v>21</v>
      </c>
      <c r="J778" s="174"/>
    </row>
    <row r="779" hidden="1" customHeight="1" spans="1:10">
      <c r="A779" s="140" t="s">
        <v>280</v>
      </c>
      <c r="B779" s="140" t="s">
        <v>248</v>
      </c>
      <c r="C779" s="171">
        <v>45700</v>
      </c>
      <c r="D779" s="172" t="s">
        <v>18</v>
      </c>
      <c r="E779" s="140" t="s">
        <v>19</v>
      </c>
      <c r="F779" s="140" t="s">
        <v>209</v>
      </c>
      <c r="G779" s="140" t="s">
        <v>21</v>
      </c>
      <c r="H779" s="140" t="s">
        <v>205</v>
      </c>
      <c r="I779" s="140" t="s">
        <v>21</v>
      </c>
      <c r="J779" s="174"/>
    </row>
    <row r="780" hidden="1" customHeight="1" spans="1:10">
      <c r="A780" s="140" t="s">
        <v>280</v>
      </c>
      <c r="B780" s="140" t="s">
        <v>248</v>
      </c>
      <c r="C780" s="171">
        <v>45701</v>
      </c>
      <c r="D780" s="172" t="s">
        <v>23</v>
      </c>
      <c r="E780" s="140" t="s">
        <v>19</v>
      </c>
      <c r="F780" s="140" t="s">
        <v>46</v>
      </c>
      <c r="G780" s="140" t="s">
        <v>21</v>
      </c>
      <c r="H780" s="140" t="s">
        <v>175</v>
      </c>
      <c r="I780" s="140" t="s">
        <v>21</v>
      </c>
      <c r="J780" s="174"/>
    </row>
    <row r="781" hidden="1" customHeight="1" spans="1:10">
      <c r="A781" s="140" t="s">
        <v>280</v>
      </c>
      <c r="B781" s="140" t="s">
        <v>248</v>
      </c>
      <c r="C781" s="171">
        <v>45702</v>
      </c>
      <c r="D781" s="172" t="s">
        <v>25</v>
      </c>
      <c r="E781" s="140" t="s">
        <v>19</v>
      </c>
      <c r="F781" s="140" t="s">
        <v>28</v>
      </c>
      <c r="G781" s="140" t="s">
        <v>21</v>
      </c>
      <c r="H781" s="140" t="s">
        <v>175</v>
      </c>
      <c r="I781" s="140" t="s">
        <v>21</v>
      </c>
      <c r="J781" s="174"/>
    </row>
    <row r="782" hidden="1" customHeight="1" spans="1:10">
      <c r="A782" s="140" t="s">
        <v>280</v>
      </c>
      <c r="B782" s="140" t="s">
        <v>248</v>
      </c>
      <c r="C782" s="171">
        <v>45703</v>
      </c>
      <c r="D782" s="172" t="s">
        <v>27</v>
      </c>
      <c r="E782" s="173" t="s">
        <v>13</v>
      </c>
      <c r="F782" s="140" t="s">
        <v>14</v>
      </c>
      <c r="G782" s="140" t="s">
        <v>14</v>
      </c>
      <c r="H782" s="140" t="s">
        <v>14</v>
      </c>
      <c r="I782" s="140" t="s">
        <v>14</v>
      </c>
      <c r="J782" s="174"/>
    </row>
    <row r="783" hidden="1" customHeight="1" spans="1:10">
      <c r="A783" s="140" t="s">
        <v>280</v>
      </c>
      <c r="B783" s="140" t="s">
        <v>248</v>
      </c>
      <c r="C783" s="171">
        <v>45704</v>
      </c>
      <c r="D783" s="172" t="s">
        <v>15</v>
      </c>
      <c r="E783" s="173" t="s">
        <v>13</v>
      </c>
      <c r="F783" s="140" t="s">
        <v>250</v>
      </c>
      <c r="G783" s="140" t="s">
        <v>21</v>
      </c>
      <c r="H783" s="140" t="s">
        <v>281</v>
      </c>
      <c r="I783" s="140" t="s">
        <v>21</v>
      </c>
      <c r="J783" s="174"/>
    </row>
    <row r="784" customHeight="1" spans="1:10">
      <c r="A784" s="140" t="s">
        <v>280</v>
      </c>
      <c r="B784" s="140" t="s">
        <v>248</v>
      </c>
      <c r="C784" s="171">
        <v>45705</v>
      </c>
      <c r="D784" s="172" t="s">
        <v>16</v>
      </c>
      <c r="E784" s="140" t="s">
        <v>19</v>
      </c>
      <c r="F784" s="140" t="s">
        <v>14</v>
      </c>
      <c r="G784" s="176" t="s">
        <v>68</v>
      </c>
      <c r="H784" s="140" t="s">
        <v>50</v>
      </c>
      <c r="I784" s="140" t="s">
        <v>21</v>
      </c>
      <c r="J784" s="174" t="s">
        <v>69</v>
      </c>
    </row>
    <row r="785" hidden="1" customHeight="1" spans="1:10">
      <c r="A785" s="140" t="s">
        <v>280</v>
      </c>
      <c r="B785" s="140" t="s">
        <v>248</v>
      </c>
      <c r="C785" s="171">
        <v>45706</v>
      </c>
      <c r="D785" s="172" t="s">
        <v>17</v>
      </c>
      <c r="E785" s="140" t="s">
        <v>19</v>
      </c>
      <c r="F785" s="140" t="s">
        <v>43</v>
      </c>
      <c r="G785" s="140" t="s">
        <v>21</v>
      </c>
      <c r="H785" s="140" t="s">
        <v>235</v>
      </c>
      <c r="I785" s="140" t="s">
        <v>21</v>
      </c>
      <c r="J785" s="174"/>
    </row>
    <row r="786" hidden="1" customHeight="1" spans="1:10">
      <c r="A786" s="140" t="s">
        <v>280</v>
      </c>
      <c r="B786" s="140" t="s">
        <v>248</v>
      </c>
      <c r="C786" s="171">
        <v>45707</v>
      </c>
      <c r="D786" s="172" t="s">
        <v>18</v>
      </c>
      <c r="E786" s="140" t="s">
        <v>19</v>
      </c>
      <c r="F786" s="140" t="s">
        <v>90</v>
      </c>
      <c r="G786" s="140" t="s">
        <v>21</v>
      </c>
      <c r="H786" s="140" t="s">
        <v>189</v>
      </c>
      <c r="I786" s="140" t="s">
        <v>21</v>
      </c>
      <c r="J786" s="174"/>
    </row>
    <row r="787" hidden="1" customHeight="1" spans="1:10">
      <c r="A787" s="140" t="s">
        <v>280</v>
      </c>
      <c r="B787" s="140" t="s">
        <v>248</v>
      </c>
      <c r="C787" s="171">
        <v>45708</v>
      </c>
      <c r="D787" s="172" t="s">
        <v>23</v>
      </c>
      <c r="E787" s="140" t="s">
        <v>19</v>
      </c>
      <c r="F787" s="140" t="s">
        <v>209</v>
      </c>
      <c r="G787" s="140" t="s">
        <v>21</v>
      </c>
      <c r="H787" s="140" t="s">
        <v>235</v>
      </c>
      <c r="I787" s="140" t="s">
        <v>21</v>
      </c>
      <c r="J787" s="174"/>
    </row>
    <row r="788" hidden="1" customHeight="1" spans="1:10">
      <c r="A788" s="140" t="s">
        <v>280</v>
      </c>
      <c r="B788" s="140" t="s">
        <v>248</v>
      </c>
      <c r="C788" s="171">
        <v>45709</v>
      </c>
      <c r="D788" s="172" t="s">
        <v>25</v>
      </c>
      <c r="E788" s="140" t="s">
        <v>19</v>
      </c>
      <c r="F788" s="140" t="s">
        <v>20</v>
      </c>
      <c r="G788" s="140" t="s">
        <v>21</v>
      </c>
      <c r="H788" s="140" t="s">
        <v>205</v>
      </c>
      <c r="I788" s="140" t="s">
        <v>21</v>
      </c>
      <c r="J788" s="175"/>
    </row>
    <row r="789" hidden="1" customHeight="1" spans="1:10">
      <c r="A789" s="140" t="s">
        <v>280</v>
      </c>
      <c r="B789" s="140" t="s">
        <v>248</v>
      </c>
      <c r="C789" s="171">
        <v>45710</v>
      </c>
      <c r="D789" s="172" t="s">
        <v>27</v>
      </c>
      <c r="E789" s="173" t="s">
        <v>13</v>
      </c>
      <c r="F789" s="140" t="s">
        <v>14</v>
      </c>
      <c r="G789" s="140" t="s">
        <v>14</v>
      </c>
      <c r="H789" s="140" t="s">
        <v>14</v>
      </c>
      <c r="I789" s="140" t="s">
        <v>14</v>
      </c>
      <c r="J789" s="174"/>
    </row>
    <row r="790" hidden="1" customHeight="1" spans="1:10">
      <c r="A790" s="140" t="s">
        <v>280</v>
      </c>
      <c r="B790" s="140" t="s">
        <v>248</v>
      </c>
      <c r="C790" s="171">
        <v>45711</v>
      </c>
      <c r="D790" s="172" t="s">
        <v>15</v>
      </c>
      <c r="E790" s="173" t="s">
        <v>13</v>
      </c>
      <c r="F790" s="140" t="s">
        <v>14</v>
      </c>
      <c r="G790" s="140" t="s">
        <v>14</v>
      </c>
      <c r="H790" s="140" t="s">
        <v>14</v>
      </c>
      <c r="I790" s="140" t="s">
        <v>14</v>
      </c>
      <c r="J790" s="174"/>
    </row>
    <row r="791" hidden="1" customHeight="1" spans="1:10">
      <c r="A791" s="140" t="s">
        <v>280</v>
      </c>
      <c r="B791" s="140" t="s">
        <v>248</v>
      </c>
      <c r="C791" s="171">
        <v>45712</v>
      </c>
      <c r="D791" s="172" t="s">
        <v>16</v>
      </c>
      <c r="E791" s="140" t="s">
        <v>19</v>
      </c>
      <c r="F791" s="140" t="s">
        <v>209</v>
      </c>
      <c r="G791" s="140" t="s">
        <v>21</v>
      </c>
      <c r="H791" s="140" t="s">
        <v>45</v>
      </c>
      <c r="I791" s="140" t="s">
        <v>21</v>
      </c>
      <c r="J791" s="174"/>
    </row>
    <row r="792" hidden="1" customHeight="1" spans="1:10">
      <c r="A792" s="140" t="s">
        <v>280</v>
      </c>
      <c r="B792" s="140" t="s">
        <v>248</v>
      </c>
      <c r="C792" s="171">
        <v>45713</v>
      </c>
      <c r="D792" s="172" t="s">
        <v>17</v>
      </c>
      <c r="E792" s="140" t="s">
        <v>19</v>
      </c>
      <c r="F792" s="140" t="s">
        <v>46</v>
      </c>
      <c r="G792" s="140" t="s">
        <v>21</v>
      </c>
      <c r="H792" s="140" t="s">
        <v>175</v>
      </c>
      <c r="I792" s="140" t="s">
        <v>21</v>
      </c>
      <c r="J792" s="174"/>
    </row>
    <row r="793" customHeight="1" spans="1:10">
      <c r="A793" s="140" t="s">
        <v>280</v>
      </c>
      <c r="B793" s="140" t="s">
        <v>248</v>
      </c>
      <c r="C793" s="171">
        <v>45714</v>
      </c>
      <c r="D793" s="172" t="s">
        <v>18</v>
      </c>
      <c r="E793" s="140" t="s">
        <v>19</v>
      </c>
      <c r="F793" s="140" t="s">
        <v>14</v>
      </c>
      <c r="G793" s="176" t="s">
        <v>68</v>
      </c>
      <c r="H793" s="140" t="s">
        <v>175</v>
      </c>
      <c r="I793" s="140" t="s">
        <v>21</v>
      </c>
      <c r="J793" s="174" t="s">
        <v>69</v>
      </c>
    </row>
    <row r="794" hidden="1" customHeight="1" spans="1:10">
      <c r="A794" s="140" t="s">
        <v>280</v>
      </c>
      <c r="B794" s="140" t="s">
        <v>248</v>
      </c>
      <c r="C794" s="171">
        <v>45715</v>
      </c>
      <c r="D794" s="172" t="s">
        <v>23</v>
      </c>
      <c r="E794" s="140" t="s">
        <v>19</v>
      </c>
      <c r="F794" s="140" t="s">
        <v>33</v>
      </c>
      <c r="G794" s="140" t="s">
        <v>21</v>
      </c>
      <c r="H794" s="140" t="s">
        <v>205</v>
      </c>
      <c r="I794" s="140" t="s">
        <v>21</v>
      </c>
      <c r="J794" s="174"/>
    </row>
    <row r="795" hidden="1" customHeight="1" spans="1:10">
      <c r="A795" s="140" t="s">
        <v>280</v>
      </c>
      <c r="B795" s="140" t="s">
        <v>248</v>
      </c>
      <c r="C795" s="171">
        <v>45716</v>
      </c>
      <c r="D795" s="172" t="s">
        <v>25</v>
      </c>
      <c r="E795" s="140" t="s">
        <v>19</v>
      </c>
      <c r="F795" s="140" t="s">
        <v>51</v>
      </c>
      <c r="G795" s="140" t="s">
        <v>21</v>
      </c>
      <c r="H795" s="140" t="s">
        <v>191</v>
      </c>
      <c r="I795" s="140" t="s">
        <v>21</v>
      </c>
      <c r="J795" s="174"/>
    </row>
    <row r="796" hidden="1" customHeight="1" spans="1:10">
      <c r="A796" s="140" t="s">
        <v>282</v>
      </c>
      <c r="B796" s="140" t="s">
        <v>237</v>
      </c>
      <c r="C796" s="171">
        <v>45689</v>
      </c>
      <c r="D796" s="172" t="s">
        <v>12</v>
      </c>
      <c r="E796" s="173" t="s">
        <v>13</v>
      </c>
      <c r="F796" s="140" t="s">
        <v>14</v>
      </c>
      <c r="G796" s="140" t="s">
        <v>14</v>
      </c>
      <c r="H796" s="140" t="s">
        <v>14</v>
      </c>
      <c r="I796" s="140" t="s">
        <v>14</v>
      </c>
      <c r="J796" s="174"/>
    </row>
    <row r="797" hidden="1" customHeight="1" spans="1:10">
      <c r="A797" s="140" t="s">
        <v>282</v>
      </c>
      <c r="B797" s="140" t="s">
        <v>237</v>
      </c>
      <c r="C797" s="171">
        <v>45690</v>
      </c>
      <c r="D797" s="172" t="s">
        <v>15</v>
      </c>
      <c r="E797" s="173" t="s">
        <v>13</v>
      </c>
      <c r="F797" s="140" t="s">
        <v>14</v>
      </c>
      <c r="G797" s="140" t="s">
        <v>14</v>
      </c>
      <c r="H797" s="140" t="s">
        <v>14</v>
      </c>
      <c r="I797" s="140" t="s">
        <v>14</v>
      </c>
      <c r="J797" s="174"/>
    </row>
    <row r="798" hidden="1" customHeight="1" spans="1:10">
      <c r="A798" s="140" t="s">
        <v>282</v>
      </c>
      <c r="B798" s="140" t="s">
        <v>237</v>
      </c>
      <c r="C798" s="171">
        <v>45691</v>
      </c>
      <c r="D798" s="172" t="s">
        <v>16</v>
      </c>
      <c r="E798" s="173" t="s">
        <v>13</v>
      </c>
      <c r="F798" s="140" t="s">
        <v>14</v>
      </c>
      <c r="G798" s="140" t="s">
        <v>14</v>
      </c>
      <c r="H798" s="140" t="s">
        <v>14</v>
      </c>
      <c r="I798" s="140" t="s">
        <v>14</v>
      </c>
      <c r="J798" s="174"/>
    </row>
    <row r="799" hidden="1" customHeight="1" spans="1:10">
      <c r="A799" s="140" t="s">
        <v>282</v>
      </c>
      <c r="B799" s="140" t="s">
        <v>237</v>
      </c>
      <c r="C799" s="171">
        <v>45692</v>
      </c>
      <c r="D799" s="172" t="s">
        <v>17</v>
      </c>
      <c r="E799" s="173" t="s">
        <v>13</v>
      </c>
      <c r="F799" s="140" t="s">
        <v>14</v>
      </c>
      <c r="G799" s="140" t="s">
        <v>14</v>
      </c>
      <c r="H799" s="140" t="s">
        <v>14</v>
      </c>
      <c r="I799" s="140" t="s">
        <v>14</v>
      </c>
      <c r="J799" s="174"/>
    </row>
    <row r="800" hidden="1" customHeight="1" spans="1:10">
      <c r="A800" s="140" t="s">
        <v>282</v>
      </c>
      <c r="B800" s="140" t="s">
        <v>237</v>
      </c>
      <c r="C800" s="171">
        <v>45693</v>
      </c>
      <c r="D800" s="172" t="s">
        <v>18</v>
      </c>
      <c r="E800" s="140" t="s">
        <v>19</v>
      </c>
      <c r="F800" s="140" t="s">
        <v>117</v>
      </c>
      <c r="G800" s="140" t="s">
        <v>21</v>
      </c>
      <c r="H800" s="140" t="s">
        <v>178</v>
      </c>
      <c r="I800" s="140" t="s">
        <v>21</v>
      </c>
      <c r="J800" s="174"/>
    </row>
    <row r="801" hidden="1" customHeight="1" spans="1:10">
      <c r="A801" s="140" t="s">
        <v>282</v>
      </c>
      <c r="B801" s="140" t="s">
        <v>237</v>
      </c>
      <c r="C801" s="171">
        <v>45694</v>
      </c>
      <c r="D801" s="172" t="s">
        <v>23</v>
      </c>
      <c r="E801" s="140" t="s">
        <v>19</v>
      </c>
      <c r="F801" s="140" t="s">
        <v>143</v>
      </c>
      <c r="G801" s="140" t="s">
        <v>21</v>
      </c>
      <c r="H801" s="140" t="s">
        <v>78</v>
      </c>
      <c r="I801" s="140" t="s">
        <v>21</v>
      </c>
      <c r="J801" s="174"/>
    </row>
    <row r="802" customHeight="1" spans="1:10">
      <c r="A802" s="140" t="s">
        <v>282</v>
      </c>
      <c r="B802" s="140" t="s">
        <v>237</v>
      </c>
      <c r="C802" s="171">
        <v>45695</v>
      </c>
      <c r="D802" s="172" t="s">
        <v>25</v>
      </c>
      <c r="E802" s="140" t="s">
        <v>19</v>
      </c>
      <c r="F802" s="140" t="s">
        <v>30</v>
      </c>
      <c r="G802" s="140" t="s">
        <v>21</v>
      </c>
      <c r="H802" s="140" t="s">
        <v>14</v>
      </c>
      <c r="I802" s="176" t="s">
        <v>68</v>
      </c>
      <c r="J802" s="174" t="s">
        <v>69</v>
      </c>
    </row>
    <row r="803" hidden="1" customHeight="1" spans="1:10">
      <c r="A803" s="140" t="s">
        <v>282</v>
      </c>
      <c r="B803" s="140" t="s">
        <v>237</v>
      </c>
      <c r="C803" s="171">
        <v>45696</v>
      </c>
      <c r="D803" s="172" t="s">
        <v>27</v>
      </c>
      <c r="E803" s="140" t="s">
        <v>19</v>
      </c>
      <c r="F803" s="140" t="s">
        <v>108</v>
      </c>
      <c r="G803" s="140" t="s">
        <v>21</v>
      </c>
      <c r="H803" s="140" t="s">
        <v>53</v>
      </c>
      <c r="I803" s="140" t="s">
        <v>21</v>
      </c>
      <c r="J803" s="174"/>
    </row>
    <row r="804" hidden="1" customHeight="1" spans="1:10">
      <c r="A804" s="140" t="s">
        <v>282</v>
      </c>
      <c r="B804" s="140" t="s">
        <v>237</v>
      </c>
      <c r="C804" s="171">
        <v>45697</v>
      </c>
      <c r="D804" s="172" t="s">
        <v>15</v>
      </c>
      <c r="E804" s="173" t="s">
        <v>13</v>
      </c>
      <c r="F804" s="140" t="s">
        <v>14</v>
      </c>
      <c r="G804" s="140" t="s">
        <v>14</v>
      </c>
      <c r="H804" s="140" t="s">
        <v>14</v>
      </c>
      <c r="I804" s="140" t="s">
        <v>14</v>
      </c>
      <c r="J804" s="174"/>
    </row>
    <row r="805" customHeight="1" spans="1:10">
      <c r="A805" s="140" t="s">
        <v>282</v>
      </c>
      <c r="B805" s="140" t="s">
        <v>237</v>
      </c>
      <c r="C805" s="171">
        <v>45698</v>
      </c>
      <c r="D805" s="172" t="s">
        <v>16</v>
      </c>
      <c r="E805" s="140" t="s">
        <v>19</v>
      </c>
      <c r="F805" s="140" t="s">
        <v>193</v>
      </c>
      <c r="G805" s="140" t="s">
        <v>21</v>
      </c>
      <c r="H805" s="140" t="s">
        <v>14</v>
      </c>
      <c r="I805" s="176" t="s">
        <v>68</v>
      </c>
      <c r="J805" s="174" t="s">
        <v>136</v>
      </c>
    </row>
    <row r="806" hidden="1" customHeight="1" spans="1:10">
      <c r="A806" s="140" t="s">
        <v>282</v>
      </c>
      <c r="B806" s="140" t="s">
        <v>237</v>
      </c>
      <c r="C806" s="171">
        <v>45699</v>
      </c>
      <c r="D806" s="172" t="s">
        <v>17</v>
      </c>
      <c r="E806" s="140" t="s">
        <v>19</v>
      </c>
      <c r="F806" s="140" t="s">
        <v>193</v>
      </c>
      <c r="G806" s="140" t="s">
        <v>21</v>
      </c>
      <c r="H806" s="140" t="s">
        <v>178</v>
      </c>
      <c r="I806" s="140" t="s">
        <v>21</v>
      </c>
      <c r="J806" s="174"/>
    </row>
    <row r="807" hidden="1" customHeight="1" spans="1:10">
      <c r="A807" s="140" t="s">
        <v>282</v>
      </c>
      <c r="B807" s="140" t="s">
        <v>237</v>
      </c>
      <c r="C807" s="171">
        <v>45700</v>
      </c>
      <c r="D807" s="172" t="s">
        <v>18</v>
      </c>
      <c r="E807" s="140" t="s">
        <v>19</v>
      </c>
      <c r="F807" s="140" t="s">
        <v>28</v>
      </c>
      <c r="G807" s="140" t="s">
        <v>21</v>
      </c>
      <c r="H807" s="140" t="s">
        <v>174</v>
      </c>
      <c r="I807" s="140" t="s">
        <v>21</v>
      </c>
      <c r="J807" s="174"/>
    </row>
    <row r="808" hidden="1" customHeight="1" spans="1:10">
      <c r="A808" s="140" t="s">
        <v>282</v>
      </c>
      <c r="B808" s="140" t="s">
        <v>237</v>
      </c>
      <c r="C808" s="171">
        <v>45701</v>
      </c>
      <c r="D808" s="172" t="s">
        <v>23</v>
      </c>
      <c r="E808" s="140" t="s">
        <v>19</v>
      </c>
      <c r="F808" s="140" t="s">
        <v>33</v>
      </c>
      <c r="G808" s="140" t="s">
        <v>21</v>
      </c>
      <c r="H808" s="140" t="s">
        <v>283</v>
      </c>
      <c r="I808" s="140" t="s">
        <v>21</v>
      </c>
      <c r="J808" s="174"/>
    </row>
    <row r="809" hidden="1" customHeight="1" spans="1:10">
      <c r="A809" s="140" t="s">
        <v>282</v>
      </c>
      <c r="B809" s="140" t="s">
        <v>237</v>
      </c>
      <c r="C809" s="171">
        <v>45702</v>
      </c>
      <c r="D809" s="172" t="s">
        <v>25</v>
      </c>
      <c r="E809" s="140" t="s">
        <v>19</v>
      </c>
      <c r="F809" s="140" t="s">
        <v>193</v>
      </c>
      <c r="G809" s="140" t="s">
        <v>21</v>
      </c>
      <c r="H809" s="140" t="s">
        <v>206</v>
      </c>
      <c r="I809" s="140" t="s">
        <v>21</v>
      </c>
      <c r="J809" s="174"/>
    </row>
    <row r="810" hidden="1" customHeight="1" spans="1:10">
      <c r="A810" s="140" t="s">
        <v>282</v>
      </c>
      <c r="B810" s="140" t="s">
        <v>237</v>
      </c>
      <c r="C810" s="171">
        <v>45703</v>
      </c>
      <c r="D810" s="172" t="s">
        <v>27</v>
      </c>
      <c r="E810" s="173" t="s">
        <v>13</v>
      </c>
      <c r="F810" s="140" t="s">
        <v>284</v>
      </c>
      <c r="G810" s="140" t="s">
        <v>21</v>
      </c>
      <c r="H810" s="140" t="s">
        <v>285</v>
      </c>
      <c r="I810" s="140" t="s">
        <v>21</v>
      </c>
      <c r="J810" s="175"/>
    </row>
    <row r="811" hidden="1" customHeight="1" spans="1:10">
      <c r="A811" s="140" t="s">
        <v>282</v>
      </c>
      <c r="B811" s="140" t="s">
        <v>237</v>
      </c>
      <c r="C811" s="171">
        <v>45704</v>
      </c>
      <c r="D811" s="172" t="s">
        <v>15</v>
      </c>
      <c r="E811" s="173" t="s">
        <v>13</v>
      </c>
      <c r="F811" s="140" t="s">
        <v>14</v>
      </c>
      <c r="G811" s="140" t="s">
        <v>14</v>
      </c>
      <c r="H811" s="140" t="s">
        <v>14</v>
      </c>
      <c r="I811" s="140" t="s">
        <v>14</v>
      </c>
      <c r="J811" s="174"/>
    </row>
    <row r="812" hidden="1" customHeight="1" spans="1:10">
      <c r="A812" s="140" t="s">
        <v>282</v>
      </c>
      <c r="B812" s="140" t="s">
        <v>237</v>
      </c>
      <c r="C812" s="171">
        <v>45705</v>
      </c>
      <c r="D812" s="172" t="s">
        <v>16</v>
      </c>
      <c r="E812" s="140" t="s">
        <v>19</v>
      </c>
      <c r="F812" s="140" t="s">
        <v>154</v>
      </c>
      <c r="G812" s="140" t="s">
        <v>21</v>
      </c>
      <c r="H812" s="140" t="s">
        <v>163</v>
      </c>
      <c r="I812" s="140" t="s">
        <v>21</v>
      </c>
      <c r="J812" s="174"/>
    </row>
    <row r="813" hidden="1" customHeight="1" spans="1:10">
      <c r="A813" s="140" t="s">
        <v>282</v>
      </c>
      <c r="B813" s="140" t="s">
        <v>237</v>
      </c>
      <c r="C813" s="171">
        <v>45706</v>
      </c>
      <c r="D813" s="172" t="s">
        <v>17</v>
      </c>
      <c r="E813" s="140" t="s">
        <v>19</v>
      </c>
      <c r="F813" s="140" t="s">
        <v>33</v>
      </c>
      <c r="G813" s="140" t="s">
        <v>21</v>
      </c>
      <c r="H813" s="140" t="s">
        <v>172</v>
      </c>
      <c r="I813" s="140" t="s">
        <v>21</v>
      </c>
      <c r="J813" s="174"/>
    </row>
    <row r="814" customHeight="1" spans="1:10">
      <c r="A814" s="140" t="s">
        <v>282</v>
      </c>
      <c r="B814" s="140" t="s">
        <v>237</v>
      </c>
      <c r="C814" s="171">
        <v>45707</v>
      </c>
      <c r="D814" s="172" t="s">
        <v>18</v>
      </c>
      <c r="E814" s="140" t="s">
        <v>19</v>
      </c>
      <c r="F814" s="140" t="s">
        <v>30</v>
      </c>
      <c r="G814" s="140" t="s">
        <v>21</v>
      </c>
      <c r="H814" s="140" t="s">
        <v>14</v>
      </c>
      <c r="I814" s="176" t="s">
        <v>68</v>
      </c>
      <c r="J814" s="174" t="s">
        <v>69</v>
      </c>
    </row>
    <row r="815" hidden="1" customHeight="1" spans="1:10">
      <c r="A815" s="140" t="s">
        <v>282</v>
      </c>
      <c r="B815" s="140" t="s">
        <v>237</v>
      </c>
      <c r="C815" s="171">
        <v>45708</v>
      </c>
      <c r="D815" s="172" t="s">
        <v>23</v>
      </c>
      <c r="E815" s="140" t="s">
        <v>19</v>
      </c>
      <c r="F815" s="140" t="s">
        <v>188</v>
      </c>
      <c r="G815" s="140" t="s">
        <v>21</v>
      </c>
      <c r="H815" s="140" t="s">
        <v>31</v>
      </c>
      <c r="I815" s="140" t="s">
        <v>21</v>
      </c>
      <c r="J815" s="174"/>
    </row>
    <row r="816" hidden="1" customHeight="1" spans="1:10">
      <c r="A816" s="140" t="s">
        <v>282</v>
      </c>
      <c r="B816" s="140" t="s">
        <v>237</v>
      </c>
      <c r="C816" s="171">
        <v>45709</v>
      </c>
      <c r="D816" s="172" t="s">
        <v>25</v>
      </c>
      <c r="E816" s="140" t="s">
        <v>19</v>
      </c>
      <c r="F816" s="140" t="s">
        <v>154</v>
      </c>
      <c r="G816" s="140" t="s">
        <v>21</v>
      </c>
      <c r="H816" s="140" t="s">
        <v>205</v>
      </c>
      <c r="I816" s="140" t="s">
        <v>21</v>
      </c>
      <c r="J816" s="174"/>
    </row>
    <row r="817" hidden="1" customHeight="1" spans="1:10">
      <c r="A817" s="140" t="s">
        <v>282</v>
      </c>
      <c r="B817" s="140" t="s">
        <v>237</v>
      </c>
      <c r="C817" s="171">
        <v>45710</v>
      </c>
      <c r="D817" s="172" t="s">
        <v>27</v>
      </c>
      <c r="E817" s="173" t="s">
        <v>13</v>
      </c>
      <c r="F817" s="140" t="s">
        <v>14</v>
      </c>
      <c r="G817" s="140" t="s">
        <v>14</v>
      </c>
      <c r="H817" s="140" t="s">
        <v>14</v>
      </c>
      <c r="I817" s="140" t="s">
        <v>14</v>
      </c>
      <c r="J817" s="174"/>
    </row>
    <row r="818" hidden="1" customHeight="1" spans="1:10">
      <c r="A818" s="140" t="s">
        <v>282</v>
      </c>
      <c r="B818" s="140" t="s">
        <v>237</v>
      </c>
      <c r="C818" s="171">
        <v>45711</v>
      </c>
      <c r="D818" s="172" t="s">
        <v>15</v>
      </c>
      <c r="E818" s="173" t="s">
        <v>13</v>
      </c>
      <c r="F818" s="140" t="s">
        <v>14</v>
      </c>
      <c r="G818" s="140" t="s">
        <v>14</v>
      </c>
      <c r="H818" s="140" t="s">
        <v>14</v>
      </c>
      <c r="I818" s="140" t="s">
        <v>14</v>
      </c>
      <c r="J818" s="174"/>
    </row>
    <row r="819" hidden="1" customHeight="1" spans="1:10">
      <c r="A819" s="140" t="s">
        <v>282</v>
      </c>
      <c r="B819" s="140" t="s">
        <v>237</v>
      </c>
      <c r="C819" s="171">
        <v>45712</v>
      </c>
      <c r="D819" s="172" t="s">
        <v>16</v>
      </c>
      <c r="E819" s="140" t="s">
        <v>19</v>
      </c>
      <c r="F819" s="140" t="s">
        <v>154</v>
      </c>
      <c r="G819" s="140" t="s">
        <v>21</v>
      </c>
      <c r="H819" s="140" t="s">
        <v>168</v>
      </c>
      <c r="I819" s="140" t="s">
        <v>21</v>
      </c>
      <c r="J819" s="174"/>
    </row>
    <row r="820" hidden="1" customHeight="1" spans="1:10">
      <c r="A820" s="140" t="s">
        <v>282</v>
      </c>
      <c r="B820" s="140" t="s">
        <v>237</v>
      </c>
      <c r="C820" s="171">
        <v>45713</v>
      </c>
      <c r="D820" s="172" t="s">
        <v>17</v>
      </c>
      <c r="E820" s="140" t="s">
        <v>19</v>
      </c>
      <c r="F820" s="140" t="s">
        <v>150</v>
      </c>
      <c r="G820" s="140" t="s">
        <v>21</v>
      </c>
      <c r="H820" s="140" t="s">
        <v>45</v>
      </c>
      <c r="I820" s="140" t="s">
        <v>21</v>
      </c>
      <c r="J820" s="174"/>
    </row>
    <row r="821" customHeight="1" spans="1:10">
      <c r="A821" s="140" t="s">
        <v>282</v>
      </c>
      <c r="B821" s="140" t="s">
        <v>237</v>
      </c>
      <c r="C821" s="171">
        <v>45714</v>
      </c>
      <c r="D821" s="172" t="s">
        <v>18</v>
      </c>
      <c r="E821" s="140" t="s">
        <v>19</v>
      </c>
      <c r="F821" s="140" t="s">
        <v>30</v>
      </c>
      <c r="G821" s="140" t="s">
        <v>21</v>
      </c>
      <c r="H821" s="140" t="s">
        <v>14</v>
      </c>
      <c r="I821" s="176" t="s">
        <v>68</v>
      </c>
      <c r="J821" s="174" t="s">
        <v>69</v>
      </c>
    </row>
    <row r="822" hidden="1" customHeight="1" spans="1:10">
      <c r="A822" s="140" t="s">
        <v>282</v>
      </c>
      <c r="B822" s="140" t="s">
        <v>237</v>
      </c>
      <c r="C822" s="171">
        <v>45715</v>
      </c>
      <c r="D822" s="172" t="s">
        <v>23</v>
      </c>
      <c r="E822" s="140" t="s">
        <v>19</v>
      </c>
      <c r="F822" s="140" t="s">
        <v>193</v>
      </c>
      <c r="G822" s="140" t="s">
        <v>21</v>
      </c>
      <c r="H822" s="140" t="s">
        <v>118</v>
      </c>
      <c r="I822" s="140" t="s">
        <v>21</v>
      </c>
      <c r="J822" s="174"/>
    </row>
    <row r="823" hidden="1" customHeight="1" spans="1:10">
      <c r="A823" s="140" t="s">
        <v>282</v>
      </c>
      <c r="B823" s="140" t="s">
        <v>237</v>
      </c>
      <c r="C823" s="171">
        <v>45716</v>
      </c>
      <c r="D823" s="172" t="s">
        <v>25</v>
      </c>
      <c r="E823" s="140" t="s">
        <v>19</v>
      </c>
      <c r="F823" s="140" t="s">
        <v>117</v>
      </c>
      <c r="G823" s="140" t="s">
        <v>21</v>
      </c>
      <c r="H823" s="140" t="s">
        <v>212</v>
      </c>
      <c r="I823" s="140" t="s">
        <v>21</v>
      </c>
      <c r="J823" s="174"/>
    </row>
    <row r="824" hidden="1" customHeight="1" spans="1:10">
      <c r="A824" s="140" t="s">
        <v>286</v>
      </c>
      <c r="B824" s="140" t="s">
        <v>198</v>
      </c>
      <c r="C824" s="171">
        <v>45689</v>
      </c>
      <c r="D824" s="172" t="s">
        <v>12</v>
      </c>
      <c r="E824" s="173" t="s">
        <v>13</v>
      </c>
      <c r="F824" s="140" t="s">
        <v>14</v>
      </c>
      <c r="G824" s="140" t="s">
        <v>14</v>
      </c>
      <c r="H824" s="140" t="s">
        <v>14</v>
      </c>
      <c r="I824" s="140" t="s">
        <v>14</v>
      </c>
      <c r="J824" s="174"/>
    </row>
    <row r="825" hidden="1" customHeight="1" spans="1:10">
      <c r="A825" s="140" t="s">
        <v>286</v>
      </c>
      <c r="B825" s="140" t="s">
        <v>198</v>
      </c>
      <c r="C825" s="171">
        <v>45690</v>
      </c>
      <c r="D825" s="172" t="s">
        <v>15</v>
      </c>
      <c r="E825" s="173" t="s">
        <v>13</v>
      </c>
      <c r="F825" s="140" t="s">
        <v>14</v>
      </c>
      <c r="G825" s="140" t="s">
        <v>14</v>
      </c>
      <c r="H825" s="140" t="s">
        <v>14</v>
      </c>
      <c r="I825" s="140" t="s">
        <v>14</v>
      </c>
      <c r="J825" s="174"/>
    </row>
    <row r="826" hidden="1" customHeight="1" spans="1:10">
      <c r="A826" s="140" t="s">
        <v>286</v>
      </c>
      <c r="B826" s="140" t="s">
        <v>198</v>
      </c>
      <c r="C826" s="171">
        <v>45691</v>
      </c>
      <c r="D826" s="172" t="s">
        <v>16</v>
      </c>
      <c r="E826" s="173" t="s">
        <v>13</v>
      </c>
      <c r="F826" s="140" t="s">
        <v>14</v>
      </c>
      <c r="G826" s="140" t="s">
        <v>14</v>
      </c>
      <c r="H826" s="140" t="s">
        <v>14</v>
      </c>
      <c r="I826" s="140" t="s">
        <v>14</v>
      </c>
      <c r="J826" s="174"/>
    </row>
    <row r="827" hidden="1" customHeight="1" spans="1:10">
      <c r="A827" s="140" t="s">
        <v>286</v>
      </c>
      <c r="B827" s="140" t="s">
        <v>198</v>
      </c>
      <c r="C827" s="171">
        <v>45692</v>
      </c>
      <c r="D827" s="172" t="s">
        <v>17</v>
      </c>
      <c r="E827" s="173" t="s">
        <v>13</v>
      </c>
      <c r="F827" s="140" t="s">
        <v>14</v>
      </c>
      <c r="G827" s="140" t="s">
        <v>14</v>
      </c>
      <c r="H827" s="140" t="s">
        <v>14</v>
      </c>
      <c r="I827" s="140" t="s">
        <v>14</v>
      </c>
      <c r="J827" s="174"/>
    </row>
    <row r="828" customHeight="1" spans="1:10">
      <c r="A828" s="140" t="s">
        <v>286</v>
      </c>
      <c r="B828" s="140" t="s">
        <v>198</v>
      </c>
      <c r="C828" s="171">
        <v>45693</v>
      </c>
      <c r="D828" s="172" t="s">
        <v>18</v>
      </c>
      <c r="E828" s="140" t="s">
        <v>19</v>
      </c>
      <c r="F828" s="140" t="s">
        <v>63</v>
      </c>
      <c r="G828" s="140" t="s">
        <v>21</v>
      </c>
      <c r="H828" s="140" t="s">
        <v>14</v>
      </c>
      <c r="I828" s="176" t="s">
        <v>68</v>
      </c>
      <c r="J828" s="174" t="s">
        <v>287</v>
      </c>
    </row>
    <row r="829" hidden="1" customHeight="1" spans="1:10">
      <c r="A829" s="140" t="s">
        <v>286</v>
      </c>
      <c r="B829" s="140" t="s">
        <v>198</v>
      </c>
      <c r="C829" s="171">
        <v>45694</v>
      </c>
      <c r="D829" s="172" t="s">
        <v>23</v>
      </c>
      <c r="E829" s="140" t="s">
        <v>19</v>
      </c>
      <c r="F829" s="140" t="s">
        <v>28</v>
      </c>
      <c r="G829" s="140" t="s">
        <v>21</v>
      </c>
      <c r="H829" s="140" t="s">
        <v>116</v>
      </c>
      <c r="I829" s="140" t="s">
        <v>21</v>
      </c>
      <c r="J829" s="174"/>
    </row>
    <row r="830" customHeight="1" spans="1:10">
      <c r="A830" s="140" t="s">
        <v>286</v>
      </c>
      <c r="B830" s="140" t="s">
        <v>198</v>
      </c>
      <c r="C830" s="171">
        <v>45695</v>
      </c>
      <c r="D830" s="172" t="s">
        <v>25</v>
      </c>
      <c r="E830" s="140" t="s">
        <v>19</v>
      </c>
      <c r="F830" s="140" t="s">
        <v>14</v>
      </c>
      <c r="G830" s="176" t="s">
        <v>68</v>
      </c>
      <c r="H830" s="140" t="s">
        <v>59</v>
      </c>
      <c r="I830" s="140" t="s">
        <v>21</v>
      </c>
      <c r="J830" s="174" t="s">
        <v>69</v>
      </c>
    </row>
    <row r="831" hidden="1" customHeight="1" spans="1:10">
      <c r="A831" s="140" t="s">
        <v>286</v>
      </c>
      <c r="B831" s="140" t="s">
        <v>198</v>
      </c>
      <c r="C831" s="171">
        <v>45696</v>
      </c>
      <c r="D831" s="172" t="s">
        <v>27</v>
      </c>
      <c r="E831" s="140" t="s">
        <v>19</v>
      </c>
      <c r="F831" s="140" t="s">
        <v>137</v>
      </c>
      <c r="G831" s="140" t="s">
        <v>21</v>
      </c>
      <c r="H831" s="140" t="s">
        <v>24</v>
      </c>
      <c r="I831" s="140" t="s">
        <v>21</v>
      </c>
      <c r="J831" s="174"/>
    </row>
    <row r="832" hidden="1" customHeight="1" spans="1:10">
      <c r="A832" s="140" t="s">
        <v>286</v>
      </c>
      <c r="B832" s="140" t="s">
        <v>198</v>
      </c>
      <c r="C832" s="171">
        <v>45697</v>
      </c>
      <c r="D832" s="172" t="s">
        <v>15</v>
      </c>
      <c r="E832" s="173" t="s">
        <v>13</v>
      </c>
      <c r="F832" s="140" t="s">
        <v>14</v>
      </c>
      <c r="G832" s="140" t="s">
        <v>14</v>
      </c>
      <c r="H832" s="140" t="s">
        <v>14</v>
      </c>
      <c r="I832" s="140" t="s">
        <v>14</v>
      </c>
      <c r="J832" s="174"/>
    </row>
    <row r="833" hidden="1" customHeight="1" spans="1:10">
      <c r="A833" s="140" t="s">
        <v>286</v>
      </c>
      <c r="B833" s="140" t="s">
        <v>198</v>
      </c>
      <c r="C833" s="171">
        <v>45698</v>
      </c>
      <c r="D833" s="172" t="s">
        <v>16</v>
      </c>
      <c r="E833" s="140" t="s">
        <v>19</v>
      </c>
      <c r="F833" s="140" t="s">
        <v>129</v>
      </c>
      <c r="G833" s="140" t="s">
        <v>21</v>
      </c>
      <c r="H833" s="140" t="s">
        <v>31</v>
      </c>
      <c r="I833" s="140" t="s">
        <v>21</v>
      </c>
      <c r="J833" s="174"/>
    </row>
    <row r="834" hidden="1" customHeight="1" spans="1:10">
      <c r="A834" s="140" t="s">
        <v>286</v>
      </c>
      <c r="B834" s="140" t="s">
        <v>198</v>
      </c>
      <c r="C834" s="171">
        <v>45699</v>
      </c>
      <c r="D834" s="172" t="s">
        <v>17</v>
      </c>
      <c r="E834" s="140" t="s">
        <v>19</v>
      </c>
      <c r="F834" s="140" t="s">
        <v>46</v>
      </c>
      <c r="G834" s="140" t="s">
        <v>21</v>
      </c>
      <c r="H834" s="140" t="s">
        <v>213</v>
      </c>
      <c r="I834" s="140" t="s">
        <v>21</v>
      </c>
      <c r="J834" s="174"/>
    </row>
    <row r="835" hidden="1" customHeight="1" spans="1:10">
      <c r="A835" s="140" t="s">
        <v>286</v>
      </c>
      <c r="B835" s="140" t="s">
        <v>198</v>
      </c>
      <c r="C835" s="171">
        <v>45700</v>
      </c>
      <c r="D835" s="172" t="s">
        <v>18</v>
      </c>
      <c r="E835" s="140" t="s">
        <v>19</v>
      </c>
      <c r="F835" s="140" t="s">
        <v>51</v>
      </c>
      <c r="G835" s="140" t="s">
        <v>21</v>
      </c>
      <c r="H835" s="140" t="s">
        <v>210</v>
      </c>
      <c r="I835" s="140" t="s">
        <v>21</v>
      </c>
      <c r="J835" s="174"/>
    </row>
    <row r="836" hidden="1" customHeight="1" spans="1:10">
      <c r="A836" s="140" t="s">
        <v>286</v>
      </c>
      <c r="B836" s="140" t="s">
        <v>198</v>
      </c>
      <c r="C836" s="171">
        <v>45701</v>
      </c>
      <c r="D836" s="172" t="s">
        <v>23</v>
      </c>
      <c r="E836" s="140" t="s">
        <v>19</v>
      </c>
      <c r="F836" s="140" t="s">
        <v>36</v>
      </c>
      <c r="G836" s="140" t="s">
        <v>21</v>
      </c>
      <c r="H836" s="140" t="s">
        <v>73</v>
      </c>
      <c r="I836" s="140" t="s">
        <v>21</v>
      </c>
      <c r="J836" s="174"/>
    </row>
    <row r="837" hidden="1" customHeight="1" spans="1:10">
      <c r="A837" s="140" t="s">
        <v>286</v>
      </c>
      <c r="B837" s="140" t="s">
        <v>198</v>
      </c>
      <c r="C837" s="171">
        <v>45702</v>
      </c>
      <c r="D837" s="172" t="s">
        <v>25</v>
      </c>
      <c r="E837" s="140" t="s">
        <v>19</v>
      </c>
      <c r="F837" s="140" t="s">
        <v>46</v>
      </c>
      <c r="G837" s="140" t="s">
        <v>21</v>
      </c>
      <c r="H837" s="140" t="s">
        <v>37</v>
      </c>
      <c r="I837" s="140" t="s">
        <v>21</v>
      </c>
      <c r="J837" s="174"/>
    </row>
    <row r="838" hidden="1" customHeight="1" spans="1:10">
      <c r="A838" s="140" t="s">
        <v>286</v>
      </c>
      <c r="B838" s="140" t="s">
        <v>198</v>
      </c>
      <c r="C838" s="171">
        <v>45703</v>
      </c>
      <c r="D838" s="172" t="s">
        <v>27</v>
      </c>
      <c r="E838" s="173" t="s">
        <v>13</v>
      </c>
      <c r="F838" s="140" t="s">
        <v>14</v>
      </c>
      <c r="G838" s="140" t="s">
        <v>14</v>
      </c>
      <c r="H838" s="140" t="s">
        <v>14</v>
      </c>
      <c r="I838" s="140" t="s">
        <v>14</v>
      </c>
      <c r="J838" s="174"/>
    </row>
    <row r="839" hidden="1" customHeight="1" spans="1:10">
      <c r="A839" s="140" t="s">
        <v>286</v>
      </c>
      <c r="B839" s="140" t="s">
        <v>198</v>
      </c>
      <c r="C839" s="171">
        <v>45704</v>
      </c>
      <c r="D839" s="172" t="s">
        <v>15</v>
      </c>
      <c r="E839" s="173" t="s">
        <v>13</v>
      </c>
      <c r="F839" s="140" t="s">
        <v>14</v>
      </c>
      <c r="G839" s="140" t="s">
        <v>14</v>
      </c>
      <c r="H839" s="140" t="s">
        <v>14</v>
      </c>
      <c r="I839" s="140" t="s">
        <v>14</v>
      </c>
      <c r="J839" s="174"/>
    </row>
    <row r="840" hidden="1" customHeight="1" spans="1:10">
      <c r="A840" s="140" t="s">
        <v>286</v>
      </c>
      <c r="B840" s="140" t="s">
        <v>198</v>
      </c>
      <c r="C840" s="171">
        <v>45705</v>
      </c>
      <c r="D840" s="172" t="s">
        <v>16</v>
      </c>
      <c r="E840" s="140" t="s">
        <v>19</v>
      </c>
      <c r="F840" s="140" t="s">
        <v>90</v>
      </c>
      <c r="G840" s="140" t="s">
        <v>21</v>
      </c>
      <c r="H840" s="140" t="s">
        <v>213</v>
      </c>
      <c r="I840" s="140" t="s">
        <v>21</v>
      </c>
      <c r="J840" s="174"/>
    </row>
    <row r="841" hidden="1" customHeight="1" spans="1:10">
      <c r="A841" s="140" t="s">
        <v>286</v>
      </c>
      <c r="B841" s="140" t="s">
        <v>198</v>
      </c>
      <c r="C841" s="171">
        <v>45706</v>
      </c>
      <c r="D841" s="172" t="s">
        <v>17</v>
      </c>
      <c r="E841" s="140" t="s">
        <v>19</v>
      </c>
      <c r="F841" s="140" t="s">
        <v>43</v>
      </c>
      <c r="G841" s="140" t="s">
        <v>21</v>
      </c>
      <c r="H841" s="140" t="s">
        <v>82</v>
      </c>
      <c r="I841" s="140" t="s">
        <v>21</v>
      </c>
      <c r="J841" s="174"/>
    </row>
    <row r="842" hidden="1" customHeight="1" spans="1:10">
      <c r="A842" s="140" t="s">
        <v>286</v>
      </c>
      <c r="B842" s="140" t="s">
        <v>198</v>
      </c>
      <c r="C842" s="171">
        <v>45707</v>
      </c>
      <c r="D842" s="172" t="s">
        <v>18</v>
      </c>
      <c r="E842" s="140" t="s">
        <v>19</v>
      </c>
      <c r="F842" s="140" t="s">
        <v>51</v>
      </c>
      <c r="G842" s="140" t="s">
        <v>21</v>
      </c>
      <c r="H842" s="140" t="s">
        <v>205</v>
      </c>
      <c r="I842" s="140" t="s">
        <v>21</v>
      </c>
      <c r="J842" s="174"/>
    </row>
    <row r="843" customHeight="1" spans="1:10">
      <c r="A843" s="140" t="s">
        <v>286</v>
      </c>
      <c r="B843" s="140" t="s">
        <v>198</v>
      </c>
      <c r="C843" s="171">
        <v>45708</v>
      </c>
      <c r="D843" s="172" t="s">
        <v>23</v>
      </c>
      <c r="E843" s="140" t="s">
        <v>19</v>
      </c>
      <c r="F843" s="140" t="s">
        <v>288</v>
      </c>
      <c r="G843" s="177" t="s">
        <v>103</v>
      </c>
      <c r="H843" s="140" t="s">
        <v>78</v>
      </c>
      <c r="I843" s="140" t="s">
        <v>21</v>
      </c>
      <c r="J843" s="174" t="s">
        <v>164</v>
      </c>
    </row>
    <row r="844" customHeight="1" spans="1:10">
      <c r="A844" s="140" t="s">
        <v>286</v>
      </c>
      <c r="B844" s="140" t="s">
        <v>198</v>
      </c>
      <c r="C844" s="171">
        <v>45709</v>
      </c>
      <c r="D844" s="172" t="s">
        <v>25</v>
      </c>
      <c r="E844" s="140" t="s">
        <v>19</v>
      </c>
      <c r="F844" s="140" t="s">
        <v>267</v>
      </c>
      <c r="G844" s="177" t="s">
        <v>103</v>
      </c>
      <c r="H844" s="140" t="s">
        <v>289</v>
      </c>
      <c r="I844" s="140" t="s">
        <v>21</v>
      </c>
      <c r="J844" s="174" t="s">
        <v>69</v>
      </c>
    </row>
    <row r="845" hidden="1" customHeight="1" spans="1:10">
      <c r="A845" s="140" t="s">
        <v>286</v>
      </c>
      <c r="B845" s="140" t="s">
        <v>198</v>
      </c>
      <c r="C845" s="171">
        <v>45710</v>
      </c>
      <c r="D845" s="172" t="s">
        <v>27</v>
      </c>
      <c r="E845" s="173" t="s">
        <v>13</v>
      </c>
      <c r="F845" s="140" t="s">
        <v>14</v>
      </c>
      <c r="G845" s="140" t="s">
        <v>14</v>
      </c>
      <c r="H845" s="140" t="s">
        <v>14</v>
      </c>
      <c r="I845" s="140" t="s">
        <v>14</v>
      </c>
      <c r="J845" s="174"/>
    </row>
    <row r="846" hidden="1" customHeight="1" spans="1:10">
      <c r="A846" s="140" t="s">
        <v>286</v>
      </c>
      <c r="B846" s="140" t="s">
        <v>198</v>
      </c>
      <c r="C846" s="171">
        <v>45711</v>
      </c>
      <c r="D846" s="172" t="s">
        <v>15</v>
      </c>
      <c r="E846" s="173" t="s">
        <v>13</v>
      </c>
      <c r="F846" s="140" t="s">
        <v>14</v>
      </c>
      <c r="G846" s="140" t="s">
        <v>14</v>
      </c>
      <c r="H846" s="140" t="s">
        <v>14</v>
      </c>
      <c r="I846" s="140" t="s">
        <v>14</v>
      </c>
      <c r="J846" s="174"/>
    </row>
    <row r="847" hidden="1" customHeight="1" spans="1:10">
      <c r="A847" s="140" t="s">
        <v>286</v>
      </c>
      <c r="B847" s="140" t="s">
        <v>198</v>
      </c>
      <c r="C847" s="171">
        <v>45712</v>
      </c>
      <c r="D847" s="172" t="s">
        <v>16</v>
      </c>
      <c r="E847" s="140" t="s">
        <v>19</v>
      </c>
      <c r="F847" s="140" t="s">
        <v>20</v>
      </c>
      <c r="G847" s="140" t="s">
        <v>21</v>
      </c>
      <c r="H847" s="140" t="s">
        <v>168</v>
      </c>
      <c r="I847" s="140" t="s">
        <v>21</v>
      </c>
      <c r="J847" s="174"/>
    </row>
    <row r="848" hidden="1" customHeight="1" spans="1:10">
      <c r="A848" s="140" t="s">
        <v>286</v>
      </c>
      <c r="B848" s="140" t="s">
        <v>198</v>
      </c>
      <c r="C848" s="171">
        <v>45713</v>
      </c>
      <c r="D848" s="172" t="s">
        <v>17</v>
      </c>
      <c r="E848" s="140" t="s">
        <v>19</v>
      </c>
      <c r="F848" s="140" t="s">
        <v>30</v>
      </c>
      <c r="G848" s="140" t="s">
        <v>21</v>
      </c>
      <c r="H848" s="140" t="s">
        <v>212</v>
      </c>
      <c r="I848" s="140" t="s">
        <v>21</v>
      </c>
      <c r="J848" s="174"/>
    </row>
    <row r="849" customHeight="1" spans="1:10">
      <c r="A849" s="140" t="s">
        <v>286</v>
      </c>
      <c r="B849" s="140" t="s">
        <v>198</v>
      </c>
      <c r="C849" s="171">
        <v>45714</v>
      </c>
      <c r="D849" s="172" t="s">
        <v>18</v>
      </c>
      <c r="E849" s="140" t="s">
        <v>19</v>
      </c>
      <c r="F849" s="140" t="s">
        <v>14</v>
      </c>
      <c r="G849" s="176" t="s">
        <v>68</v>
      </c>
      <c r="H849" s="140" t="s">
        <v>191</v>
      </c>
      <c r="I849" s="140" t="s">
        <v>21</v>
      </c>
      <c r="J849" s="174" t="s">
        <v>69</v>
      </c>
    </row>
    <row r="850" hidden="1" customHeight="1" spans="1:10">
      <c r="A850" s="140" t="s">
        <v>286</v>
      </c>
      <c r="B850" s="140" t="s">
        <v>198</v>
      </c>
      <c r="C850" s="171">
        <v>45715</v>
      </c>
      <c r="D850" s="172" t="s">
        <v>23</v>
      </c>
      <c r="E850" s="140" t="s">
        <v>19</v>
      </c>
      <c r="F850" s="140" t="s">
        <v>209</v>
      </c>
      <c r="G850" s="140" t="s">
        <v>21</v>
      </c>
      <c r="H850" s="140" t="s">
        <v>290</v>
      </c>
      <c r="I850" s="140" t="s">
        <v>21</v>
      </c>
      <c r="J850" s="174"/>
    </row>
    <row r="851" hidden="1" customHeight="1" spans="1:10">
      <c r="A851" s="140" t="s">
        <v>286</v>
      </c>
      <c r="B851" s="140" t="s">
        <v>198</v>
      </c>
      <c r="C851" s="171">
        <v>45716</v>
      </c>
      <c r="D851" s="172" t="s">
        <v>25</v>
      </c>
      <c r="E851" s="140" t="s">
        <v>19</v>
      </c>
      <c r="F851" s="140" t="s">
        <v>20</v>
      </c>
      <c r="G851" s="140" t="s">
        <v>21</v>
      </c>
      <c r="H851" s="140" t="s">
        <v>210</v>
      </c>
      <c r="I851" s="140" t="s">
        <v>21</v>
      </c>
      <c r="J851" s="174"/>
    </row>
    <row r="852" hidden="1" customHeight="1" spans="1:10">
      <c r="A852" s="140" t="s">
        <v>291</v>
      </c>
      <c r="B852" s="140" t="s">
        <v>292</v>
      </c>
      <c r="C852" s="171">
        <v>45689</v>
      </c>
      <c r="D852" s="172" t="s">
        <v>12</v>
      </c>
      <c r="E852" s="173" t="s">
        <v>13</v>
      </c>
      <c r="F852" s="140" t="s">
        <v>14</v>
      </c>
      <c r="G852" s="140" t="s">
        <v>14</v>
      </c>
      <c r="H852" s="140" t="s">
        <v>14</v>
      </c>
      <c r="I852" s="140" t="s">
        <v>14</v>
      </c>
      <c r="J852" s="174"/>
    </row>
    <row r="853" hidden="1" customHeight="1" spans="1:10">
      <c r="A853" s="140" t="s">
        <v>291</v>
      </c>
      <c r="B853" s="140" t="s">
        <v>292</v>
      </c>
      <c r="C853" s="171">
        <v>45690</v>
      </c>
      <c r="D853" s="172" t="s">
        <v>15</v>
      </c>
      <c r="E853" s="173" t="s">
        <v>13</v>
      </c>
      <c r="F853" s="140" t="s">
        <v>14</v>
      </c>
      <c r="G853" s="140" t="s">
        <v>14</v>
      </c>
      <c r="H853" s="140" t="s">
        <v>14</v>
      </c>
      <c r="I853" s="140" t="s">
        <v>14</v>
      </c>
      <c r="J853" s="174"/>
    </row>
    <row r="854" hidden="1" customHeight="1" spans="1:10">
      <c r="A854" s="140" t="s">
        <v>291</v>
      </c>
      <c r="B854" s="140" t="s">
        <v>292</v>
      </c>
      <c r="C854" s="171">
        <v>45691</v>
      </c>
      <c r="D854" s="172" t="s">
        <v>16</v>
      </c>
      <c r="E854" s="173" t="s">
        <v>13</v>
      </c>
      <c r="F854" s="140" t="s">
        <v>14</v>
      </c>
      <c r="G854" s="140" t="s">
        <v>14</v>
      </c>
      <c r="H854" s="140" t="s">
        <v>14</v>
      </c>
      <c r="I854" s="140" t="s">
        <v>14</v>
      </c>
      <c r="J854" s="174"/>
    </row>
    <row r="855" hidden="1" customHeight="1" spans="1:10">
      <c r="A855" s="140" t="s">
        <v>291</v>
      </c>
      <c r="B855" s="140" t="s">
        <v>292</v>
      </c>
      <c r="C855" s="171">
        <v>45692</v>
      </c>
      <c r="D855" s="172" t="s">
        <v>17</v>
      </c>
      <c r="E855" s="173" t="s">
        <v>13</v>
      </c>
      <c r="F855" s="140" t="s">
        <v>14</v>
      </c>
      <c r="G855" s="140" t="s">
        <v>14</v>
      </c>
      <c r="H855" s="140" t="s">
        <v>14</v>
      </c>
      <c r="I855" s="140" t="s">
        <v>14</v>
      </c>
      <c r="J855" s="174"/>
    </row>
    <row r="856" hidden="1" customHeight="1" spans="1:10">
      <c r="A856" s="140" t="s">
        <v>291</v>
      </c>
      <c r="B856" s="140" t="s">
        <v>292</v>
      </c>
      <c r="C856" s="171">
        <v>45693</v>
      </c>
      <c r="D856" s="172" t="s">
        <v>18</v>
      </c>
      <c r="E856" s="140" t="s">
        <v>19</v>
      </c>
      <c r="F856" s="140" t="s">
        <v>195</v>
      </c>
      <c r="G856" s="140" t="s">
        <v>21</v>
      </c>
      <c r="H856" s="140" t="s">
        <v>53</v>
      </c>
      <c r="I856" s="140" t="s">
        <v>21</v>
      </c>
      <c r="J856" s="174"/>
    </row>
    <row r="857" hidden="1" customHeight="1" spans="1:10">
      <c r="A857" s="140" t="s">
        <v>291</v>
      </c>
      <c r="B857" s="140" t="s">
        <v>292</v>
      </c>
      <c r="C857" s="171">
        <v>45694</v>
      </c>
      <c r="D857" s="172" t="s">
        <v>23</v>
      </c>
      <c r="E857" s="140" t="s">
        <v>19</v>
      </c>
      <c r="F857" s="140" t="s">
        <v>157</v>
      </c>
      <c r="G857" s="140" t="s">
        <v>21</v>
      </c>
      <c r="H857" s="140" t="s">
        <v>212</v>
      </c>
      <c r="I857" s="140" t="s">
        <v>21</v>
      </c>
      <c r="J857" s="174"/>
    </row>
    <row r="858" hidden="1" customHeight="1" spans="1:10">
      <c r="A858" s="140" t="s">
        <v>291</v>
      </c>
      <c r="B858" s="140" t="s">
        <v>292</v>
      </c>
      <c r="C858" s="171">
        <v>45695</v>
      </c>
      <c r="D858" s="172" t="s">
        <v>25</v>
      </c>
      <c r="E858" s="140" t="s">
        <v>19</v>
      </c>
      <c r="F858" s="140" t="s">
        <v>150</v>
      </c>
      <c r="G858" s="140" t="s">
        <v>21</v>
      </c>
      <c r="H858" s="140" t="s">
        <v>205</v>
      </c>
      <c r="I858" s="140" t="s">
        <v>21</v>
      </c>
      <c r="J858" s="174"/>
    </row>
    <row r="859" hidden="1" customHeight="1" spans="1:10">
      <c r="A859" s="140" t="s">
        <v>291</v>
      </c>
      <c r="B859" s="140" t="s">
        <v>292</v>
      </c>
      <c r="C859" s="171">
        <v>45696</v>
      </c>
      <c r="D859" s="172" t="s">
        <v>27</v>
      </c>
      <c r="E859" s="140" t="s">
        <v>19</v>
      </c>
      <c r="F859" s="140" t="s">
        <v>117</v>
      </c>
      <c r="G859" s="140" t="s">
        <v>21</v>
      </c>
      <c r="H859" s="140" t="s">
        <v>225</v>
      </c>
      <c r="I859" s="140" t="s">
        <v>21</v>
      </c>
      <c r="J859" s="174"/>
    </row>
    <row r="860" hidden="1" customHeight="1" spans="1:10">
      <c r="A860" s="140" t="s">
        <v>291</v>
      </c>
      <c r="B860" s="140" t="s">
        <v>292</v>
      </c>
      <c r="C860" s="171">
        <v>45697</v>
      </c>
      <c r="D860" s="172" t="s">
        <v>15</v>
      </c>
      <c r="E860" s="173" t="s">
        <v>13</v>
      </c>
      <c r="F860" s="140" t="s">
        <v>14</v>
      </c>
      <c r="G860" s="140" t="s">
        <v>14</v>
      </c>
      <c r="H860" s="140" t="s">
        <v>14</v>
      </c>
      <c r="I860" s="140" t="s">
        <v>14</v>
      </c>
      <c r="J860" s="174"/>
    </row>
    <row r="861" hidden="1" customHeight="1" spans="1:10">
      <c r="A861" s="140" t="s">
        <v>291</v>
      </c>
      <c r="B861" s="140" t="s">
        <v>292</v>
      </c>
      <c r="C861" s="171">
        <v>45698</v>
      </c>
      <c r="D861" s="172" t="s">
        <v>16</v>
      </c>
      <c r="E861" s="140" t="s">
        <v>19</v>
      </c>
      <c r="F861" s="140" t="s">
        <v>146</v>
      </c>
      <c r="G861" s="140" t="s">
        <v>21</v>
      </c>
      <c r="H861" s="140" t="s">
        <v>170</v>
      </c>
      <c r="I861" s="140" t="s">
        <v>21</v>
      </c>
      <c r="J861" s="174"/>
    </row>
    <row r="862" customHeight="1" spans="1:10">
      <c r="A862" s="140" t="s">
        <v>291</v>
      </c>
      <c r="B862" s="140" t="s">
        <v>292</v>
      </c>
      <c r="C862" s="171">
        <v>45699</v>
      </c>
      <c r="D862" s="172" t="s">
        <v>17</v>
      </c>
      <c r="E862" s="140" t="s">
        <v>19</v>
      </c>
      <c r="F862" s="140" t="s">
        <v>146</v>
      </c>
      <c r="G862" s="140" t="s">
        <v>21</v>
      </c>
      <c r="H862" s="140" t="s">
        <v>14</v>
      </c>
      <c r="I862" s="176" t="s">
        <v>68</v>
      </c>
      <c r="J862" s="174" t="s">
        <v>287</v>
      </c>
    </row>
    <row r="863" hidden="1" customHeight="1" spans="1:10">
      <c r="A863" s="140" t="s">
        <v>291</v>
      </c>
      <c r="B863" s="140" t="s">
        <v>292</v>
      </c>
      <c r="C863" s="171">
        <v>45700</v>
      </c>
      <c r="D863" s="172" t="s">
        <v>18</v>
      </c>
      <c r="E863" s="140" t="s">
        <v>19</v>
      </c>
      <c r="F863" s="140" t="s">
        <v>43</v>
      </c>
      <c r="G863" s="140" t="s">
        <v>21</v>
      </c>
      <c r="H863" s="140" t="s">
        <v>92</v>
      </c>
      <c r="I863" s="140" t="s">
        <v>21</v>
      </c>
      <c r="J863" s="174"/>
    </row>
    <row r="864" hidden="1" customHeight="1" spans="1:10">
      <c r="A864" s="140" t="s">
        <v>291</v>
      </c>
      <c r="B864" s="140" t="s">
        <v>292</v>
      </c>
      <c r="C864" s="171">
        <v>45701</v>
      </c>
      <c r="D864" s="172" t="s">
        <v>23</v>
      </c>
      <c r="E864" s="140" t="s">
        <v>19</v>
      </c>
      <c r="F864" s="140" t="s">
        <v>40</v>
      </c>
      <c r="G864" s="140" t="s">
        <v>21</v>
      </c>
      <c r="H864" s="140" t="s">
        <v>191</v>
      </c>
      <c r="I864" s="140" t="s">
        <v>21</v>
      </c>
      <c r="J864" s="174"/>
    </row>
    <row r="865" hidden="1" customHeight="1" spans="1:10">
      <c r="A865" s="140" t="s">
        <v>291</v>
      </c>
      <c r="B865" s="140" t="s">
        <v>292</v>
      </c>
      <c r="C865" s="171">
        <v>45702</v>
      </c>
      <c r="D865" s="172" t="s">
        <v>25</v>
      </c>
      <c r="E865" s="140" t="s">
        <v>19</v>
      </c>
      <c r="F865" s="140" t="s">
        <v>150</v>
      </c>
      <c r="G865" s="140" t="s">
        <v>21</v>
      </c>
      <c r="H865" s="140" t="s">
        <v>212</v>
      </c>
      <c r="I865" s="140" t="s">
        <v>21</v>
      </c>
      <c r="J865" s="174"/>
    </row>
    <row r="866" hidden="1" customHeight="1" spans="1:10">
      <c r="A866" s="140" t="s">
        <v>291</v>
      </c>
      <c r="B866" s="140" t="s">
        <v>292</v>
      </c>
      <c r="C866" s="171">
        <v>45703</v>
      </c>
      <c r="D866" s="172" t="s">
        <v>27</v>
      </c>
      <c r="E866" s="173" t="s">
        <v>13</v>
      </c>
      <c r="F866" s="140" t="s">
        <v>14</v>
      </c>
      <c r="G866" s="140" t="s">
        <v>14</v>
      </c>
      <c r="H866" s="140" t="s">
        <v>14</v>
      </c>
      <c r="I866" s="140" t="s">
        <v>14</v>
      </c>
      <c r="J866" s="174"/>
    </row>
    <row r="867" hidden="1" customHeight="1" spans="1:10">
      <c r="A867" s="140" t="s">
        <v>291</v>
      </c>
      <c r="B867" s="140" t="s">
        <v>292</v>
      </c>
      <c r="C867" s="171">
        <v>45704</v>
      </c>
      <c r="D867" s="172" t="s">
        <v>15</v>
      </c>
      <c r="E867" s="173" t="s">
        <v>13</v>
      </c>
      <c r="F867" s="140" t="s">
        <v>14</v>
      </c>
      <c r="G867" s="140" t="s">
        <v>14</v>
      </c>
      <c r="H867" s="140" t="s">
        <v>14</v>
      </c>
      <c r="I867" s="140" t="s">
        <v>14</v>
      </c>
      <c r="J867" s="174"/>
    </row>
    <row r="868" customHeight="1" spans="1:10">
      <c r="A868" s="140" t="s">
        <v>291</v>
      </c>
      <c r="B868" s="140" t="s">
        <v>292</v>
      </c>
      <c r="C868" s="171">
        <v>45705</v>
      </c>
      <c r="D868" s="172" t="s">
        <v>16</v>
      </c>
      <c r="E868" s="140" t="s">
        <v>19</v>
      </c>
      <c r="F868" s="140" t="s">
        <v>14</v>
      </c>
      <c r="G868" s="176" t="s">
        <v>68</v>
      </c>
      <c r="H868" s="140" t="s">
        <v>45</v>
      </c>
      <c r="I868" s="140" t="s">
        <v>21</v>
      </c>
      <c r="J868" s="174" t="s">
        <v>69</v>
      </c>
    </row>
    <row r="869" hidden="1" customHeight="1" spans="1:10">
      <c r="A869" s="140" t="s">
        <v>291</v>
      </c>
      <c r="B869" s="140" t="s">
        <v>292</v>
      </c>
      <c r="C869" s="171">
        <v>45706</v>
      </c>
      <c r="D869" s="172" t="s">
        <v>17</v>
      </c>
      <c r="E869" s="140" t="s">
        <v>19</v>
      </c>
      <c r="F869" s="140" t="s">
        <v>40</v>
      </c>
      <c r="G869" s="140" t="s">
        <v>21</v>
      </c>
      <c r="H869" s="140" t="s">
        <v>32</v>
      </c>
      <c r="I869" s="140" t="s">
        <v>21</v>
      </c>
      <c r="J869" s="174"/>
    </row>
    <row r="870" hidden="1" customHeight="1" spans="1:10">
      <c r="A870" s="140" t="s">
        <v>291</v>
      </c>
      <c r="B870" s="140" t="s">
        <v>292</v>
      </c>
      <c r="C870" s="171">
        <v>45707</v>
      </c>
      <c r="D870" s="172" t="s">
        <v>18</v>
      </c>
      <c r="E870" s="140" t="s">
        <v>19</v>
      </c>
      <c r="F870" s="140" t="s">
        <v>108</v>
      </c>
      <c r="G870" s="140" t="s">
        <v>21</v>
      </c>
      <c r="H870" s="140" t="s">
        <v>212</v>
      </c>
      <c r="I870" s="140" t="s">
        <v>21</v>
      </c>
      <c r="J870" s="174"/>
    </row>
    <row r="871" hidden="1" customHeight="1" spans="1:10">
      <c r="A871" s="140" t="s">
        <v>291</v>
      </c>
      <c r="B871" s="140" t="s">
        <v>292</v>
      </c>
      <c r="C871" s="171">
        <v>45708</v>
      </c>
      <c r="D871" s="172" t="s">
        <v>23</v>
      </c>
      <c r="E871" s="140" t="s">
        <v>19</v>
      </c>
      <c r="F871" s="140" t="s">
        <v>28</v>
      </c>
      <c r="G871" s="140" t="s">
        <v>21</v>
      </c>
      <c r="H871" s="140" t="s">
        <v>50</v>
      </c>
      <c r="I871" s="140" t="s">
        <v>21</v>
      </c>
      <c r="J871" s="174"/>
    </row>
    <row r="872" hidden="1" customHeight="1" spans="1:10">
      <c r="A872" s="140" t="s">
        <v>291</v>
      </c>
      <c r="B872" s="140" t="s">
        <v>292</v>
      </c>
      <c r="C872" s="171">
        <v>45709</v>
      </c>
      <c r="D872" s="172" t="s">
        <v>25</v>
      </c>
      <c r="E872" s="140" t="s">
        <v>19</v>
      </c>
      <c r="F872" s="140" t="s">
        <v>139</v>
      </c>
      <c r="G872" s="140" t="s">
        <v>21</v>
      </c>
      <c r="H872" s="140" t="s">
        <v>170</v>
      </c>
      <c r="I872" s="140" t="s">
        <v>21</v>
      </c>
      <c r="J872" s="174"/>
    </row>
    <row r="873" hidden="1" customHeight="1" spans="1:10">
      <c r="A873" s="140" t="s">
        <v>291</v>
      </c>
      <c r="B873" s="140" t="s">
        <v>292</v>
      </c>
      <c r="C873" s="171">
        <v>45710</v>
      </c>
      <c r="D873" s="172" t="s">
        <v>27</v>
      </c>
      <c r="E873" s="173" t="s">
        <v>13</v>
      </c>
      <c r="F873" s="140" t="s">
        <v>14</v>
      </c>
      <c r="G873" s="140" t="s">
        <v>14</v>
      </c>
      <c r="H873" s="140" t="s">
        <v>14</v>
      </c>
      <c r="I873" s="140" t="s">
        <v>14</v>
      </c>
      <c r="J873" s="174"/>
    </row>
    <row r="874" hidden="1" customHeight="1" spans="1:10">
      <c r="A874" s="140" t="s">
        <v>291</v>
      </c>
      <c r="B874" s="140" t="s">
        <v>292</v>
      </c>
      <c r="C874" s="171">
        <v>45711</v>
      </c>
      <c r="D874" s="172" t="s">
        <v>15</v>
      </c>
      <c r="E874" s="173" t="s">
        <v>13</v>
      </c>
      <c r="F874" s="140" t="s">
        <v>14</v>
      </c>
      <c r="G874" s="140" t="s">
        <v>14</v>
      </c>
      <c r="H874" s="140" t="s">
        <v>14</v>
      </c>
      <c r="I874" s="140" t="s">
        <v>14</v>
      </c>
      <c r="J874" s="174"/>
    </row>
    <row r="875" hidden="1" customHeight="1" spans="1:10">
      <c r="A875" s="140" t="s">
        <v>291</v>
      </c>
      <c r="B875" s="140" t="s">
        <v>292</v>
      </c>
      <c r="C875" s="171">
        <v>45712</v>
      </c>
      <c r="D875" s="172" t="s">
        <v>16</v>
      </c>
      <c r="E875" s="140" t="s">
        <v>19</v>
      </c>
      <c r="F875" s="140" t="s">
        <v>195</v>
      </c>
      <c r="G875" s="140" t="s">
        <v>21</v>
      </c>
      <c r="H875" s="140" t="s">
        <v>45</v>
      </c>
      <c r="I875" s="140" t="s">
        <v>21</v>
      </c>
      <c r="J875" s="174"/>
    </row>
    <row r="876" customHeight="1" spans="1:10">
      <c r="A876" s="140" t="s">
        <v>291</v>
      </c>
      <c r="B876" s="140" t="s">
        <v>292</v>
      </c>
      <c r="C876" s="171">
        <v>45713</v>
      </c>
      <c r="D876" s="172" t="s">
        <v>17</v>
      </c>
      <c r="E876" s="140" t="s">
        <v>19</v>
      </c>
      <c r="F876" s="140" t="s">
        <v>293</v>
      </c>
      <c r="G876" s="177" t="s">
        <v>103</v>
      </c>
      <c r="H876" s="140" t="s">
        <v>210</v>
      </c>
      <c r="I876" s="140" t="s">
        <v>21</v>
      </c>
      <c r="J876" s="174" t="s">
        <v>69</v>
      </c>
    </row>
    <row r="877" hidden="1" customHeight="1" spans="1:10">
      <c r="A877" s="140" t="s">
        <v>291</v>
      </c>
      <c r="B877" s="140" t="s">
        <v>292</v>
      </c>
      <c r="C877" s="171">
        <v>45714</v>
      </c>
      <c r="D877" s="172" t="s">
        <v>18</v>
      </c>
      <c r="E877" s="140" t="s">
        <v>19</v>
      </c>
      <c r="F877" s="140" t="s">
        <v>195</v>
      </c>
      <c r="G877" s="140" t="s">
        <v>21</v>
      </c>
      <c r="H877" s="140" t="s">
        <v>191</v>
      </c>
      <c r="I877" s="140" t="s">
        <v>21</v>
      </c>
      <c r="J877" s="174"/>
    </row>
    <row r="878" hidden="1" customHeight="1" spans="1:10">
      <c r="A878" s="140" t="s">
        <v>291</v>
      </c>
      <c r="B878" s="140" t="s">
        <v>292</v>
      </c>
      <c r="C878" s="171">
        <v>45715</v>
      </c>
      <c r="D878" s="172" t="s">
        <v>23</v>
      </c>
      <c r="E878" s="140" t="s">
        <v>19</v>
      </c>
      <c r="F878" s="140" t="s">
        <v>108</v>
      </c>
      <c r="G878" s="140" t="s">
        <v>21</v>
      </c>
      <c r="H878" s="140" t="s">
        <v>170</v>
      </c>
      <c r="I878" s="140" t="s">
        <v>21</v>
      </c>
      <c r="J878" s="174"/>
    </row>
    <row r="879" customHeight="1" spans="1:10">
      <c r="A879" s="140" t="s">
        <v>291</v>
      </c>
      <c r="B879" s="140" t="s">
        <v>292</v>
      </c>
      <c r="C879" s="171">
        <v>45716</v>
      </c>
      <c r="D879" s="172" t="s">
        <v>25</v>
      </c>
      <c r="E879" s="140" t="s">
        <v>19</v>
      </c>
      <c r="F879" s="140" t="s">
        <v>14</v>
      </c>
      <c r="G879" s="176" t="s">
        <v>68</v>
      </c>
      <c r="H879" s="140" t="s">
        <v>205</v>
      </c>
      <c r="I879" s="140" t="s">
        <v>21</v>
      </c>
      <c r="J879" s="174" t="s">
        <v>69</v>
      </c>
    </row>
    <row r="880" hidden="1" customHeight="1" spans="1:10">
      <c r="A880" s="140" t="s">
        <v>294</v>
      </c>
      <c r="B880" s="140" t="s">
        <v>295</v>
      </c>
      <c r="C880" s="171">
        <v>45689</v>
      </c>
      <c r="D880" s="172" t="s">
        <v>12</v>
      </c>
      <c r="E880" s="173" t="s">
        <v>13</v>
      </c>
      <c r="F880" s="140" t="s">
        <v>14</v>
      </c>
      <c r="G880" s="140" t="s">
        <v>14</v>
      </c>
      <c r="H880" s="140" t="s">
        <v>14</v>
      </c>
      <c r="I880" s="140" t="s">
        <v>14</v>
      </c>
      <c r="J880" s="174"/>
    </row>
    <row r="881" hidden="1" customHeight="1" spans="1:10">
      <c r="A881" s="140" t="s">
        <v>294</v>
      </c>
      <c r="B881" s="140" t="s">
        <v>295</v>
      </c>
      <c r="C881" s="171">
        <v>45690</v>
      </c>
      <c r="D881" s="172" t="s">
        <v>15</v>
      </c>
      <c r="E881" s="173" t="s">
        <v>13</v>
      </c>
      <c r="F881" s="140" t="s">
        <v>14</v>
      </c>
      <c r="G881" s="140" t="s">
        <v>14</v>
      </c>
      <c r="H881" s="140" t="s">
        <v>14</v>
      </c>
      <c r="I881" s="140" t="s">
        <v>14</v>
      </c>
      <c r="J881" s="174"/>
    </row>
    <row r="882" hidden="1" customHeight="1" spans="1:10">
      <c r="A882" s="140" t="s">
        <v>294</v>
      </c>
      <c r="B882" s="140" t="s">
        <v>295</v>
      </c>
      <c r="C882" s="171">
        <v>45691</v>
      </c>
      <c r="D882" s="172" t="s">
        <v>16</v>
      </c>
      <c r="E882" s="173" t="s">
        <v>13</v>
      </c>
      <c r="F882" s="140" t="s">
        <v>14</v>
      </c>
      <c r="G882" s="140" t="s">
        <v>14</v>
      </c>
      <c r="H882" s="140" t="s">
        <v>14</v>
      </c>
      <c r="I882" s="140" t="s">
        <v>14</v>
      </c>
      <c r="J882" s="174"/>
    </row>
    <row r="883" hidden="1" customHeight="1" spans="1:10">
      <c r="A883" s="140" t="s">
        <v>294</v>
      </c>
      <c r="B883" s="140" t="s">
        <v>295</v>
      </c>
      <c r="C883" s="171">
        <v>45692</v>
      </c>
      <c r="D883" s="172" t="s">
        <v>17</v>
      </c>
      <c r="E883" s="173" t="s">
        <v>13</v>
      </c>
      <c r="F883" s="140" t="s">
        <v>14</v>
      </c>
      <c r="G883" s="140" t="s">
        <v>14</v>
      </c>
      <c r="H883" s="140" t="s">
        <v>14</v>
      </c>
      <c r="I883" s="140" t="s">
        <v>14</v>
      </c>
      <c r="J883" s="174"/>
    </row>
    <row r="884" hidden="1" customHeight="1" spans="1:10">
      <c r="A884" s="140" t="s">
        <v>294</v>
      </c>
      <c r="B884" s="140" t="s">
        <v>295</v>
      </c>
      <c r="C884" s="171">
        <v>45693</v>
      </c>
      <c r="D884" s="172" t="s">
        <v>18</v>
      </c>
      <c r="E884" s="140" t="s">
        <v>19</v>
      </c>
      <c r="F884" s="140" t="s">
        <v>154</v>
      </c>
      <c r="G884" s="140" t="s">
        <v>21</v>
      </c>
      <c r="H884" s="140" t="s">
        <v>175</v>
      </c>
      <c r="I884" s="140" t="s">
        <v>21</v>
      </c>
      <c r="J884" s="174"/>
    </row>
    <row r="885" hidden="1" customHeight="1" spans="1:10">
      <c r="A885" s="140" t="s">
        <v>294</v>
      </c>
      <c r="B885" s="140" t="s">
        <v>295</v>
      </c>
      <c r="C885" s="171">
        <v>45694</v>
      </c>
      <c r="D885" s="172" t="s">
        <v>23</v>
      </c>
      <c r="E885" s="140" t="s">
        <v>19</v>
      </c>
      <c r="F885" s="140" t="s">
        <v>154</v>
      </c>
      <c r="G885" s="140" t="s">
        <v>21</v>
      </c>
      <c r="H885" s="140" t="s">
        <v>168</v>
      </c>
      <c r="I885" s="140" t="s">
        <v>21</v>
      </c>
      <c r="J885" s="174"/>
    </row>
    <row r="886" hidden="1" customHeight="1" spans="1:10">
      <c r="A886" s="140" t="s">
        <v>294</v>
      </c>
      <c r="B886" s="140" t="s">
        <v>295</v>
      </c>
      <c r="C886" s="171">
        <v>45695</v>
      </c>
      <c r="D886" s="172" t="s">
        <v>25</v>
      </c>
      <c r="E886" s="140" t="s">
        <v>19</v>
      </c>
      <c r="F886" s="140" t="s">
        <v>51</v>
      </c>
      <c r="G886" s="140" t="s">
        <v>21</v>
      </c>
      <c r="H886" s="140" t="s">
        <v>252</v>
      </c>
      <c r="I886" s="140" t="s">
        <v>21</v>
      </c>
      <c r="J886" s="174"/>
    </row>
    <row r="887" customHeight="1" spans="1:10">
      <c r="A887" s="140" t="s">
        <v>294</v>
      </c>
      <c r="B887" s="140" t="s">
        <v>295</v>
      </c>
      <c r="C887" s="171">
        <v>45696</v>
      </c>
      <c r="D887" s="172" t="s">
        <v>27</v>
      </c>
      <c r="E887" s="140" t="s">
        <v>19</v>
      </c>
      <c r="F887" s="140" t="s">
        <v>20</v>
      </c>
      <c r="G887" s="140" t="s">
        <v>21</v>
      </c>
      <c r="H887" s="140" t="s">
        <v>14</v>
      </c>
      <c r="I887" s="176" t="s">
        <v>68</v>
      </c>
      <c r="J887" s="174" t="s">
        <v>287</v>
      </c>
    </row>
    <row r="888" hidden="1" customHeight="1" spans="1:10">
      <c r="A888" s="140" t="s">
        <v>294</v>
      </c>
      <c r="B888" s="140" t="s">
        <v>295</v>
      </c>
      <c r="C888" s="171">
        <v>45697</v>
      </c>
      <c r="D888" s="172" t="s">
        <v>15</v>
      </c>
      <c r="E888" s="173" t="s">
        <v>13</v>
      </c>
      <c r="F888" s="140" t="s">
        <v>14</v>
      </c>
      <c r="G888" s="140" t="s">
        <v>14</v>
      </c>
      <c r="H888" s="140" t="s">
        <v>14</v>
      </c>
      <c r="I888" s="140" t="s">
        <v>14</v>
      </c>
      <c r="J888" s="174"/>
    </row>
    <row r="889" hidden="1" customHeight="1" spans="1:10">
      <c r="A889" s="140" t="s">
        <v>294</v>
      </c>
      <c r="B889" s="140" t="s">
        <v>295</v>
      </c>
      <c r="C889" s="171">
        <v>45698</v>
      </c>
      <c r="D889" s="172" t="s">
        <v>16</v>
      </c>
      <c r="E889" s="140" t="s">
        <v>19</v>
      </c>
      <c r="F889" s="140" t="s">
        <v>150</v>
      </c>
      <c r="G889" s="140" t="s">
        <v>21</v>
      </c>
      <c r="H889" s="140" t="s">
        <v>168</v>
      </c>
      <c r="I889" s="140" t="s">
        <v>21</v>
      </c>
      <c r="J889" s="174"/>
    </row>
    <row r="890" hidden="1" customHeight="1" spans="1:10">
      <c r="A890" s="140" t="s">
        <v>294</v>
      </c>
      <c r="B890" s="140" t="s">
        <v>295</v>
      </c>
      <c r="C890" s="171">
        <v>45699</v>
      </c>
      <c r="D890" s="172" t="s">
        <v>17</v>
      </c>
      <c r="E890" s="140" t="s">
        <v>19</v>
      </c>
      <c r="F890" s="140" t="s">
        <v>28</v>
      </c>
      <c r="G890" s="140" t="s">
        <v>21</v>
      </c>
      <c r="H890" s="140" t="s">
        <v>206</v>
      </c>
      <c r="I890" s="140" t="s">
        <v>21</v>
      </c>
      <c r="J890" s="174"/>
    </row>
    <row r="891" hidden="1" customHeight="1" spans="1:10">
      <c r="A891" s="140" t="s">
        <v>294</v>
      </c>
      <c r="B891" s="140" t="s">
        <v>295</v>
      </c>
      <c r="C891" s="171">
        <v>45700</v>
      </c>
      <c r="D891" s="172" t="s">
        <v>18</v>
      </c>
      <c r="E891" s="140" t="s">
        <v>19</v>
      </c>
      <c r="F891" s="140" t="s">
        <v>51</v>
      </c>
      <c r="G891" s="140" t="s">
        <v>21</v>
      </c>
      <c r="H891" s="140" t="s">
        <v>206</v>
      </c>
      <c r="I891" s="140" t="s">
        <v>21</v>
      </c>
      <c r="J891" s="174"/>
    </row>
    <row r="892" hidden="1" customHeight="1" spans="1:10">
      <c r="A892" s="140" t="s">
        <v>294</v>
      </c>
      <c r="B892" s="140" t="s">
        <v>295</v>
      </c>
      <c r="C892" s="171">
        <v>45701</v>
      </c>
      <c r="D892" s="172" t="s">
        <v>23</v>
      </c>
      <c r="E892" s="140" t="s">
        <v>19</v>
      </c>
      <c r="F892" s="140" t="s">
        <v>150</v>
      </c>
      <c r="G892" s="140" t="s">
        <v>21</v>
      </c>
      <c r="H892" s="140" t="s">
        <v>168</v>
      </c>
      <c r="I892" s="140" t="s">
        <v>21</v>
      </c>
      <c r="J892" s="174"/>
    </row>
    <row r="893" hidden="1" customHeight="1" spans="1:10">
      <c r="A893" s="140" t="s">
        <v>294</v>
      </c>
      <c r="B893" s="140" t="s">
        <v>295</v>
      </c>
      <c r="C893" s="171">
        <v>45702</v>
      </c>
      <c r="D893" s="172" t="s">
        <v>25</v>
      </c>
      <c r="E893" s="140" t="s">
        <v>19</v>
      </c>
      <c r="F893" s="140" t="s">
        <v>33</v>
      </c>
      <c r="G893" s="140" t="s">
        <v>21</v>
      </c>
      <c r="H893" s="140" t="s">
        <v>175</v>
      </c>
      <c r="I893" s="140" t="s">
        <v>21</v>
      </c>
      <c r="J893" s="174"/>
    </row>
    <row r="894" hidden="1" customHeight="1" spans="1:10">
      <c r="A894" s="140" t="s">
        <v>294</v>
      </c>
      <c r="B894" s="140" t="s">
        <v>295</v>
      </c>
      <c r="C894" s="171">
        <v>45703</v>
      </c>
      <c r="D894" s="172" t="s">
        <v>27</v>
      </c>
      <c r="E894" s="173" t="s">
        <v>13</v>
      </c>
      <c r="F894" s="140" t="s">
        <v>14</v>
      </c>
      <c r="G894" s="140" t="s">
        <v>14</v>
      </c>
      <c r="H894" s="140" t="s">
        <v>14</v>
      </c>
      <c r="I894" s="140" t="s">
        <v>14</v>
      </c>
      <c r="J894" s="174"/>
    </row>
    <row r="895" hidden="1" customHeight="1" spans="1:10">
      <c r="A895" s="140" t="s">
        <v>294</v>
      </c>
      <c r="B895" s="140" t="s">
        <v>295</v>
      </c>
      <c r="C895" s="171">
        <v>45704</v>
      </c>
      <c r="D895" s="172" t="s">
        <v>15</v>
      </c>
      <c r="E895" s="173" t="s">
        <v>13</v>
      </c>
      <c r="F895" s="140" t="s">
        <v>14</v>
      </c>
      <c r="G895" s="140" t="s">
        <v>14</v>
      </c>
      <c r="H895" s="140" t="s">
        <v>14</v>
      </c>
      <c r="I895" s="140" t="s">
        <v>14</v>
      </c>
      <c r="J895" s="174"/>
    </row>
    <row r="896" hidden="1" customHeight="1" spans="1:10">
      <c r="A896" s="140" t="s">
        <v>294</v>
      </c>
      <c r="B896" s="140" t="s">
        <v>295</v>
      </c>
      <c r="C896" s="171">
        <v>45705</v>
      </c>
      <c r="D896" s="172" t="s">
        <v>16</v>
      </c>
      <c r="E896" s="140" t="s">
        <v>19</v>
      </c>
      <c r="F896" s="140" t="s">
        <v>154</v>
      </c>
      <c r="G896" s="140" t="s">
        <v>21</v>
      </c>
      <c r="H896" s="140" t="s">
        <v>123</v>
      </c>
      <c r="I896" s="140" t="s">
        <v>21</v>
      </c>
      <c r="J896" s="174"/>
    </row>
    <row r="897" hidden="1" customHeight="1" spans="1:10">
      <c r="A897" s="140" t="s">
        <v>294</v>
      </c>
      <c r="B897" s="140" t="s">
        <v>295</v>
      </c>
      <c r="C897" s="171">
        <v>45706</v>
      </c>
      <c r="D897" s="172" t="s">
        <v>17</v>
      </c>
      <c r="E897" s="140" t="s">
        <v>19</v>
      </c>
      <c r="F897" s="140" t="s">
        <v>209</v>
      </c>
      <c r="G897" s="140" t="s">
        <v>21</v>
      </c>
      <c r="H897" s="140" t="s">
        <v>205</v>
      </c>
      <c r="I897" s="140" t="s">
        <v>21</v>
      </c>
      <c r="J897" s="174"/>
    </row>
    <row r="898" hidden="1" customHeight="1" spans="1:10">
      <c r="A898" s="140" t="s">
        <v>294</v>
      </c>
      <c r="B898" s="140" t="s">
        <v>295</v>
      </c>
      <c r="C898" s="171">
        <v>45707</v>
      </c>
      <c r="D898" s="172" t="s">
        <v>18</v>
      </c>
      <c r="E898" s="140" t="s">
        <v>19</v>
      </c>
      <c r="F898" s="140" t="s">
        <v>193</v>
      </c>
      <c r="G898" s="140" t="s">
        <v>21</v>
      </c>
      <c r="H898" s="140" t="s">
        <v>235</v>
      </c>
      <c r="I898" s="140" t="s">
        <v>21</v>
      </c>
      <c r="J898" s="174"/>
    </row>
    <row r="899" hidden="1" customHeight="1" spans="1:10">
      <c r="A899" s="140" t="s">
        <v>294</v>
      </c>
      <c r="B899" s="140" t="s">
        <v>295</v>
      </c>
      <c r="C899" s="171">
        <v>45708</v>
      </c>
      <c r="D899" s="172" t="s">
        <v>23</v>
      </c>
      <c r="E899" s="140" t="s">
        <v>19</v>
      </c>
      <c r="F899" s="140" t="s">
        <v>193</v>
      </c>
      <c r="G899" s="140" t="s">
        <v>21</v>
      </c>
      <c r="H899" s="140" t="s">
        <v>78</v>
      </c>
      <c r="I899" s="140" t="s">
        <v>21</v>
      </c>
      <c r="J899" s="174"/>
    </row>
    <row r="900" customHeight="1" spans="1:10">
      <c r="A900" s="140" t="s">
        <v>294</v>
      </c>
      <c r="B900" s="140" t="s">
        <v>295</v>
      </c>
      <c r="C900" s="171">
        <v>45709</v>
      </c>
      <c r="D900" s="172" t="s">
        <v>25</v>
      </c>
      <c r="E900" s="140" t="s">
        <v>19</v>
      </c>
      <c r="F900" s="140" t="s">
        <v>14</v>
      </c>
      <c r="G900" s="176" t="s">
        <v>68</v>
      </c>
      <c r="H900" s="140" t="s">
        <v>296</v>
      </c>
      <c r="I900" s="140" t="s">
        <v>21</v>
      </c>
      <c r="J900" s="174" t="s">
        <v>69</v>
      </c>
    </row>
    <row r="901" hidden="1" customHeight="1" spans="1:10">
      <c r="A901" s="140" t="s">
        <v>294</v>
      </c>
      <c r="B901" s="140" t="s">
        <v>295</v>
      </c>
      <c r="C901" s="171">
        <v>45710</v>
      </c>
      <c r="D901" s="172" t="s">
        <v>27</v>
      </c>
      <c r="E901" s="173" t="s">
        <v>13</v>
      </c>
      <c r="F901" s="140" t="s">
        <v>14</v>
      </c>
      <c r="G901" s="140" t="s">
        <v>14</v>
      </c>
      <c r="H901" s="140" t="s">
        <v>14</v>
      </c>
      <c r="I901" s="140" t="s">
        <v>14</v>
      </c>
      <c r="J901" s="174"/>
    </row>
    <row r="902" hidden="1" customHeight="1" spans="1:10">
      <c r="A902" s="140" t="s">
        <v>294</v>
      </c>
      <c r="B902" s="140" t="s">
        <v>295</v>
      </c>
      <c r="C902" s="171">
        <v>45711</v>
      </c>
      <c r="D902" s="172" t="s">
        <v>15</v>
      </c>
      <c r="E902" s="173" t="s">
        <v>13</v>
      </c>
      <c r="F902" s="140" t="s">
        <v>14</v>
      </c>
      <c r="G902" s="140" t="s">
        <v>14</v>
      </c>
      <c r="H902" s="140" t="s">
        <v>14</v>
      </c>
      <c r="I902" s="140" t="s">
        <v>14</v>
      </c>
      <c r="J902" s="174"/>
    </row>
    <row r="903" hidden="1" customHeight="1" spans="1:10">
      <c r="A903" s="140" t="s">
        <v>294</v>
      </c>
      <c r="B903" s="140" t="s">
        <v>295</v>
      </c>
      <c r="C903" s="171">
        <v>45712</v>
      </c>
      <c r="D903" s="172" t="s">
        <v>16</v>
      </c>
      <c r="E903" s="140" t="s">
        <v>19</v>
      </c>
      <c r="F903" s="140" t="s">
        <v>193</v>
      </c>
      <c r="G903" s="140" t="s">
        <v>21</v>
      </c>
      <c r="H903" s="140" t="s">
        <v>168</v>
      </c>
      <c r="I903" s="140" t="s">
        <v>21</v>
      </c>
      <c r="J903" s="174"/>
    </row>
    <row r="904" hidden="1" customHeight="1" spans="1:10">
      <c r="A904" s="140" t="s">
        <v>294</v>
      </c>
      <c r="B904" s="140" t="s">
        <v>295</v>
      </c>
      <c r="C904" s="171">
        <v>45713</v>
      </c>
      <c r="D904" s="172" t="s">
        <v>17</v>
      </c>
      <c r="E904" s="140" t="s">
        <v>19</v>
      </c>
      <c r="F904" s="140" t="s">
        <v>51</v>
      </c>
      <c r="G904" s="140" t="s">
        <v>21</v>
      </c>
      <c r="H904" s="140" t="s">
        <v>53</v>
      </c>
      <c r="I904" s="140" t="s">
        <v>21</v>
      </c>
      <c r="J904" s="175"/>
    </row>
    <row r="905" hidden="1" customHeight="1" spans="1:10">
      <c r="A905" s="140" t="s">
        <v>294</v>
      </c>
      <c r="B905" s="140" t="s">
        <v>295</v>
      </c>
      <c r="C905" s="171">
        <v>45714</v>
      </c>
      <c r="D905" s="172" t="s">
        <v>18</v>
      </c>
      <c r="E905" s="140" t="s">
        <v>19</v>
      </c>
      <c r="F905" s="140" t="s">
        <v>193</v>
      </c>
      <c r="G905" s="140" t="s">
        <v>21</v>
      </c>
      <c r="H905" s="140" t="s">
        <v>206</v>
      </c>
      <c r="I905" s="140" t="s">
        <v>21</v>
      </c>
      <c r="J905" s="174"/>
    </row>
    <row r="906" hidden="1" customHeight="1" spans="1:10">
      <c r="A906" s="140" t="s">
        <v>294</v>
      </c>
      <c r="B906" s="140" t="s">
        <v>295</v>
      </c>
      <c r="C906" s="171">
        <v>45715</v>
      </c>
      <c r="D906" s="172" t="s">
        <v>23</v>
      </c>
      <c r="E906" s="140" t="s">
        <v>19</v>
      </c>
      <c r="F906" s="140" t="s">
        <v>20</v>
      </c>
      <c r="G906" s="140" t="s">
        <v>21</v>
      </c>
      <c r="H906" s="140" t="s">
        <v>167</v>
      </c>
      <c r="I906" s="140" t="s">
        <v>21</v>
      </c>
      <c r="J906" s="174"/>
    </row>
    <row r="907" hidden="1" customHeight="1" spans="1:10">
      <c r="A907" s="140" t="s">
        <v>294</v>
      </c>
      <c r="B907" s="140" t="s">
        <v>295</v>
      </c>
      <c r="C907" s="171">
        <v>45716</v>
      </c>
      <c r="D907" s="172" t="s">
        <v>25</v>
      </c>
      <c r="E907" s="140" t="s">
        <v>19</v>
      </c>
      <c r="F907" s="140" t="s">
        <v>193</v>
      </c>
      <c r="G907" s="140" t="s">
        <v>21</v>
      </c>
      <c r="H907" s="140" t="s">
        <v>170</v>
      </c>
      <c r="I907" s="140" t="s">
        <v>21</v>
      </c>
      <c r="J907" s="174"/>
    </row>
    <row r="908" hidden="1" customHeight="1" spans="1:10">
      <c r="A908" s="140" t="s">
        <v>297</v>
      </c>
      <c r="B908" s="140" t="s">
        <v>298</v>
      </c>
      <c r="C908" s="171">
        <v>45689</v>
      </c>
      <c r="D908" s="172" t="s">
        <v>12</v>
      </c>
      <c r="E908" s="173" t="s">
        <v>13</v>
      </c>
      <c r="F908" s="140" t="s">
        <v>14</v>
      </c>
      <c r="G908" s="140" t="s">
        <v>14</v>
      </c>
      <c r="H908" s="140" t="s">
        <v>14</v>
      </c>
      <c r="I908" s="140" t="s">
        <v>14</v>
      </c>
      <c r="J908" s="174"/>
    </row>
    <row r="909" hidden="1" customHeight="1" spans="1:10">
      <c r="A909" s="140" t="s">
        <v>297</v>
      </c>
      <c r="B909" s="140" t="s">
        <v>298</v>
      </c>
      <c r="C909" s="171">
        <v>45690</v>
      </c>
      <c r="D909" s="172" t="s">
        <v>15</v>
      </c>
      <c r="E909" s="173" t="s">
        <v>13</v>
      </c>
      <c r="F909" s="140" t="s">
        <v>14</v>
      </c>
      <c r="G909" s="140" t="s">
        <v>14</v>
      </c>
      <c r="H909" s="140" t="s">
        <v>14</v>
      </c>
      <c r="I909" s="140" t="s">
        <v>14</v>
      </c>
      <c r="J909" s="174"/>
    </row>
    <row r="910" hidden="1" customHeight="1" spans="1:10">
      <c r="A910" s="140" t="s">
        <v>297</v>
      </c>
      <c r="B910" s="140" t="s">
        <v>298</v>
      </c>
      <c r="C910" s="171">
        <v>45691</v>
      </c>
      <c r="D910" s="172" t="s">
        <v>16</v>
      </c>
      <c r="E910" s="173" t="s">
        <v>13</v>
      </c>
      <c r="F910" s="140" t="s">
        <v>14</v>
      </c>
      <c r="G910" s="140" t="s">
        <v>14</v>
      </c>
      <c r="H910" s="140" t="s">
        <v>14</v>
      </c>
      <c r="I910" s="140" t="s">
        <v>14</v>
      </c>
      <c r="J910" s="174"/>
    </row>
    <row r="911" hidden="1" customHeight="1" spans="1:10">
      <c r="A911" s="140" t="s">
        <v>297</v>
      </c>
      <c r="B911" s="140" t="s">
        <v>298</v>
      </c>
      <c r="C911" s="171">
        <v>45692</v>
      </c>
      <c r="D911" s="172" t="s">
        <v>17</v>
      </c>
      <c r="E911" s="173" t="s">
        <v>13</v>
      </c>
      <c r="F911" s="140" t="s">
        <v>14</v>
      </c>
      <c r="G911" s="140" t="s">
        <v>14</v>
      </c>
      <c r="H911" s="140" t="s">
        <v>14</v>
      </c>
      <c r="I911" s="140" t="s">
        <v>14</v>
      </c>
      <c r="J911" s="174"/>
    </row>
    <row r="912" hidden="1" customHeight="1" spans="1:10">
      <c r="A912" s="140" t="s">
        <v>297</v>
      </c>
      <c r="B912" s="140" t="s">
        <v>298</v>
      </c>
      <c r="C912" s="171">
        <v>45693</v>
      </c>
      <c r="D912" s="172" t="s">
        <v>18</v>
      </c>
      <c r="E912" s="140" t="s">
        <v>19</v>
      </c>
      <c r="F912" s="140" t="s">
        <v>173</v>
      </c>
      <c r="G912" s="140" t="s">
        <v>21</v>
      </c>
      <c r="H912" s="140" t="s">
        <v>206</v>
      </c>
      <c r="I912" s="140" t="s">
        <v>21</v>
      </c>
      <c r="J912" s="174"/>
    </row>
    <row r="913" hidden="1" customHeight="1" spans="1:10">
      <c r="A913" s="140" t="s">
        <v>297</v>
      </c>
      <c r="B913" s="140" t="s">
        <v>298</v>
      </c>
      <c r="C913" s="171">
        <v>45694</v>
      </c>
      <c r="D913" s="172" t="s">
        <v>23</v>
      </c>
      <c r="E913" s="140" t="s">
        <v>19</v>
      </c>
      <c r="F913" s="140" t="s">
        <v>98</v>
      </c>
      <c r="G913" s="140" t="s">
        <v>21</v>
      </c>
      <c r="H913" s="140" t="s">
        <v>168</v>
      </c>
      <c r="I913" s="140" t="s">
        <v>21</v>
      </c>
      <c r="J913" s="174"/>
    </row>
    <row r="914" hidden="1" customHeight="1" spans="1:10">
      <c r="A914" s="140" t="s">
        <v>297</v>
      </c>
      <c r="B914" s="140" t="s">
        <v>298</v>
      </c>
      <c r="C914" s="171">
        <v>45695</v>
      </c>
      <c r="D914" s="172" t="s">
        <v>25</v>
      </c>
      <c r="E914" s="140" t="s">
        <v>19</v>
      </c>
      <c r="F914" s="140" t="s">
        <v>143</v>
      </c>
      <c r="G914" s="140" t="s">
        <v>21</v>
      </c>
      <c r="H914" s="140" t="s">
        <v>205</v>
      </c>
      <c r="I914" s="140" t="s">
        <v>21</v>
      </c>
      <c r="J914" s="174"/>
    </row>
    <row r="915" hidden="1" customHeight="1" spans="1:10">
      <c r="A915" s="140" t="s">
        <v>297</v>
      </c>
      <c r="B915" s="140" t="s">
        <v>298</v>
      </c>
      <c r="C915" s="171">
        <v>45696</v>
      </c>
      <c r="D915" s="172" t="s">
        <v>27</v>
      </c>
      <c r="E915" s="140" t="s">
        <v>19</v>
      </c>
      <c r="F915" s="140" t="s">
        <v>98</v>
      </c>
      <c r="G915" s="140" t="s">
        <v>21</v>
      </c>
      <c r="H915" s="140" t="s">
        <v>235</v>
      </c>
      <c r="I915" s="140" t="s">
        <v>21</v>
      </c>
      <c r="J915" s="174"/>
    </row>
    <row r="916" hidden="1" customHeight="1" spans="1:10">
      <c r="A916" s="140" t="s">
        <v>297</v>
      </c>
      <c r="B916" s="140" t="s">
        <v>298</v>
      </c>
      <c r="C916" s="171">
        <v>45697</v>
      </c>
      <c r="D916" s="172" t="s">
        <v>15</v>
      </c>
      <c r="E916" s="173" t="s">
        <v>13</v>
      </c>
      <c r="F916" s="140" t="s">
        <v>14</v>
      </c>
      <c r="G916" s="140" t="s">
        <v>14</v>
      </c>
      <c r="H916" s="140" t="s">
        <v>14</v>
      </c>
      <c r="I916" s="140" t="s">
        <v>14</v>
      </c>
      <c r="J916" s="174"/>
    </row>
    <row r="917" hidden="1" customHeight="1" spans="1:10">
      <c r="A917" s="140" t="s">
        <v>297</v>
      </c>
      <c r="B917" s="140" t="s">
        <v>298</v>
      </c>
      <c r="C917" s="171">
        <v>45698</v>
      </c>
      <c r="D917" s="172" t="s">
        <v>16</v>
      </c>
      <c r="E917" s="140" t="s">
        <v>19</v>
      </c>
      <c r="F917" s="140" t="s">
        <v>173</v>
      </c>
      <c r="G917" s="140" t="s">
        <v>21</v>
      </c>
      <c r="H917" s="140" t="s">
        <v>78</v>
      </c>
      <c r="I917" s="140" t="s">
        <v>21</v>
      </c>
      <c r="J917" s="174"/>
    </row>
    <row r="918" hidden="1" customHeight="1" spans="1:10">
      <c r="A918" s="140" t="s">
        <v>297</v>
      </c>
      <c r="B918" s="140" t="s">
        <v>298</v>
      </c>
      <c r="C918" s="171">
        <v>45699</v>
      </c>
      <c r="D918" s="172" t="s">
        <v>17</v>
      </c>
      <c r="E918" s="140" t="s">
        <v>19</v>
      </c>
      <c r="F918" s="140" t="s">
        <v>98</v>
      </c>
      <c r="G918" s="140" t="s">
        <v>21</v>
      </c>
      <c r="H918" s="140" t="s">
        <v>206</v>
      </c>
      <c r="I918" s="140" t="s">
        <v>21</v>
      </c>
      <c r="J918" s="174"/>
    </row>
    <row r="919" hidden="1" customHeight="1" spans="1:10">
      <c r="A919" s="140" t="s">
        <v>297</v>
      </c>
      <c r="B919" s="140" t="s">
        <v>298</v>
      </c>
      <c r="C919" s="171">
        <v>45700</v>
      </c>
      <c r="D919" s="172" t="s">
        <v>18</v>
      </c>
      <c r="E919" s="140" t="s">
        <v>19</v>
      </c>
      <c r="F919" s="140" t="s">
        <v>98</v>
      </c>
      <c r="G919" s="140" t="s">
        <v>21</v>
      </c>
      <c r="H919" s="140" t="s">
        <v>206</v>
      </c>
      <c r="I919" s="140" t="s">
        <v>21</v>
      </c>
      <c r="J919" s="174"/>
    </row>
    <row r="920" hidden="1" customHeight="1" spans="1:10">
      <c r="A920" s="140" t="s">
        <v>297</v>
      </c>
      <c r="B920" s="140" t="s">
        <v>298</v>
      </c>
      <c r="C920" s="171">
        <v>45701</v>
      </c>
      <c r="D920" s="172" t="s">
        <v>23</v>
      </c>
      <c r="E920" s="140" t="s">
        <v>19</v>
      </c>
      <c r="F920" s="140" t="s">
        <v>143</v>
      </c>
      <c r="G920" s="140" t="s">
        <v>21</v>
      </c>
      <c r="H920" s="140" t="s">
        <v>78</v>
      </c>
      <c r="I920" s="140" t="s">
        <v>21</v>
      </c>
      <c r="J920" s="174"/>
    </row>
    <row r="921" hidden="1" customHeight="1" spans="1:10">
      <c r="A921" s="140" t="s">
        <v>297</v>
      </c>
      <c r="B921" s="140" t="s">
        <v>298</v>
      </c>
      <c r="C921" s="171">
        <v>45702</v>
      </c>
      <c r="D921" s="172" t="s">
        <v>25</v>
      </c>
      <c r="E921" s="140" t="s">
        <v>19</v>
      </c>
      <c r="F921" s="140" t="s">
        <v>98</v>
      </c>
      <c r="G921" s="140" t="s">
        <v>21</v>
      </c>
      <c r="H921" s="140" t="s">
        <v>175</v>
      </c>
      <c r="I921" s="140" t="s">
        <v>21</v>
      </c>
      <c r="J921" s="174"/>
    </row>
    <row r="922" hidden="1" customHeight="1" spans="1:10">
      <c r="A922" s="140" t="s">
        <v>297</v>
      </c>
      <c r="B922" s="140" t="s">
        <v>298</v>
      </c>
      <c r="C922" s="171">
        <v>45703</v>
      </c>
      <c r="D922" s="172" t="s">
        <v>27</v>
      </c>
      <c r="E922" s="173" t="s">
        <v>13</v>
      </c>
      <c r="F922" s="140" t="s">
        <v>14</v>
      </c>
      <c r="G922" s="140" t="s">
        <v>14</v>
      </c>
      <c r="H922" s="140" t="s">
        <v>14</v>
      </c>
      <c r="I922" s="140" t="s">
        <v>14</v>
      </c>
      <c r="J922" s="174"/>
    </row>
    <row r="923" hidden="1" customHeight="1" spans="1:10">
      <c r="A923" s="140" t="s">
        <v>297</v>
      </c>
      <c r="B923" s="140" t="s">
        <v>298</v>
      </c>
      <c r="C923" s="171">
        <v>45704</v>
      </c>
      <c r="D923" s="172" t="s">
        <v>15</v>
      </c>
      <c r="E923" s="173" t="s">
        <v>13</v>
      </c>
      <c r="F923" s="140" t="s">
        <v>14</v>
      </c>
      <c r="G923" s="140" t="s">
        <v>14</v>
      </c>
      <c r="H923" s="140" t="s">
        <v>14</v>
      </c>
      <c r="I923" s="140" t="s">
        <v>14</v>
      </c>
      <c r="J923" s="175"/>
    </row>
    <row r="924" hidden="1" customHeight="1" spans="1:10">
      <c r="A924" s="140" t="s">
        <v>297</v>
      </c>
      <c r="B924" s="140" t="s">
        <v>298</v>
      </c>
      <c r="C924" s="171">
        <v>45705</v>
      </c>
      <c r="D924" s="172" t="s">
        <v>16</v>
      </c>
      <c r="E924" s="140" t="s">
        <v>19</v>
      </c>
      <c r="F924" s="140" t="s">
        <v>143</v>
      </c>
      <c r="G924" s="140" t="s">
        <v>21</v>
      </c>
      <c r="H924" s="140" t="s">
        <v>168</v>
      </c>
      <c r="I924" s="140" t="s">
        <v>21</v>
      </c>
      <c r="J924" s="174"/>
    </row>
    <row r="925" hidden="1" customHeight="1" spans="1:10">
      <c r="A925" s="140" t="s">
        <v>297</v>
      </c>
      <c r="B925" s="140" t="s">
        <v>298</v>
      </c>
      <c r="C925" s="171">
        <v>45706</v>
      </c>
      <c r="D925" s="172" t="s">
        <v>17</v>
      </c>
      <c r="E925" s="140" t="s">
        <v>19</v>
      </c>
      <c r="F925" s="140" t="s">
        <v>143</v>
      </c>
      <c r="G925" s="140" t="s">
        <v>21</v>
      </c>
      <c r="H925" s="140" t="s">
        <v>205</v>
      </c>
      <c r="I925" s="140" t="s">
        <v>21</v>
      </c>
      <c r="J925" s="174"/>
    </row>
    <row r="926" hidden="1" customHeight="1" spans="1:10">
      <c r="A926" s="140" t="s">
        <v>297</v>
      </c>
      <c r="B926" s="140" t="s">
        <v>298</v>
      </c>
      <c r="C926" s="171">
        <v>45707</v>
      </c>
      <c r="D926" s="172" t="s">
        <v>18</v>
      </c>
      <c r="E926" s="140" t="s">
        <v>19</v>
      </c>
      <c r="F926" s="140" t="s">
        <v>98</v>
      </c>
      <c r="G926" s="140" t="s">
        <v>21</v>
      </c>
      <c r="H926" s="140" t="s">
        <v>205</v>
      </c>
      <c r="I926" s="140" t="s">
        <v>21</v>
      </c>
      <c r="J926" s="174"/>
    </row>
    <row r="927" hidden="1" customHeight="1" spans="1:10">
      <c r="A927" s="140" t="s">
        <v>297</v>
      </c>
      <c r="B927" s="140" t="s">
        <v>298</v>
      </c>
      <c r="C927" s="171">
        <v>45708</v>
      </c>
      <c r="D927" s="172" t="s">
        <v>23</v>
      </c>
      <c r="E927" s="140" t="s">
        <v>19</v>
      </c>
      <c r="F927" s="140" t="s">
        <v>143</v>
      </c>
      <c r="G927" s="140" t="s">
        <v>21</v>
      </c>
      <c r="H927" s="140" t="s">
        <v>168</v>
      </c>
      <c r="I927" s="140" t="s">
        <v>21</v>
      </c>
      <c r="J927" s="174"/>
    </row>
    <row r="928" hidden="1" customHeight="1" spans="1:10">
      <c r="A928" s="140" t="s">
        <v>297</v>
      </c>
      <c r="B928" s="140" t="s">
        <v>298</v>
      </c>
      <c r="C928" s="171">
        <v>45709</v>
      </c>
      <c r="D928" s="172" t="s">
        <v>25</v>
      </c>
      <c r="E928" s="140" t="s">
        <v>19</v>
      </c>
      <c r="F928" s="140" t="s">
        <v>143</v>
      </c>
      <c r="G928" s="140" t="s">
        <v>21</v>
      </c>
      <c r="H928" s="140" t="s">
        <v>205</v>
      </c>
      <c r="I928" s="140" t="s">
        <v>21</v>
      </c>
      <c r="J928" s="174"/>
    </row>
    <row r="929" hidden="1" customHeight="1" spans="1:10">
      <c r="A929" s="140" t="s">
        <v>297</v>
      </c>
      <c r="B929" s="140" t="s">
        <v>298</v>
      </c>
      <c r="C929" s="171">
        <v>45710</v>
      </c>
      <c r="D929" s="172" t="s">
        <v>27</v>
      </c>
      <c r="E929" s="173" t="s">
        <v>13</v>
      </c>
      <c r="F929" s="140" t="s">
        <v>14</v>
      </c>
      <c r="G929" s="140" t="s">
        <v>14</v>
      </c>
      <c r="H929" s="140" t="s">
        <v>14</v>
      </c>
      <c r="I929" s="140" t="s">
        <v>14</v>
      </c>
      <c r="J929" s="174"/>
    </row>
    <row r="930" hidden="1" customHeight="1" spans="1:10">
      <c r="A930" s="140" t="s">
        <v>297</v>
      </c>
      <c r="B930" s="140" t="s">
        <v>298</v>
      </c>
      <c r="C930" s="171">
        <v>45711</v>
      </c>
      <c r="D930" s="172" t="s">
        <v>15</v>
      </c>
      <c r="E930" s="173" t="s">
        <v>13</v>
      </c>
      <c r="F930" s="140" t="s">
        <v>14</v>
      </c>
      <c r="G930" s="140" t="s">
        <v>14</v>
      </c>
      <c r="H930" s="140" t="s">
        <v>14</v>
      </c>
      <c r="I930" s="140" t="s">
        <v>14</v>
      </c>
      <c r="J930" s="174"/>
    </row>
    <row r="931" hidden="1" customHeight="1" spans="1:10">
      <c r="A931" s="140" t="s">
        <v>297</v>
      </c>
      <c r="B931" s="140" t="s">
        <v>298</v>
      </c>
      <c r="C931" s="171">
        <v>45712</v>
      </c>
      <c r="D931" s="172" t="s">
        <v>16</v>
      </c>
      <c r="E931" s="140" t="s">
        <v>19</v>
      </c>
      <c r="F931" s="140" t="s">
        <v>98</v>
      </c>
      <c r="G931" s="140" t="s">
        <v>21</v>
      </c>
      <c r="H931" s="140" t="s">
        <v>78</v>
      </c>
      <c r="I931" s="140" t="s">
        <v>21</v>
      </c>
      <c r="J931" s="174"/>
    </row>
    <row r="932" hidden="1" customHeight="1" spans="1:10">
      <c r="A932" s="140" t="s">
        <v>297</v>
      </c>
      <c r="B932" s="140" t="s">
        <v>298</v>
      </c>
      <c r="C932" s="171">
        <v>45713</v>
      </c>
      <c r="D932" s="172" t="s">
        <v>17</v>
      </c>
      <c r="E932" s="140" t="s">
        <v>19</v>
      </c>
      <c r="F932" s="140" t="s">
        <v>98</v>
      </c>
      <c r="G932" s="140" t="s">
        <v>21</v>
      </c>
      <c r="H932" s="140" t="s">
        <v>170</v>
      </c>
      <c r="I932" s="140" t="s">
        <v>21</v>
      </c>
      <c r="J932" s="174"/>
    </row>
    <row r="933" hidden="1" customHeight="1" spans="1:10">
      <c r="A933" s="140" t="s">
        <v>297</v>
      </c>
      <c r="B933" s="140" t="s">
        <v>298</v>
      </c>
      <c r="C933" s="171">
        <v>45714</v>
      </c>
      <c r="D933" s="172" t="s">
        <v>18</v>
      </c>
      <c r="E933" s="140" t="s">
        <v>19</v>
      </c>
      <c r="F933" s="140" t="s">
        <v>143</v>
      </c>
      <c r="G933" s="140" t="s">
        <v>21</v>
      </c>
      <c r="H933" s="140" t="s">
        <v>205</v>
      </c>
      <c r="I933" s="140" t="s">
        <v>21</v>
      </c>
      <c r="J933" s="174"/>
    </row>
    <row r="934" hidden="1" customHeight="1" spans="1:10">
      <c r="A934" s="140" t="s">
        <v>297</v>
      </c>
      <c r="B934" s="140" t="s">
        <v>298</v>
      </c>
      <c r="C934" s="171">
        <v>45715</v>
      </c>
      <c r="D934" s="172" t="s">
        <v>23</v>
      </c>
      <c r="E934" s="140" t="s">
        <v>19</v>
      </c>
      <c r="F934" s="140" t="s">
        <v>135</v>
      </c>
      <c r="G934" s="140" t="s">
        <v>21</v>
      </c>
      <c r="H934" s="140" t="s">
        <v>45</v>
      </c>
      <c r="I934" s="140" t="s">
        <v>21</v>
      </c>
      <c r="J934" s="174"/>
    </row>
    <row r="935" hidden="1" customHeight="1" spans="1:10">
      <c r="A935" s="140" t="s">
        <v>297</v>
      </c>
      <c r="B935" s="140" t="s">
        <v>298</v>
      </c>
      <c r="C935" s="171">
        <v>45716</v>
      </c>
      <c r="D935" s="172" t="s">
        <v>25</v>
      </c>
      <c r="E935" s="140" t="s">
        <v>19</v>
      </c>
      <c r="F935" s="140" t="s">
        <v>157</v>
      </c>
      <c r="G935" s="140" t="s">
        <v>21</v>
      </c>
      <c r="H935" s="140" t="s">
        <v>170</v>
      </c>
      <c r="I935" s="140" t="s">
        <v>21</v>
      </c>
      <c r="J935" s="174"/>
    </row>
    <row r="936" hidden="1" customHeight="1" spans="1:10">
      <c r="A936" s="140" t="s">
        <v>299</v>
      </c>
      <c r="B936" s="140" t="s">
        <v>300</v>
      </c>
      <c r="C936" s="171">
        <v>45689</v>
      </c>
      <c r="D936" s="172" t="s">
        <v>12</v>
      </c>
      <c r="E936" s="173" t="s">
        <v>13</v>
      </c>
      <c r="F936" s="140" t="s">
        <v>14</v>
      </c>
      <c r="G936" s="140" t="s">
        <v>14</v>
      </c>
      <c r="H936" s="140" t="s">
        <v>14</v>
      </c>
      <c r="I936" s="140" t="s">
        <v>14</v>
      </c>
      <c r="J936" s="174"/>
    </row>
    <row r="937" hidden="1" customHeight="1" spans="1:10">
      <c r="A937" s="140" t="s">
        <v>299</v>
      </c>
      <c r="B937" s="140" t="s">
        <v>300</v>
      </c>
      <c r="C937" s="171">
        <v>45690</v>
      </c>
      <c r="D937" s="172" t="s">
        <v>15</v>
      </c>
      <c r="E937" s="173" t="s">
        <v>13</v>
      </c>
      <c r="F937" s="140" t="s">
        <v>14</v>
      </c>
      <c r="G937" s="140" t="s">
        <v>14</v>
      </c>
      <c r="H937" s="140" t="s">
        <v>14</v>
      </c>
      <c r="I937" s="140" t="s">
        <v>14</v>
      </c>
      <c r="J937" s="174"/>
    </row>
    <row r="938" hidden="1" customHeight="1" spans="1:10">
      <c r="A938" s="140" t="s">
        <v>299</v>
      </c>
      <c r="B938" s="140" t="s">
        <v>300</v>
      </c>
      <c r="C938" s="171">
        <v>45691</v>
      </c>
      <c r="D938" s="172" t="s">
        <v>16</v>
      </c>
      <c r="E938" s="173" t="s">
        <v>13</v>
      </c>
      <c r="F938" s="140" t="s">
        <v>14</v>
      </c>
      <c r="G938" s="140" t="s">
        <v>14</v>
      </c>
      <c r="H938" s="140" t="s">
        <v>14</v>
      </c>
      <c r="I938" s="140" t="s">
        <v>14</v>
      </c>
      <c r="J938" s="174"/>
    </row>
    <row r="939" hidden="1" customHeight="1" spans="1:10">
      <c r="A939" s="140" t="s">
        <v>299</v>
      </c>
      <c r="B939" s="140" t="s">
        <v>300</v>
      </c>
      <c r="C939" s="171">
        <v>45692</v>
      </c>
      <c r="D939" s="172" t="s">
        <v>17</v>
      </c>
      <c r="E939" s="173" t="s">
        <v>13</v>
      </c>
      <c r="F939" s="140" t="s">
        <v>14</v>
      </c>
      <c r="G939" s="140" t="s">
        <v>14</v>
      </c>
      <c r="H939" s="140" t="s">
        <v>14</v>
      </c>
      <c r="I939" s="140" t="s">
        <v>14</v>
      </c>
      <c r="J939" s="174"/>
    </row>
    <row r="940" hidden="1" customHeight="1" spans="1:10">
      <c r="A940" s="140" t="s">
        <v>299</v>
      </c>
      <c r="B940" s="140" t="s">
        <v>300</v>
      </c>
      <c r="C940" s="171">
        <v>45693</v>
      </c>
      <c r="D940" s="172" t="s">
        <v>18</v>
      </c>
      <c r="E940" s="140" t="s">
        <v>19</v>
      </c>
      <c r="F940" s="140" t="s">
        <v>150</v>
      </c>
      <c r="G940" s="140" t="s">
        <v>21</v>
      </c>
      <c r="H940" s="140" t="s">
        <v>170</v>
      </c>
      <c r="I940" s="140" t="s">
        <v>21</v>
      </c>
      <c r="J940" s="174"/>
    </row>
    <row r="941" hidden="1" customHeight="1" spans="1:10">
      <c r="A941" s="140" t="s">
        <v>299</v>
      </c>
      <c r="B941" s="140" t="s">
        <v>300</v>
      </c>
      <c r="C941" s="171">
        <v>45694</v>
      </c>
      <c r="D941" s="172" t="s">
        <v>23</v>
      </c>
      <c r="E941" s="140" t="s">
        <v>19</v>
      </c>
      <c r="F941" s="140" t="s">
        <v>49</v>
      </c>
      <c r="G941" s="140" t="s">
        <v>21</v>
      </c>
      <c r="H941" s="140" t="s">
        <v>50</v>
      </c>
      <c r="I941" s="140" t="s">
        <v>21</v>
      </c>
      <c r="J941" s="174"/>
    </row>
    <row r="942" hidden="1" customHeight="1" spans="1:10">
      <c r="A942" s="140" t="s">
        <v>299</v>
      </c>
      <c r="B942" s="140" t="s">
        <v>300</v>
      </c>
      <c r="C942" s="171">
        <v>45695</v>
      </c>
      <c r="D942" s="172" t="s">
        <v>25</v>
      </c>
      <c r="E942" s="140" t="s">
        <v>19</v>
      </c>
      <c r="F942" s="140" t="s">
        <v>98</v>
      </c>
      <c r="G942" s="140" t="s">
        <v>21</v>
      </c>
      <c r="H942" s="140" t="s">
        <v>205</v>
      </c>
      <c r="I942" s="140" t="s">
        <v>21</v>
      </c>
      <c r="J942" s="174"/>
    </row>
    <row r="943" hidden="1" customHeight="1" spans="1:10">
      <c r="A943" s="140" t="s">
        <v>299</v>
      </c>
      <c r="B943" s="140" t="s">
        <v>300</v>
      </c>
      <c r="C943" s="171">
        <v>45696</v>
      </c>
      <c r="D943" s="172" t="s">
        <v>27</v>
      </c>
      <c r="E943" s="140" t="s">
        <v>19</v>
      </c>
      <c r="F943" s="140" t="s">
        <v>117</v>
      </c>
      <c r="G943" s="140" t="s">
        <v>21</v>
      </c>
      <c r="H943" s="140" t="s">
        <v>212</v>
      </c>
      <c r="I943" s="140" t="s">
        <v>21</v>
      </c>
      <c r="J943" s="174"/>
    </row>
    <row r="944" hidden="1" customHeight="1" spans="1:10">
      <c r="A944" s="140" t="s">
        <v>299</v>
      </c>
      <c r="B944" s="140" t="s">
        <v>300</v>
      </c>
      <c r="C944" s="171">
        <v>45697</v>
      </c>
      <c r="D944" s="172" t="s">
        <v>15</v>
      </c>
      <c r="E944" s="173" t="s">
        <v>13</v>
      </c>
      <c r="F944" s="140" t="s">
        <v>14</v>
      </c>
      <c r="G944" s="140" t="s">
        <v>14</v>
      </c>
      <c r="H944" s="140" t="s">
        <v>14</v>
      </c>
      <c r="I944" s="140" t="s">
        <v>14</v>
      </c>
      <c r="J944" s="174"/>
    </row>
    <row r="945" hidden="1" customHeight="1" spans="1:10">
      <c r="A945" s="140" t="s">
        <v>299</v>
      </c>
      <c r="B945" s="140" t="s">
        <v>300</v>
      </c>
      <c r="C945" s="171">
        <v>45698</v>
      </c>
      <c r="D945" s="172" t="s">
        <v>16</v>
      </c>
      <c r="E945" s="140" t="s">
        <v>19</v>
      </c>
      <c r="F945" s="140" t="s">
        <v>110</v>
      </c>
      <c r="G945" s="140" t="s">
        <v>21</v>
      </c>
      <c r="H945" s="140" t="s">
        <v>45</v>
      </c>
      <c r="I945" s="140" t="s">
        <v>21</v>
      </c>
      <c r="J945" s="174"/>
    </row>
    <row r="946" hidden="1" customHeight="1" spans="1:10">
      <c r="A946" s="140" t="s">
        <v>299</v>
      </c>
      <c r="B946" s="140" t="s">
        <v>300</v>
      </c>
      <c r="C946" s="171">
        <v>45699</v>
      </c>
      <c r="D946" s="172" t="s">
        <v>17</v>
      </c>
      <c r="E946" s="140" t="s">
        <v>19</v>
      </c>
      <c r="F946" s="140" t="s">
        <v>98</v>
      </c>
      <c r="G946" s="140" t="s">
        <v>21</v>
      </c>
      <c r="H946" s="140" t="s">
        <v>170</v>
      </c>
      <c r="I946" s="140" t="s">
        <v>21</v>
      </c>
      <c r="J946" s="174"/>
    </row>
    <row r="947" hidden="1" customHeight="1" spans="1:10">
      <c r="A947" s="140" t="s">
        <v>299</v>
      </c>
      <c r="B947" s="140" t="s">
        <v>300</v>
      </c>
      <c r="C947" s="171">
        <v>45700</v>
      </c>
      <c r="D947" s="172" t="s">
        <v>18</v>
      </c>
      <c r="E947" s="140" t="s">
        <v>19</v>
      </c>
      <c r="F947" s="140" t="s">
        <v>137</v>
      </c>
      <c r="G947" s="140" t="s">
        <v>21</v>
      </c>
      <c r="H947" s="140" t="s">
        <v>191</v>
      </c>
      <c r="I947" s="140" t="s">
        <v>21</v>
      </c>
      <c r="J947" s="174"/>
    </row>
    <row r="948" hidden="1" customHeight="1" spans="1:10">
      <c r="A948" s="140" t="s">
        <v>299</v>
      </c>
      <c r="B948" s="140" t="s">
        <v>300</v>
      </c>
      <c r="C948" s="171">
        <v>45701</v>
      </c>
      <c r="D948" s="172" t="s">
        <v>23</v>
      </c>
      <c r="E948" s="140" t="s">
        <v>19</v>
      </c>
      <c r="F948" s="140" t="s">
        <v>117</v>
      </c>
      <c r="G948" s="140" t="s">
        <v>21</v>
      </c>
      <c r="H948" s="140" t="s">
        <v>50</v>
      </c>
      <c r="I948" s="140" t="s">
        <v>21</v>
      </c>
      <c r="J948" s="174"/>
    </row>
    <row r="949" hidden="1" customHeight="1" spans="1:10">
      <c r="A949" s="140" t="s">
        <v>299</v>
      </c>
      <c r="B949" s="140" t="s">
        <v>300</v>
      </c>
      <c r="C949" s="171">
        <v>45702</v>
      </c>
      <c r="D949" s="172" t="s">
        <v>25</v>
      </c>
      <c r="E949" s="140" t="s">
        <v>19</v>
      </c>
      <c r="F949" s="140" t="s">
        <v>143</v>
      </c>
      <c r="G949" s="140" t="s">
        <v>21</v>
      </c>
      <c r="H949" s="140" t="s">
        <v>191</v>
      </c>
      <c r="I949" s="140" t="s">
        <v>21</v>
      </c>
      <c r="J949" s="174"/>
    </row>
    <row r="950" hidden="1" customHeight="1" spans="1:10">
      <c r="A950" s="140" t="s">
        <v>299</v>
      </c>
      <c r="B950" s="140" t="s">
        <v>300</v>
      </c>
      <c r="C950" s="171">
        <v>45703</v>
      </c>
      <c r="D950" s="172" t="s">
        <v>27</v>
      </c>
      <c r="E950" s="173" t="s">
        <v>13</v>
      </c>
      <c r="F950" s="140" t="s">
        <v>14</v>
      </c>
      <c r="G950" s="140" t="s">
        <v>14</v>
      </c>
      <c r="H950" s="140" t="s">
        <v>14</v>
      </c>
      <c r="I950" s="140" t="s">
        <v>14</v>
      </c>
      <c r="J950" s="174"/>
    </row>
    <row r="951" hidden="1" customHeight="1" spans="1:10">
      <c r="A951" s="140" t="s">
        <v>299</v>
      </c>
      <c r="B951" s="140" t="s">
        <v>300</v>
      </c>
      <c r="C951" s="171">
        <v>45704</v>
      </c>
      <c r="D951" s="172" t="s">
        <v>15</v>
      </c>
      <c r="E951" s="173" t="s">
        <v>13</v>
      </c>
      <c r="F951" s="140" t="s">
        <v>301</v>
      </c>
      <c r="G951" s="140" t="s">
        <v>21</v>
      </c>
      <c r="H951" s="140" t="s">
        <v>302</v>
      </c>
      <c r="I951" s="140" t="s">
        <v>21</v>
      </c>
      <c r="J951" s="174"/>
    </row>
    <row r="952" hidden="1" customHeight="1" spans="1:10">
      <c r="A952" s="140" t="s">
        <v>299</v>
      </c>
      <c r="B952" s="140" t="s">
        <v>300</v>
      </c>
      <c r="C952" s="171">
        <v>45705</v>
      </c>
      <c r="D952" s="172" t="s">
        <v>16</v>
      </c>
      <c r="E952" s="140" t="s">
        <v>19</v>
      </c>
      <c r="F952" s="140" t="s">
        <v>117</v>
      </c>
      <c r="G952" s="140" t="s">
        <v>21</v>
      </c>
      <c r="H952" s="140" t="s">
        <v>50</v>
      </c>
      <c r="I952" s="140" t="s">
        <v>21</v>
      </c>
      <c r="J952" s="174"/>
    </row>
    <row r="953" hidden="1" customHeight="1" spans="1:10">
      <c r="A953" s="140" t="s">
        <v>299</v>
      </c>
      <c r="B953" s="140" t="s">
        <v>300</v>
      </c>
      <c r="C953" s="171">
        <v>45706</v>
      </c>
      <c r="D953" s="172" t="s">
        <v>17</v>
      </c>
      <c r="E953" s="140" t="s">
        <v>19</v>
      </c>
      <c r="F953" s="140" t="s">
        <v>193</v>
      </c>
      <c r="G953" s="140" t="s">
        <v>21</v>
      </c>
      <c r="H953" s="140" t="s">
        <v>191</v>
      </c>
      <c r="I953" s="140" t="s">
        <v>21</v>
      </c>
      <c r="J953" s="174"/>
    </row>
    <row r="954" hidden="1" customHeight="1" spans="1:10">
      <c r="A954" s="140" t="s">
        <v>299</v>
      </c>
      <c r="B954" s="140" t="s">
        <v>300</v>
      </c>
      <c r="C954" s="171">
        <v>45707</v>
      </c>
      <c r="D954" s="172" t="s">
        <v>18</v>
      </c>
      <c r="E954" s="140" t="s">
        <v>19</v>
      </c>
      <c r="F954" s="140" t="s">
        <v>135</v>
      </c>
      <c r="G954" s="140" t="s">
        <v>21</v>
      </c>
      <c r="H954" s="140" t="s">
        <v>212</v>
      </c>
      <c r="I954" s="140" t="s">
        <v>21</v>
      </c>
      <c r="J954" s="174"/>
    </row>
    <row r="955" hidden="1" customHeight="1" spans="1:10">
      <c r="A955" s="140" t="s">
        <v>299</v>
      </c>
      <c r="B955" s="140" t="s">
        <v>300</v>
      </c>
      <c r="C955" s="171">
        <v>45708</v>
      </c>
      <c r="D955" s="172" t="s">
        <v>23</v>
      </c>
      <c r="E955" s="140" t="s">
        <v>19</v>
      </c>
      <c r="F955" s="140" t="s">
        <v>143</v>
      </c>
      <c r="G955" s="140" t="s">
        <v>21</v>
      </c>
      <c r="H955" s="140" t="s">
        <v>50</v>
      </c>
      <c r="I955" s="140" t="s">
        <v>21</v>
      </c>
      <c r="J955" s="174"/>
    </row>
    <row r="956" hidden="1" customHeight="1" spans="1:10">
      <c r="A956" s="140" t="s">
        <v>299</v>
      </c>
      <c r="B956" s="140" t="s">
        <v>300</v>
      </c>
      <c r="C956" s="171">
        <v>45709</v>
      </c>
      <c r="D956" s="172" t="s">
        <v>25</v>
      </c>
      <c r="E956" s="140" t="s">
        <v>19</v>
      </c>
      <c r="F956" s="140" t="s">
        <v>40</v>
      </c>
      <c r="G956" s="140" t="s">
        <v>21</v>
      </c>
      <c r="H956" s="140" t="s">
        <v>212</v>
      </c>
      <c r="I956" s="140" t="s">
        <v>21</v>
      </c>
      <c r="J956" s="174"/>
    </row>
    <row r="957" hidden="1" customHeight="1" spans="1:10">
      <c r="A957" s="140" t="s">
        <v>299</v>
      </c>
      <c r="B957" s="140" t="s">
        <v>300</v>
      </c>
      <c r="C957" s="171">
        <v>45710</v>
      </c>
      <c r="D957" s="172" t="s">
        <v>27</v>
      </c>
      <c r="E957" s="173" t="s">
        <v>13</v>
      </c>
      <c r="F957" s="140" t="s">
        <v>14</v>
      </c>
      <c r="G957" s="140" t="s">
        <v>14</v>
      </c>
      <c r="H957" s="140" t="s">
        <v>14</v>
      </c>
      <c r="I957" s="140" t="s">
        <v>14</v>
      </c>
      <c r="J957" s="174"/>
    </row>
    <row r="958" hidden="1" customHeight="1" spans="1:10">
      <c r="A958" s="140" t="s">
        <v>299</v>
      </c>
      <c r="B958" s="140" t="s">
        <v>300</v>
      </c>
      <c r="C958" s="171">
        <v>45711</v>
      </c>
      <c r="D958" s="172" t="s">
        <v>15</v>
      </c>
      <c r="E958" s="173" t="s">
        <v>13</v>
      </c>
      <c r="F958" s="140" t="s">
        <v>14</v>
      </c>
      <c r="G958" s="140" t="s">
        <v>14</v>
      </c>
      <c r="H958" s="140" t="s">
        <v>14</v>
      </c>
      <c r="I958" s="140" t="s">
        <v>14</v>
      </c>
      <c r="J958" s="175"/>
    </row>
    <row r="959" hidden="1" customHeight="1" spans="1:10">
      <c r="A959" s="140" t="s">
        <v>299</v>
      </c>
      <c r="B959" s="140" t="s">
        <v>300</v>
      </c>
      <c r="C959" s="171">
        <v>45712</v>
      </c>
      <c r="D959" s="172" t="s">
        <v>16</v>
      </c>
      <c r="E959" s="140" t="s">
        <v>19</v>
      </c>
      <c r="F959" s="140" t="s">
        <v>49</v>
      </c>
      <c r="G959" s="140" t="s">
        <v>21</v>
      </c>
      <c r="H959" s="140" t="s">
        <v>50</v>
      </c>
      <c r="I959" s="140" t="s">
        <v>21</v>
      </c>
      <c r="J959" s="174"/>
    </row>
    <row r="960" hidden="1" customHeight="1" spans="1:10">
      <c r="A960" s="140" t="s">
        <v>299</v>
      </c>
      <c r="B960" s="140" t="s">
        <v>300</v>
      </c>
      <c r="C960" s="171">
        <v>45713</v>
      </c>
      <c r="D960" s="172" t="s">
        <v>17</v>
      </c>
      <c r="E960" s="140" t="s">
        <v>19</v>
      </c>
      <c r="F960" s="140" t="s">
        <v>143</v>
      </c>
      <c r="G960" s="140" t="s">
        <v>21</v>
      </c>
      <c r="H960" s="140" t="s">
        <v>191</v>
      </c>
      <c r="I960" s="140" t="s">
        <v>21</v>
      </c>
      <c r="J960" s="174"/>
    </row>
    <row r="961" hidden="1" customHeight="1" spans="1:10">
      <c r="A961" s="140" t="s">
        <v>299</v>
      </c>
      <c r="B961" s="140" t="s">
        <v>300</v>
      </c>
      <c r="C961" s="171">
        <v>45714</v>
      </c>
      <c r="D961" s="172" t="s">
        <v>18</v>
      </c>
      <c r="E961" s="140" t="s">
        <v>19</v>
      </c>
      <c r="F961" s="140" t="s">
        <v>49</v>
      </c>
      <c r="G961" s="140" t="s">
        <v>21</v>
      </c>
      <c r="H961" s="140" t="s">
        <v>225</v>
      </c>
      <c r="I961" s="140" t="s">
        <v>21</v>
      </c>
      <c r="J961" s="174"/>
    </row>
    <row r="962" hidden="1" customHeight="1" spans="1:10">
      <c r="A962" s="140" t="s">
        <v>299</v>
      </c>
      <c r="B962" s="140" t="s">
        <v>300</v>
      </c>
      <c r="C962" s="171">
        <v>45715</v>
      </c>
      <c r="D962" s="172" t="s">
        <v>23</v>
      </c>
      <c r="E962" s="140" t="s">
        <v>19</v>
      </c>
      <c r="F962" s="140" t="s">
        <v>135</v>
      </c>
      <c r="G962" s="140" t="s">
        <v>21</v>
      </c>
      <c r="H962" s="140" t="s">
        <v>50</v>
      </c>
      <c r="I962" s="140" t="s">
        <v>21</v>
      </c>
      <c r="J962" s="174"/>
    </row>
    <row r="963" hidden="1" customHeight="1" spans="1:10">
      <c r="A963" s="140" t="s">
        <v>299</v>
      </c>
      <c r="B963" s="140" t="s">
        <v>300</v>
      </c>
      <c r="C963" s="171">
        <v>45716</v>
      </c>
      <c r="D963" s="172" t="s">
        <v>25</v>
      </c>
      <c r="E963" s="140" t="s">
        <v>19</v>
      </c>
      <c r="F963" s="140" t="s">
        <v>143</v>
      </c>
      <c r="G963" s="140" t="s">
        <v>21</v>
      </c>
      <c r="H963" s="140" t="s">
        <v>53</v>
      </c>
      <c r="I963" s="140" t="s">
        <v>21</v>
      </c>
      <c r="J963" s="175"/>
    </row>
    <row r="964" hidden="1" customHeight="1" spans="1:10">
      <c r="A964" s="140" t="s">
        <v>303</v>
      </c>
      <c r="B964" s="140" t="s">
        <v>198</v>
      </c>
      <c r="C964" s="171">
        <v>45689</v>
      </c>
      <c r="D964" s="172" t="s">
        <v>12</v>
      </c>
      <c r="E964" s="173" t="s">
        <v>13</v>
      </c>
      <c r="F964" s="140" t="s">
        <v>14</v>
      </c>
      <c r="G964" s="140" t="s">
        <v>14</v>
      </c>
      <c r="H964" s="140" t="s">
        <v>14</v>
      </c>
      <c r="I964" s="140" t="s">
        <v>14</v>
      </c>
      <c r="J964" s="174"/>
    </row>
    <row r="965" hidden="1" customHeight="1" spans="1:10">
      <c r="A965" s="140" t="s">
        <v>303</v>
      </c>
      <c r="B965" s="140" t="s">
        <v>198</v>
      </c>
      <c r="C965" s="171">
        <v>45690</v>
      </c>
      <c r="D965" s="172" t="s">
        <v>15</v>
      </c>
      <c r="E965" s="173" t="s">
        <v>13</v>
      </c>
      <c r="F965" s="140" t="s">
        <v>14</v>
      </c>
      <c r="G965" s="140" t="s">
        <v>14</v>
      </c>
      <c r="H965" s="140" t="s">
        <v>14</v>
      </c>
      <c r="I965" s="140" t="s">
        <v>14</v>
      </c>
      <c r="J965" s="174"/>
    </row>
    <row r="966" hidden="1" customHeight="1" spans="1:10">
      <c r="A966" s="140" t="s">
        <v>303</v>
      </c>
      <c r="B966" s="140" t="s">
        <v>198</v>
      </c>
      <c r="C966" s="171">
        <v>45691</v>
      </c>
      <c r="D966" s="172" t="s">
        <v>16</v>
      </c>
      <c r="E966" s="173" t="s">
        <v>13</v>
      </c>
      <c r="F966" s="140" t="s">
        <v>14</v>
      </c>
      <c r="G966" s="140" t="s">
        <v>14</v>
      </c>
      <c r="H966" s="140" t="s">
        <v>14</v>
      </c>
      <c r="I966" s="140" t="s">
        <v>14</v>
      </c>
      <c r="J966" s="174"/>
    </row>
    <row r="967" hidden="1" customHeight="1" spans="1:10">
      <c r="A967" s="140" t="s">
        <v>303</v>
      </c>
      <c r="B967" s="140" t="s">
        <v>198</v>
      </c>
      <c r="C967" s="171">
        <v>45692</v>
      </c>
      <c r="D967" s="172" t="s">
        <v>17</v>
      </c>
      <c r="E967" s="173" t="s">
        <v>13</v>
      </c>
      <c r="F967" s="140" t="s">
        <v>14</v>
      </c>
      <c r="G967" s="140" t="s">
        <v>14</v>
      </c>
      <c r="H967" s="140" t="s">
        <v>14</v>
      </c>
      <c r="I967" s="140" t="s">
        <v>14</v>
      </c>
      <c r="J967" s="174"/>
    </row>
    <row r="968" hidden="1" customHeight="1" spans="1:10">
      <c r="A968" s="140" t="s">
        <v>303</v>
      </c>
      <c r="B968" s="140" t="s">
        <v>198</v>
      </c>
      <c r="C968" s="171">
        <v>45693</v>
      </c>
      <c r="D968" s="172" t="s">
        <v>18</v>
      </c>
      <c r="E968" s="140" t="s">
        <v>19</v>
      </c>
      <c r="F968" s="140" t="s">
        <v>30</v>
      </c>
      <c r="G968" s="140" t="s">
        <v>21</v>
      </c>
      <c r="H968" s="140" t="s">
        <v>167</v>
      </c>
      <c r="I968" s="140" t="s">
        <v>21</v>
      </c>
      <c r="J968" s="174"/>
    </row>
    <row r="969" hidden="1" customHeight="1" spans="1:10">
      <c r="A969" s="140" t="s">
        <v>303</v>
      </c>
      <c r="B969" s="140" t="s">
        <v>198</v>
      </c>
      <c r="C969" s="171">
        <v>45694</v>
      </c>
      <c r="D969" s="172" t="s">
        <v>23</v>
      </c>
      <c r="E969" s="140" t="s">
        <v>19</v>
      </c>
      <c r="F969" s="140" t="s">
        <v>193</v>
      </c>
      <c r="G969" s="140" t="s">
        <v>21</v>
      </c>
      <c r="H969" s="140" t="s">
        <v>178</v>
      </c>
      <c r="I969" s="140" t="s">
        <v>21</v>
      </c>
      <c r="J969" s="174"/>
    </row>
    <row r="970" hidden="1" customHeight="1" spans="1:10">
      <c r="A970" s="140" t="s">
        <v>303</v>
      </c>
      <c r="B970" s="140" t="s">
        <v>198</v>
      </c>
      <c r="C970" s="171">
        <v>45695</v>
      </c>
      <c r="D970" s="172" t="s">
        <v>25</v>
      </c>
      <c r="E970" s="140" t="s">
        <v>19</v>
      </c>
      <c r="F970" s="140" t="s">
        <v>154</v>
      </c>
      <c r="G970" s="140" t="s">
        <v>21</v>
      </c>
      <c r="H970" s="140" t="s">
        <v>252</v>
      </c>
      <c r="I970" s="140" t="s">
        <v>21</v>
      </c>
      <c r="J970" s="174"/>
    </row>
    <row r="971" hidden="1" customHeight="1" spans="1:10">
      <c r="A971" s="140" t="s">
        <v>303</v>
      </c>
      <c r="B971" s="140" t="s">
        <v>198</v>
      </c>
      <c r="C971" s="171">
        <v>45696</v>
      </c>
      <c r="D971" s="172" t="s">
        <v>27</v>
      </c>
      <c r="E971" s="140" t="s">
        <v>19</v>
      </c>
      <c r="F971" s="140" t="s">
        <v>40</v>
      </c>
      <c r="G971" s="140" t="s">
        <v>21</v>
      </c>
      <c r="H971" s="140" t="s">
        <v>178</v>
      </c>
      <c r="I971" s="140" t="s">
        <v>21</v>
      </c>
      <c r="J971" s="174"/>
    </row>
    <row r="972" hidden="1" customHeight="1" spans="1:10">
      <c r="A972" s="140" t="s">
        <v>303</v>
      </c>
      <c r="B972" s="140" t="s">
        <v>198</v>
      </c>
      <c r="C972" s="171">
        <v>45697</v>
      </c>
      <c r="D972" s="172" t="s">
        <v>15</v>
      </c>
      <c r="E972" s="173" t="s">
        <v>13</v>
      </c>
      <c r="F972" s="140" t="s">
        <v>14</v>
      </c>
      <c r="G972" s="140" t="s">
        <v>14</v>
      </c>
      <c r="H972" s="140" t="s">
        <v>14</v>
      </c>
      <c r="I972" s="140" t="s">
        <v>14</v>
      </c>
      <c r="J972" s="174"/>
    </row>
    <row r="973" hidden="1" customHeight="1" spans="1:10">
      <c r="A973" s="140" t="s">
        <v>303</v>
      </c>
      <c r="B973" s="140" t="s">
        <v>198</v>
      </c>
      <c r="C973" s="171">
        <v>45698</v>
      </c>
      <c r="D973" s="172" t="s">
        <v>16</v>
      </c>
      <c r="E973" s="140" t="s">
        <v>19</v>
      </c>
      <c r="F973" s="140" t="s">
        <v>154</v>
      </c>
      <c r="G973" s="140" t="s">
        <v>21</v>
      </c>
      <c r="H973" s="140" t="s">
        <v>168</v>
      </c>
      <c r="I973" s="140" t="s">
        <v>21</v>
      </c>
      <c r="J973" s="174"/>
    </row>
    <row r="974" hidden="1" customHeight="1" spans="1:10">
      <c r="A974" s="140" t="s">
        <v>303</v>
      </c>
      <c r="B974" s="140" t="s">
        <v>198</v>
      </c>
      <c r="C974" s="171">
        <v>45699</v>
      </c>
      <c r="D974" s="172" t="s">
        <v>17</v>
      </c>
      <c r="E974" s="140" t="s">
        <v>19</v>
      </c>
      <c r="F974" s="140" t="s">
        <v>51</v>
      </c>
      <c r="G974" s="140" t="s">
        <v>21</v>
      </c>
      <c r="H974" s="140" t="s">
        <v>186</v>
      </c>
      <c r="I974" s="140" t="s">
        <v>21</v>
      </c>
      <c r="J974" s="174"/>
    </row>
    <row r="975" hidden="1" customHeight="1" spans="1:10">
      <c r="A975" s="140" t="s">
        <v>303</v>
      </c>
      <c r="B975" s="140" t="s">
        <v>198</v>
      </c>
      <c r="C975" s="171">
        <v>45700</v>
      </c>
      <c r="D975" s="172" t="s">
        <v>18</v>
      </c>
      <c r="E975" s="140" t="s">
        <v>19</v>
      </c>
      <c r="F975" s="140" t="s">
        <v>30</v>
      </c>
      <c r="G975" s="140" t="s">
        <v>21</v>
      </c>
      <c r="H975" s="140" t="s">
        <v>174</v>
      </c>
      <c r="I975" s="140" t="s">
        <v>21</v>
      </c>
      <c r="J975" s="174"/>
    </row>
    <row r="976" hidden="1" customHeight="1" spans="1:10">
      <c r="A976" s="140" t="s">
        <v>303</v>
      </c>
      <c r="B976" s="140" t="s">
        <v>198</v>
      </c>
      <c r="C976" s="171">
        <v>45701</v>
      </c>
      <c r="D976" s="172" t="s">
        <v>23</v>
      </c>
      <c r="E976" s="140" t="s">
        <v>19</v>
      </c>
      <c r="F976" s="140" t="s">
        <v>193</v>
      </c>
      <c r="G976" s="140" t="s">
        <v>21</v>
      </c>
      <c r="H976" s="140" t="s">
        <v>304</v>
      </c>
      <c r="I976" s="140" t="s">
        <v>21</v>
      </c>
      <c r="J976" s="174"/>
    </row>
    <row r="977" hidden="1" customHeight="1" spans="1:10">
      <c r="A977" s="140" t="s">
        <v>303</v>
      </c>
      <c r="B977" s="140" t="s">
        <v>198</v>
      </c>
      <c r="C977" s="171">
        <v>45702</v>
      </c>
      <c r="D977" s="172" t="s">
        <v>25</v>
      </c>
      <c r="E977" s="140" t="s">
        <v>19</v>
      </c>
      <c r="F977" s="140" t="s">
        <v>40</v>
      </c>
      <c r="G977" s="140" t="s">
        <v>21</v>
      </c>
      <c r="H977" s="140" t="s">
        <v>260</v>
      </c>
      <c r="I977" s="140" t="s">
        <v>21</v>
      </c>
      <c r="J977" s="174"/>
    </row>
    <row r="978" hidden="1" customHeight="1" spans="1:10">
      <c r="A978" s="140" t="s">
        <v>303</v>
      </c>
      <c r="B978" s="140" t="s">
        <v>198</v>
      </c>
      <c r="C978" s="171">
        <v>45703</v>
      </c>
      <c r="D978" s="172" t="s">
        <v>27</v>
      </c>
      <c r="E978" s="173" t="s">
        <v>13</v>
      </c>
      <c r="F978" s="140" t="s">
        <v>14</v>
      </c>
      <c r="G978" s="140" t="s">
        <v>14</v>
      </c>
      <c r="H978" s="140" t="s">
        <v>14</v>
      </c>
      <c r="I978" s="140" t="s">
        <v>14</v>
      </c>
      <c r="J978" s="174"/>
    </row>
    <row r="979" hidden="1" customHeight="1" spans="1:10">
      <c r="A979" s="140" t="s">
        <v>303</v>
      </c>
      <c r="B979" s="140" t="s">
        <v>198</v>
      </c>
      <c r="C979" s="171">
        <v>45704</v>
      </c>
      <c r="D979" s="172" t="s">
        <v>15</v>
      </c>
      <c r="E979" s="173" t="s">
        <v>13</v>
      </c>
      <c r="F979" s="140" t="s">
        <v>14</v>
      </c>
      <c r="G979" s="140" t="s">
        <v>14</v>
      </c>
      <c r="H979" s="140" t="s">
        <v>14</v>
      </c>
      <c r="I979" s="140" t="s">
        <v>14</v>
      </c>
      <c r="J979" s="174"/>
    </row>
    <row r="980" hidden="1" customHeight="1" spans="1:10">
      <c r="A980" s="140" t="s">
        <v>303</v>
      </c>
      <c r="B980" s="140" t="s">
        <v>198</v>
      </c>
      <c r="C980" s="171">
        <v>45705</v>
      </c>
      <c r="D980" s="172" t="s">
        <v>16</v>
      </c>
      <c r="E980" s="140" t="s">
        <v>19</v>
      </c>
      <c r="F980" s="140" t="s">
        <v>51</v>
      </c>
      <c r="G980" s="140" t="s">
        <v>21</v>
      </c>
      <c r="H980" s="140" t="s">
        <v>71</v>
      </c>
      <c r="I980" s="140" t="s">
        <v>21</v>
      </c>
      <c r="J980" s="174"/>
    </row>
    <row r="981" customHeight="1" spans="1:10">
      <c r="A981" s="140" t="s">
        <v>303</v>
      </c>
      <c r="B981" s="140" t="s">
        <v>198</v>
      </c>
      <c r="C981" s="171">
        <v>45706</v>
      </c>
      <c r="D981" s="172" t="s">
        <v>17</v>
      </c>
      <c r="E981" s="140" t="s">
        <v>19</v>
      </c>
      <c r="F981" s="140" t="s">
        <v>14</v>
      </c>
      <c r="G981" s="176" t="s">
        <v>68</v>
      </c>
      <c r="H981" s="140" t="s">
        <v>14</v>
      </c>
      <c r="I981" s="176" t="s">
        <v>68</v>
      </c>
      <c r="J981" s="174" t="s">
        <v>305</v>
      </c>
    </row>
    <row r="982" hidden="1" customHeight="1" spans="1:10">
      <c r="A982" s="140" t="s">
        <v>303</v>
      </c>
      <c r="B982" s="140" t="s">
        <v>198</v>
      </c>
      <c r="C982" s="171">
        <v>45707</v>
      </c>
      <c r="D982" s="172" t="s">
        <v>18</v>
      </c>
      <c r="E982" s="140" t="s">
        <v>19</v>
      </c>
      <c r="F982" s="140" t="s">
        <v>28</v>
      </c>
      <c r="G982" s="140" t="s">
        <v>21</v>
      </c>
      <c r="H982" s="140" t="s">
        <v>200</v>
      </c>
      <c r="I982" s="140" t="s">
        <v>21</v>
      </c>
      <c r="J982" s="174"/>
    </row>
    <row r="983" hidden="1" customHeight="1" spans="1:10">
      <c r="A983" s="140" t="s">
        <v>303</v>
      </c>
      <c r="B983" s="140" t="s">
        <v>198</v>
      </c>
      <c r="C983" s="171">
        <v>45708</v>
      </c>
      <c r="D983" s="172" t="s">
        <v>23</v>
      </c>
      <c r="E983" s="140" t="s">
        <v>19</v>
      </c>
      <c r="F983" s="140" t="s">
        <v>36</v>
      </c>
      <c r="G983" s="140" t="s">
        <v>21</v>
      </c>
      <c r="H983" s="140" t="s">
        <v>45</v>
      </c>
      <c r="I983" s="140" t="s">
        <v>21</v>
      </c>
      <c r="J983" s="174"/>
    </row>
    <row r="984" hidden="1" customHeight="1" spans="1:10">
      <c r="A984" s="140" t="s">
        <v>303</v>
      </c>
      <c r="B984" s="140" t="s">
        <v>198</v>
      </c>
      <c r="C984" s="171">
        <v>45709</v>
      </c>
      <c r="D984" s="172" t="s">
        <v>25</v>
      </c>
      <c r="E984" s="140" t="s">
        <v>19</v>
      </c>
      <c r="F984" s="140" t="s">
        <v>36</v>
      </c>
      <c r="G984" s="140" t="s">
        <v>21</v>
      </c>
      <c r="H984" s="140" t="s">
        <v>239</v>
      </c>
      <c r="I984" s="140" t="s">
        <v>21</v>
      </c>
      <c r="J984" s="174"/>
    </row>
    <row r="985" hidden="1" customHeight="1" spans="1:10">
      <c r="A985" s="140" t="s">
        <v>303</v>
      </c>
      <c r="B985" s="140" t="s">
        <v>198</v>
      </c>
      <c r="C985" s="171">
        <v>45710</v>
      </c>
      <c r="D985" s="172" t="s">
        <v>27</v>
      </c>
      <c r="E985" s="173" t="s">
        <v>13</v>
      </c>
      <c r="F985" s="140" t="s">
        <v>14</v>
      </c>
      <c r="G985" s="140" t="s">
        <v>14</v>
      </c>
      <c r="H985" s="140" t="s">
        <v>14</v>
      </c>
      <c r="I985" s="140" t="s">
        <v>14</v>
      </c>
      <c r="J985" s="174"/>
    </row>
    <row r="986" hidden="1" customHeight="1" spans="1:10">
      <c r="A986" s="140" t="s">
        <v>303</v>
      </c>
      <c r="B986" s="140" t="s">
        <v>198</v>
      </c>
      <c r="C986" s="171">
        <v>45711</v>
      </c>
      <c r="D986" s="172" t="s">
        <v>15</v>
      </c>
      <c r="E986" s="173" t="s">
        <v>13</v>
      </c>
      <c r="F986" s="140" t="s">
        <v>14</v>
      </c>
      <c r="G986" s="140" t="s">
        <v>14</v>
      </c>
      <c r="H986" s="140" t="s">
        <v>14</v>
      </c>
      <c r="I986" s="140" t="s">
        <v>14</v>
      </c>
      <c r="J986" s="174"/>
    </row>
    <row r="987" hidden="1" customHeight="1" spans="1:10">
      <c r="A987" s="140" t="s">
        <v>303</v>
      </c>
      <c r="B987" s="140" t="s">
        <v>198</v>
      </c>
      <c r="C987" s="171">
        <v>45712</v>
      </c>
      <c r="D987" s="172" t="s">
        <v>16</v>
      </c>
      <c r="E987" s="140" t="s">
        <v>19</v>
      </c>
      <c r="F987" s="140" t="s">
        <v>46</v>
      </c>
      <c r="G987" s="140" t="s">
        <v>21</v>
      </c>
      <c r="H987" s="140" t="s">
        <v>118</v>
      </c>
      <c r="I987" s="140" t="s">
        <v>21</v>
      </c>
      <c r="J987" s="174"/>
    </row>
    <row r="988" hidden="1" customHeight="1" spans="1:10">
      <c r="A988" s="140" t="s">
        <v>303</v>
      </c>
      <c r="B988" s="140" t="s">
        <v>198</v>
      </c>
      <c r="C988" s="171">
        <v>45713</v>
      </c>
      <c r="D988" s="172" t="s">
        <v>17</v>
      </c>
      <c r="E988" s="140" t="s">
        <v>19</v>
      </c>
      <c r="F988" s="140" t="s">
        <v>40</v>
      </c>
      <c r="G988" s="140" t="s">
        <v>21</v>
      </c>
      <c r="H988" s="140" t="s">
        <v>122</v>
      </c>
      <c r="I988" s="140" t="s">
        <v>21</v>
      </c>
      <c r="J988" s="174"/>
    </row>
    <row r="989" hidden="1" customHeight="1" spans="1:10">
      <c r="A989" s="140" t="s">
        <v>303</v>
      </c>
      <c r="B989" s="140" t="s">
        <v>198</v>
      </c>
      <c r="C989" s="171">
        <v>45714</v>
      </c>
      <c r="D989" s="172" t="s">
        <v>18</v>
      </c>
      <c r="E989" s="140" t="s">
        <v>19</v>
      </c>
      <c r="F989" s="140" t="s">
        <v>40</v>
      </c>
      <c r="G989" s="140" t="s">
        <v>21</v>
      </c>
      <c r="H989" s="140" t="s">
        <v>178</v>
      </c>
      <c r="I989" s="140" t="s">
        <v>21</v>
      </c>
      <c r="J989" s="174"/>
    </row>
    <row r="990" hidden="1" customHeight="1" spans="1:10">
      <c r="A990" s="140" t="s">
        <v>303</v>
      </c>
      <c r="B990" s="140" t="s">
        <v>198</v>
      </c>
      <c r="C990" s="171">
        <v>45715</v>
      </c>
      <c r="D990" s="172" t="s">
        <v>23</v>
      </c>
      <c r="E990" s="140" t="s">
        <v>19</v>
      </c>
      <c r="F990" s="140" t="s">
        <v>51</v>
      </c>
      <c r="G990" s="140" t="s">
        <v>21</v>
      </c>
      <c r="H990" s="140" t="s">
        <v>168</v>
      </c>
      <c r="I990" s="140" t="s">
        <v>21</v>
      </c>
      <c r="J990" s="174"/>
    </row>
    <row r="991" hidden="1" customHeight="1" spans="1:10">
      <c r="A991" s="140" t="s">
        <v>303</v>
      </c>
      <c r="B991" s="140" t="s">
        <v>198</v>
      </c>
      <c r="C991" s="171">
        <v>45716</v>
      </c>
      <c r="D991" s="172" t="s">
        <v>25</v>
      </c>
      <c r="E991" s="140" t="s">
        <v>19</v>
      </c>
      <c r="F991" s="140" t="s">
        <v>51</v>
      </c>
      <c r="G991" s="140" t="s">
        <v>21</v>
      </c>
      <c r="H991" s="140" t="s">
        <v>168</v>
      </c>
      <c r="I991" s="140" t="s">
        <v>21</v>
      </c>
      <c r="J991" s="174"/>
    </row>
    <row r="992" hidden="1" customHeight="1" spans="1:10">
      <c r="A992" s="140" t="s">
        <v>306</v>
      </c>
      <c r="B992" s="140" t="s">
        <v>149</v>
      </c>
      <c r="C992" s="171">
        <v>45689</v>
      </c>
      <c r="D992" s="172" t="s">
        <v>12</v>
      </c>
      <c r="E992" s="173" t="s">
        <v>13</v>
      </c>
      <c r="F992" s="140" t="s">
        <v>14</v>
      </c>
      <c r="G992" s="140" t="s">
        <v>14</v>
      </c>
      <c r="H992" s="140" t="s">
        <v>14</v>
      </c>
      <c r="I992" s="140" t="s">
        <v>14</v>
      </c>
      <c r="J992" s="174"/>
    </row>
    <row r="993" hidden="1" customHeight="1" spans="1:10">
      <c r="A993" s="140" t="s">
        <v>306</v>
      </c>
      <c r="B993" s="140" t="s">
        <v>149</v>
      </c>
      <c r="C993" s="171">
        <v>45690</v>
      </c>
      <c r="D993" s="172" t="s">
        <v>15</v>
      </c>
      <c r="E993" s="173" t="s">
        <v>13</v>
      </c>
      <c r="F993" s="140" t="s">
        <v>14</v>
      </c>
      <c r="G993" s="140" t="s">
        <v>14</v>
      </c>
      <c r="H993" s="140" t="s">
        <v>14</v>
      </c>
      <c r="I993" s="140" t="s">
        <v>14</v>
      </c>
      <c r="J993" s="174"/>
    </row>
    <row r="994" hidden="1" customHeight="1" spans="1:10">
      <c r="A994" s="140" t="s">
        <v>306</v>
      </c>
      <c r="B994" s="140" t="s">
        <v>149</v>
      </c>
      <c r="C994" s="171">
        <v>45691</v>
      </c>
      <c r="D994" s="172" t="s">
        <v>16</v>
      </c>
      <c r="E994" s="173" t="s">
        <v>13</v>
      </c>
      <c r="F994" s="140" t="s">
        <v>14</v>
      </c>
      <c r="G994" s="140" t="s">
        <v>14</v>
      </c>
      <c r="H994" s="140" t="s">
        <v>14</v>
      </c>
      <c r="I994" s="140" t="s">
        <v>14</v>
      </c>
      <c r="J994" s="174"/>
    </row>
    <row r="995" hidden="1" customHeight="1" spans="1:10">
      <c r="A995" s="140" t="s">
        <v>306</v>
      </c>
      <c r="B995" s="140" t="s">
        <v>149</v>
      </c>
      <c r="C995" s="171">
        <v>45692</v>
      </c>
      <c r="D995" s="172" t="s">
        <v>17</v>
      </c>
      <c r="E995" s="173" t="s">
        <v>13</v>
      </c>
      <c r="F995" s="140" t="s">
        <v>14</v>
      </c>
      <c r="G995" s="140" t="s">
        <v>14</v>
      </c>
      <c r="H995" s="140" t="s">
        <v>14</v>
      </c>
      <c r="I995" s="140" t="s">
        <v>14</v>
      </c>
      <c r="J995" s="174"/>
    </row>
    <row r="996" hidden="1" customHeight="1" spans="1:10">
      <c r="A996" s="140" t="s">
        <v>306</v>
      </c>
      <c r="B996" s="140" t="s">
        <v>149</v>
      </c>
      <c r="C996" s="171">
        <v>45693</v>
      </c>
      <c r="D996" s="172" t="s">
        <v>18</v>
      </c>
      <c r="E996" s="140" t="s">
        <v>19</v>
      </c>
      <c r="F996" s="140" t="s">
        <v>139</v>
      </c>
      <c r="G996" s="140" t="s">
        <v>21</v>
      </c>
      <c r="H996" s="140" t="s">
        <v>184</v>
      </c>
      <c r="I996" s="140" t="s">
        <v>21</v>
      </c>
      <c r="J996" s="174"/>
    </row>
    <row r="997" hidden="1" customHeight="1" spans="1:10">
      <c r="A997" s="140" t="s">
        <v>306</v>
      </c>
      <c r="B997" s="140" t="s">
        <v>149</v>
      </c>
      <c r="C997" s="171">
        <v>45694</v>
      </c>
      <c r="D997" s="172" t="s">
        <v>23</v>
      </c>
      <c r="E997" s="140" t="s">
        <v>19</v>
      </c>
      <c r="F997" s="140" t="s">
        <v>146</v>
      </c>
      <c r="G997" s="140" t="s">
        <v>21</v>
      </c>
      <c r="H997" s="140" t="s">
        <v>168</v>
      </c>
      <c r="I997" s="140" t="s">
        <v>21</v>
      </c>
      <c r="J997" s="175"/>
    </row>
    <row r="998" hidden="1" customHeight="1" spans="1:10">
      <c r="A998" s="140" t="s">
        <v>306</v>
      </c>
      <c r="B998" s="140" t="s">
        <v>149</v>
      </c>
      <c r="C998" s="171">
        <v>45695</v>
      </c>
      <c r="D998" s="172" t="s">
        <v>25</v>
      </c>
      <c r="E998" s="140" t="s">
        <v>19</v>
      </c>
      <c r="F998" s="140" t="s">
        <v>135</v>
      </c>
      <c r="G998" s="140" t="s">
        <v>21</v>
      </c>
      <c r="H998" s="140" t="s">
        <v>167</v>
      </c>
      <c r="I998" s="140" t="s">
        <v>21</v>
      </c>
      <c r="J998" s="174"/>
    </row>
    <row r="999" hidden="1" customHeight="1" spans="1:10">
      <c r="A999" s="140" t="s">
        <v>306</v>
      </c>
      <c r="B999" s="140" t="s">
        <v>149</v>
      </c>
      <c r="C999" s="171">
        <v>45696</v>
      </c>
      <c r="D999" s="172" t="s">
        <v>27</v>
      </c>
      <c r="E999" s="140" t="s">
        <v>19</v>
      </c>
      <c r="F999" s="140" t="s">
        <v>117</v>
      </c>
      <c r="G999" s="140" t="s">
        <v>21</v>
      </c>
      <c r="H999" s="140" t="s">
        <v>235</v>
      </c>
      <c r="I999" s="140" t="s">
        <v>21</v>
      </c>
      <c r="J999" s="174"/>
    </row>
    <row r="1000" hidden="1" customHeight="1" spans="1:10">
      <c r="A1000" s="140" t="s">
        <v>306</v>
      </c>
      <c r="B1000" s="140" t="s">
        <v>149</v>
      </c>
      <c r="C1000" s="171">
        <v>45697</v>
      </c>
      <c r="D1000" s="172" t="s">
        <v>15</v>
      </c>
      <c r="E1000" s="173" t="s">
        <v>13</v>
      </c>
      <c r="F1000" s="140" t="s">
        <v>14</v>
      </c>
      <c r="G1000" s="140" t="s">
        <v>14</v>
      </c>
      <c r="H1000" s="140" t="s">
        <v>14</v>
      </c>
      <c r="I1000" s="140" t="s">
        <v>14</v>
      </c>
      <c r="J1000" s="174"/>
    </row>
    <row r="1001" hidden="1" customHeight="1" spans="1:10">
      <c r="A1001" s="140" t="s">
        <v>306</v>
      </c>
      <c r="B1001" s="140" t="s">
        <v>149</v>
      </c>
      <c r="C1001" s="171">
        <v>45698</v>
      </c>
      <c r="D1001" s="172" t="s">
        <v>16</v>
      </c>
      <c r="E1001" s="140" t="s">
        <v>19</v>
      </c>
      <c r="F1001" s="140" t="s">
        <v>139</v>
      </c>
      <c r="G1001" s="140" t="s">
        <v>21</v>
      </c>
      <c r="H1001" s="140" t="s">
        <v>45</v>
      </c>
      <c r="I1001" s="140" t="s">
        <v>21</v>
      </c>
      <c r="J1001" s="174"/>
    </row>
    <row r="1002" hidden="1" customHeight="1" spans="1:10">
      <c r="A1002" s="140" t="s">
        <v>306</v>
      </c>
      <c r="B1002" s="140" t="s">
        <v>149</v>
      </c>
      <c r="C1002" s="171">
        <v>45699</v>
      </c>
      <c r="D1002" s="172" t="s">
        <v>17</v>
      </c>
      <c r="E1002" s="140" t="s">
        <v>19</v>
      </c>
      <c r="F1002" s="140" t="s">
        <v>150</v>
      </c>
      <c r="G1002" s="140" t="s">
        <v>21</v>
      </c>
      <c r="H1002" s="140" t="s">
        <v>206</v>
      </c>
      <c r="I1002" s="140" t="s">
        <v>21</v>
      </c>
      <c r="J1002" s="174"/>
    </row>
    <row r="1003" hidden="1" customHeight="1" spans="1:10">
      <c r="A1003" s="140" t="s">
        <v>306</v>
      </c>
      <c r="B1003" s="140" t="s">
        <v>149</v>
      </c>
      <c r="C1003" s="171">
        <v>45700</v>
      </c>
      <c r="D1003" s="172" t="s">
        <v>18</v>
      </c>
      <c r="E1003" s="140" t="s">
        <v>19</v>
      </c>
      <c r="F1003" s="140" t="s">
        <v>150</v>
      </c>
      <c r="G1003" s="140" t="s">
        <v>21</v>
      </c>
      <c r="H1003" s="140" t="s">
        <v>235</v>
      </c>
      <c r="I1003" s="140" t="s">
        <v>21</v>
      </c>
      <c r="J1003" s="174"/>
    </row>
    <row r="1004" hidden="1" customHeight="1" spans="1:10">
      <c r="A1004" s="140" t="s">
        <v>306</v>
      </c>
      <c r="B1004" s="140" t="s">
        <v>149</v>
      </c>
      <c r="C1004" s="171">
        <v>45701</v>
      </c>
      <c r="D1004" s="172" t="s">
        <v>23</v>
      </c>
      <c r="E1004" s="140" t="s">
        <v>19</v>
      </c>
      <c r="F1004" s="140" t="s">
        <v>51</v>
      </c>
      <c r="G1004" s="140" t="s">
        <v>21</v>
      </c>
      <c r="H1004" s="140" t="s">
        <v>99</v>
      </c>
      <c r="I1004" s="140" t="s">
        <v>21</v>
      </c>
      <c r="J1004" s="174"/>
    </row>
    <row r="1005" hidden="1" customHeight="1" spans="1:10">
      <c r="A1005" s="140" t="s">
        <v>306</v>
      </c>
      <c r="B1005" s="140" t="s">
        <v>149</v>
      </c>
      <c r="C1005" s="171">
        <v>45702</v>
      </c>
      <c r="D1005" s="172" t="s">
        <v>25</v>
      </c>
      <c r="E1005" s="140" t="s">
        <v>19</v>
      </c>
      <c r="F1005" s="140" t="s">
        <v>33</v>
      </c>
      <c r="G1005" s="140" t="s">
        <v>21</v>
      </c>
      <c r="H1005" s="140" t="s">
        <v>170</v>
      </c>
      <c r="I1005" s="140" t="s">
        <v>21</v>
      </c>
      <c r="J1005" s="174"/>
    </row>
    <row r="1006" hidden="1" customHeight="1" spans="1:10">
      <c r="A1006" s="140" t="s">
        <v>306</v>
      </c>
      <c r="B1006" s="140" t="s">
        <v>149</v>
      </c>
      <c r="C1006" s="171">
        <v>45703</v>
      </c>
      <c r="D1006" s="172" t="s">
        <v>27</v>
      </c>
      <c r="E1006" s="173" t="s">
        <v>13</v>
      </c>
      <c r="F1006" s="140" t="s">
        <v>14</v>
      </c>
      <c r="G1006" s="140" t="s">
        <v>14</v>
      </c>
      <c r="H1006" s="140" t="s">
        <v>14</v>
      </c>
      <c r="I1006" s="140" t="s">
        <v>14</v>
      </c>
      <c r="J1006" s="174"/>
    </row>
    <row r="1007" hidden="1" customHeight="1" spans="1:10">
      <c r="A1007" s="140" t="s">
        <v>306</v>
      </c>
      <c r="B1007" s="140" t="s">
        <v>149</v>
      </c>
      <c r="C1007" s="171">
        <v>45704</v>
      </c>
      <c r="D1007" s="172" t="s">
        <v>15</v>
      </c>
      <c r="E1007" s="173" t="s">
        <v>13</v>
      </c>
      <c r="F1007" s="140" t="s">
        <v>14</v>
      </c>
      <c r="G1007" s="140" t="s">
        <v>14</v>
      </c>
      <c r="H1007" s="140" t="s">
        <v>14</v>
      </c>
      <c r="I1007" s="140" t="s">
        <v>14</v>
      </c>
      <c r="J1007" s="174"/>
    </row>
    <row r="1008" hidden="1" customHeight="1" spans="1:10">
      <c r="A1008" s="140" t="s">
        <v>306</v>
      </c>
      <c r="B1008" s="140" t="s">
        <v>149</v>
      </c>
      <c r="C1008" s="171">
        <v>45705</v>
      </c>
      <c r="D1008" s="172" t="s">
        <v>16</v>
      </c>
      <c r="E1008" s="140" t="s">
        <v>19</v>
      </c>
      <c r="F1008" s="140" t="s">
        <v>195</v>
      </c>
      <c r="G1008" s="140" t="s">
        <v>21</v>
      </c>
      <c r="H1008" s="140" t="s">
        <v>78</v>
      </c>
      <c r="I1008" s="140" t="s">
        <v>21</v>
      </c>
      <c r="J1008" s="174"/>
    </row>
    <row r="1009" hidden="1" customHeight="1" spans="1:10">
      <c r="A1009" s="140" t="s">
        <v>306</v>
      </c>
      <c r="B1009" s="140" t="s">
        <v>149</v>
      </c>
      <c r="C1009" s="171">
        <v>45706</v>
      </c>
      <c r="D1009" s="172" t="s">
        <v>17</v>
      </c>
      <c r="E1009" s="140" t="s">
        <v>19</v>
      </c>
      <c r="F1009" s="140" t="s">
        <v>49</v>
      </c>
      <c r="G1009" s="140" t="s">
        <v>21</v>
      </c>
      <c r="H1009" s="140" t="s">
        <v>235</v>
      </c>
      <c r="I1009" s="140" t="s">
        <v>21</v>
      </c>
      <c r="J1009" s="174"/>
    </row>
    <row r="1010" hidden="1" customHeight="1" spans="1:10">
      <c r="A1010" s="140" t="s">
        <v>306</v>
      </c>
      <c r="B1010" s="140" t="s">
        <v>149</v>
      </c>
      <c r="C1010" s="171">
        <v>45707</v>
      </c>
      <c r="D1010" s="172" t="s">
        <v>18</v>
      </c>
      <c r="E1010" s="140" t="s">
        <v>19</v>
      </c>
      <c r="F1010" s="140" t="s">
        <v>139</v>
      </c>
      <c r="G1010" s="140" t="s">
        <v>21</v>
      </c>
      <c r="H1010" s="140" t="s">
        <v>205</v>
      </c>
      <c r="I1010" s="140" t="s">
        <v>21</v>
      </c>
      <c r="J1010" s="174"/>
    </row>
    <row r="1011" hidden="1" customHeight="1" spans="1:10">
      <c r="A1011" s="140" t="s">
        <v>306</v>
      </c>
      <c r="B1011" s="140" t="s">
        <v>149</v>
      </c>
      <c r="C1011" s="171">
        <v>45708</v>
      </c>
      <c r="D1011" s="172" t="s">
        <v>23</v>
      </c>
      <c r="E1011" s="140" t="s">
        <v>19</v>
      </c>
      <c r="F1011" s="140" t="s">
        <v>146</v>
      </c>
      <c r="G1011" s="140" t="s">
        <v>21</v>
      </c>
      <c r="H1011" s="140" t="s">
        <v>78</v>
      </c>
      <c r="I1011" s="140" t="s">
        <v>21</v>
      </c>
      <c r="J1011" s="174"/>
    </row>
    <row r="1012" hidden="1" customHeight="1" spans="1:10">
      <c r="A1012" s="140" t="s">
        <v>306</v>
      </c>
      <c r="B1012" s="140" t="s">
        <v>149</v>
      </c>
      <c r="C1012" s="171">
        <v>45709</v>
      </c>
      <c r="D1012" s="172" t="s">
        <v>25</v>
      </c>
      <c r="E1012" s="140" t="s">
        <v>19</v>
      </c>
      <c r="F1012" s="140" t="s">
        <v>117</v>
      </c>
      <c r="G1012" s="140" t="s">
        <v>21</v>
      </c>
      <c r="H1012" s="140" t="s">
        <v>206</v>
      </c>
      <c r="I1012" s="140" t="s">
        <v>21</v>
      </c>
      <c r="J1012" s="174"/>
    </row>
    <row r="1013" hidden="1" customHeight="1" spans="1:10">
      <c r="A1013" s="140" t="s">
        <v>306</v>
      </c>
      <c r="B1013" s="140" t="s">
        <v>149</v>
      </c>
      <c r="C1013" s="171">
        <v>45710</v>
      </c>
      <c r="D1013" s="172" t="s">
        <v>27</v>
      </c>
      <c r="E1013" s="173" t="s">
        <v>13</v>
      </c>
      <c r="F1013" s="140" t="s">
        <v>14</v>
      </c>
      <c r="G1013" s="140" t="s">
        <v>14</v>
      </c>
      <c r="H1013" s="140" t="s">
        <v>14</v>
      </c>
      <c r="I1013" s="140" t="s">
        <v>14</v>
      </c>
      <c r="J1013" s="174"/>
    </row>
    <row r="1014" hidden="1" customHeight="1" spans="1:10">
      <c r="A1014" s="140" t="s">
        <v>306</v>
      </c>
      <c r="B1014" s="140" t="s">
        <v>149</v>
      </c>
      <c r="C1014" s="171">
        <v>45711</v>
      </c>
      <c r="D1014" s="172" t="s">
        <v>15</v>
      </c>
      <c r="E1014" s="173" t="s">
        <v>13</v>
      </c>
      <c r="F1014" s="140" t="s">
        <v>14</v>
      </c>
      <c r="G1014" s="140" t="s">
        <v>14</v>
      </c>
      <c r="H1014" s="140" t="s">
        <v>14</v>
      </c>
      <c r="I1014" s="140" t="s">
        <v>14</v>
      </c>
      <c r="J1014" s="174"/>
    </row>
    <row r="1015" hidden="1" customHeight="1" spans="1:10">
      <c r="A1015" s="140" t="s">
        <v>306</v>
      </c>
      <c r="B1015" s="140" t="s">
        <v>149</v>
      </c>
      <c r="C1015" s="171">
        <v>45712</v>
      </c>
      <c r="D1015" s="172" t="s">
        <v>16</v>
      </c>
      <c r="E1015" s="140" t="s">
        <v>19</v>
      </c>
      <c r="F1015" s="140" t="s">
        <v>30</v>
      </c>
      <c r="G1015" s="140" t="s">
        <v>21</v>
      </c>
      <c r="H1015" s="140" t="s">
        <v>168</v>
      </c>
      <c r="I1015" s="140" t="s">
        <v>21</v>
      </c>
      <c r="J1015" s="174"/>
    </row>
    <row r="1016" hidden="1" customHeight="1" spans="1:10">
      <c r="A1016" s="140" t="s">
        <v>306</v>
      </c>
      <c r="B1016" s="140" t="s">
        <v>149</v>
      </c>
      <c r="C1016" s="171">
        <v>45713</v>
      </c>
      <c r="D1016" s="172" t="s">
        <v>17</v>
      </c>
      <c r="E1016" s="140" t="s">
        <v>19</v>
      </c>
      <c r="F1016" s="140" t="s">
        <v>36</v>
      </c>
      <c r="G1016" s="140" t="s">
        <v>21</v>
      </c>
      <c r="H1016" s="140" t="s">
        <v>174</v>
      </c>
      <c r="I1016" s="140" t="s">
        <v>21</v>
      </c>
      <c r="J1016" s="174"/>
    </row>
    <row r="1017" hidden="1" customHeight="1" spans="1:10">
      <c r="A1017" s="140" t="s">
        <v>306</v>
      </c>
      <c r="B1017" s="140" t="s">
        <v>149</v>
      </c>
      <c r="C1017" s="171">
        <v>45714</v>
      </c>
      <c r="D1017" s="172" t="s">
        <v>18</v>
      </c>
      <c r="E1017" s="140" t="s">
        <v>19</v>
      </c>
      <c r="F1017" s="140" t="s">
        <v>108</v>
      </c>
      <c r="G1017" s="140" t="s">
        <v>21</v>
      </c>
      <c r="H1017" s="140" t="s">
        <v>231</v>
      </c>
      <c r="I1017" s="140" t="s">
        <v>21</v>
      </c>
      <c r="J1017" s="174"/>
    </row>
    <row r="1018" hidden="1" customHeight="1" spans="1:10">
      <c r="A1018" s="140" t="s">
        <v>306</v>
      </c>
      <c r="B1018" s="140" t="s">
        <v>149</v>
      </c>
      <c r="C1018" s="171">
        <v>45715</v>
      </c>
      <c r="D1018" s="172" t="s">
        <v>23</v>
      </c>
      <c r="E1018" s="140" t="s">
        <v>19</v>
      </c>
      <c r="F1018" s="140" t="s">
        <v>94</v>
      </c>
      <c r="G1018" s="140" t="s">
        <v>21</v>
      </c>
      <c r="H1018" s="140" t="s">
        <v>78</v>
      </c>
      <c r="I1018" s="140" t="s">
        <v>21</v>
      </c>
      <c r="J1018" s="175"/>
    </row>
    <row r="1019" hidden="1" customHeight="1" spans="1:10">
      <c r="A1019" s="140" t="s">
        <v>306</v>
      </c>
      <c r="B1019" s="140" t="s">
        <v>149</v>
      </c>
      <c r="C1019" s="171">
        <v>45716</v>
      </c>
      <c r="D1019" s="172" t="s">
        <v>25</v>
      </c>
      <c r="E1019" s="140" t="s">
        <v>19</v>
      </c>
      <c r="F1019" s="140" t="s">
        <v>146</v>
      </c>
      <c r="G1019" s="140" t="s">
        <v>21</v>
      </c>
      <c r="H1019" s="140" t="s">
        <v>53</v>
      </c>
      <c r="I1019" s="140" t="s">
        <v>21</v>
      </c>
      <c r="J1019" s="175"/>
    </row>
    <row r="1020" customHeight="1" spans="1:10">
      <c r="A1020" s="140" t="s">
        <v>307</v>
      </c>
      <c r="B1020" s="140" t="s">
        <v>308</v>
      </c>
      <c r="C1020" s="171">
        <v>45702</v>
      </c>
      <c r="D1020" s="172" t="s">
        <v>25</v>
      </c>
      <c r="E1020" s="140" t="s">
        <v>19</v>
      </c>
      <c r="F1020" s="140" t="s">
        <v>14</v>
      </c>
      <c r="G1020" s="176" t="s">
        <v>68</v>
      </c>
      <c r="H1020" s="140" t="s">
        <v>167</v>
      </c>
      <c r="I1020" s="140" t="s">
        <v>21</v>
      </c>
      <c r="J1020" s="174" t="s">
        <v>204</v>
      </c>
    </row>
    <row r="1021" hidden="1" customHeight="1" spans="1:10">
      <c r="A1021" s="140" t="s">
        <v>307</v>
      </c>
      <c r="B1021" s="140" t="s">
        <v>308</v>
      </c>
      <c r="C1021" s="171">
        <v>45703</v>
      </c>
      <c r="D1021" s="172" t="s">
        <v>27</v>
      </c>
      <c r="E1021" s="173" t="s">
        <v>13</v>
      </c>
      <c r="F1021" s="140" t="s">
        <v>14</v>
      </c>
      <c r="G1021" s="140" t="s">
        <v>14</v>
      </c>
      <c r="H1021" s="140" t="s">
        <v>14</v>
      </c>
      <c r="I1021" s="140" t="s">
        <v>14</v>
      </c>
      <c r="J1021" s="174"/>
    </row>
    <row r="1022" hidden="1" customHeight="1" spans="1:10">
      <c r="A1022" s="140" t="s">
        <v>307</v>
      </c>
      <c r="B1022" s="140" t="s">
        <v>308</v>
      </c>
      <c r="C1022" s="171">
        <v>45704</v>
      </c>
      <c r="D1022" s="172" t="s">
        <v>15</v>
      </c>
      <c r="E1022" s="173" t="s">
        <v>13</v>
      </c>
      <c r="F1022" s="140" t="s">
        <v>14</v>
      </c>
      <c r="G1022" s="140" t="s">
        <v>14</v>
      </c>
      <c r="H1022" s="140" t="s">
        <v>14</v>
      </c>
      <c r="I1022" s="140" t="s">
        <v>14</v>
      </c>
      <c r="J1022" s="174"/>
    </row>
    <row r="1023" hidden="1" customHeight="1" spans="1:10">
      <c r="A1023" s="140" t="s">
        <v>307</v>
      </c>
      <c r="B1023" s="140" t="s">
        <v>308</v>
      </c>
      <c r="C1023" s="171">
        <v>45705</v>
      </c>
      <c r="D1023" s="172" t="s">
        <v>16</v>
      </c>
      <c r="E1023" s="140" t="s">
        <v>19</v>
      </c>
      <c r="F1023" s="140" t="s">
        <v>40</v>
      </c>
      <c r="G1023" s="140" t="s">
        <v>21</v>
      </c>
      <c r="H1023" s="140" t="s">
        <v>184</v>
      </c>
      <c r="I1023" s="140" t="s">
        <v>21</v>
      </c>
      <c r="J1023" s="174"/>
    </row>
    <row r="1024" hidden="1" customHeight="1" spans="1:10">
      <c r="A1024" s="140" t="s">
        <v>307</v>
      </c>
      <c r="B1024" s="140" t="s">
        <v>308</v>
      </c>
      <c r="C1024" s="171">
        <v>45706</v>
      </c>
      <c r="D1024" s="172" t="s">
        <v>17</v>
      </c>
      <c r="E1024" s="140" t="s">
        <v>19</v>
      </c>
      <c r="F1024" s="140" t="s">
        <v>117</v>
      </c>
      <c r="G1024" s="140" t="s">
        <v>21</v>
      </c>
      <c r="H1024" s="140" t="s">
        <v>205</v>
      </c>
      <c r="I1024" s="140" t="s">
        <v>21</v>
      </c>
      <c r="J1024" s="174"/>
    </row>
    <row r="1025" hidden="1" customHeight="1" spans="1:10">
      <c r="A1025" s="140" t="s">
        <v>307</v>
      </c>
      <c r="B1025" s="140" t="s">
        <v>308</v>
      </c>
      <c r="C1025" s="171">
        <v>45707</v>
      </c>
      <c r="D1025" s="172" t="s">
        <v>18</v>
      </c>
      <c r="E1025" s="140" t="s">
        <v>19</v>
      </c>
      <c r="F1025" s="140" t="s">
        <v>195</v>
      </c>
      <c r="G1025" s="140" t="s">
        <v>21</v>
      </c>
      <c r="H1025" s="140" t="s">
        <v>158</v>
      </c>
      <c r="I1025" s="140" t="s">
        <v>21</v>
      </c>
      <c r="J1025" s="174"/>
    </row>
    <row r="1026" hidden="1" customHeight="1" spans="1:10">
      <c r="A1026" s="140" t="s">
        <v>307</v>
      </c>
      <c r="B1026" s="140" t="s">
        <v>308</v>
      </c>
      <c r="C1026" s="171">
        <v>45708</v>
      </c>
      <c r="D1026" s="172" t="s">
        <v>23</v>
      </c>
      <c r="E1026" s="140" t="s">
        <v>19</v>
      </c>
      <c r="F1026" s="140" t="s">
        <v>150</v>
      </c>
      <c r="G1026" s="140" t="s">
        <v>21</v>
      </c>
      <c r="H1026" s="140" t="s">
        <v>161</v>
      </c>
      <c r="I1026" s="140" t="s">
        <v>21</v>
      </c>
      <c r="J1026" s="174"/>
    </row>
    <row r="1027" hidden="1" customHeight="1" spans="1:10">
      <c r="A1027" s="140" t="s">
        <v>307</v>
      </c>
      <c r="B1027" s="140" t="s">
        <v>308</v>
      </c>
      <c r="C1027" s="171">
        <v>45709</v>
      </c>
      <c r="D1027" s="172" t="s">
        <v>25</v>
      </c>
      <c r="E1027" s="140" t="s">
        <v>19</v>
      </c>
      <c r="F1027" s="140" t="s">
        <v>36</v>
      </c>
      <c r="G1027" s="140" t="s">
        <v>21</v>
      </c>
      <c r="H1027" s="140" t="s">
        <v>80</v>
      </c>
      <c r="I1027" s="140" t="s">
        <v>21</v>
      </c>
      <c r="J1027" s="174"/>
    </row>
    <row r="1028" hidden="1" customHeight="1" spans="1:10">
      <c r="A1028" s="140" t="s">
        <v>307</v>
      </c>
      <c r="B1028" s="140" t="s">
        <v>308</v>
      </c>
      <c r="C1028" s="171">
        <v>45710</v>
      </c>
      <c r="D1028" s="172" t="s">
        <v>27</v>
      </c>
      <c r="E1028" s="173" t="s">
        <v>13</v>
      </c>
      <c r="F1028" s="140" t="s">
        <v>14</v>
      </c>
      <c r="G1028" s="140" t="s">
        <v>14</v>
      </c>
      <c r="H1028" s="140" t="s">
        <v>14</v>
      </c>
      <c r="I1028" s="140" t="s">
        <v>14</v>
      </c>
      <c r="J1028" s="174"/>
    </row>
    <row r="1029" hidden="1" customHeight="1" spans="1:10">
      <c r="A1029" s="140" t="s">
        <v>307</v>
      </c>
      <c r="B1029" s="140" t="s">
        <v>308</v>
      </c>
      <c r="C1029" s="171">
        <v>45711</v>
      </c>
      <c r="D1029" s="172" t="s">
        <v>15</v>
      </c>
      <c r="E1029" s="173" t="s">
        <v>13</v>
      </c>
      <c r="F1029" s="140" t="s">
        <v>14</v>
      </c>
      <c r="G1029" s="140" t="s">
        <v>14</v>
      </c>
      <c r="H1029" s="140" t="s">
        <v>14</v>
      </c>
      <c r="I1029" s="140" t="s">
        <v>14</v>
      </c>
      <c r="J1029" s="174"/>
    </row>
    <row r="1030" hidden="1" customHeight="1" spans="1:10">
      <c r="A1030" s="140" t="s">
        <v>307</v>
      </c>
      <c r="B1030" s="140" t="s">
        <v>308</v>
      </c>
      <c r="C1030" s="171">
        <v>45712</v>
      </c>
      <c r="D1030" s="172" t="s">
        <v>16</v>
      </c>
      <c r="E1030" s="140" t="s">
        <v>19</v>
      </c>
      <c r="F1030" s="140" t="s">
        <v>183</v>
      </c>
      <c r="G1030" s="140" t="s">
        <v>21</v>
      </c>
      <c r="H1030" s="140" t="s">
        <v>172</v>
      </c>
      <c r="I1030" s="140" t="s">
        <v>21</v>
      </c>
      <c r="J1030" s="174"/>
    </row>
    <row r="1031" hidden="1" customHeight="1" spans="1:10">
      <c r="A1031" s="140" t="s">
        <v>307</v>
      </c>
      <c r="B1031" s="140" t="s">
        <v>308</v>
      </c>
      <c r="C1031" s="171">
        <v>45713</v>
      </c>
      <c r="D1031" s="172" t="s">
        <v>17</v>
      </c>
      <c r="E1031" s="140" t="s">
        <v>19</v>
      </c>
      <c r="F1031" s="140" t="s">
        <v>40</v>
      </c>
      <c r="G1031" s="140" t="s">
        <v>21</v>
      </c>
      <c r="H1031" s="140" t="s">
        <v>189</v>
      </c>
      <c r="I1031" s="140" t="s">
        <v>21</v>
      </c>
      <c r="J1031" s="174"/>
    </row>
    <row r="1032" hidden="1" customHeight="1" spans="1:10">
      <c r="A1032" s="140" t="s">
        <v>307</v>
      </c>
      <c r="B1032" s="140" t="s">
        <v>308</v>
      </c>
      <c r="C1032" s="171">
        <v>45714</v>
      </c>
      <c r="D1032" s="172" t="s">
        <v>18</v>
      </c>
      <c r="E1032" s="140" t="s">
        <v>19</v>
      </c>
      <c r="F1032" s="140" t="s">
        <v>40</v>
      </c>
      <c r="G1032" s="140" t="s">
        <v>21</v>
      </c>
      <c r="H1032" s="140" t="s">
        <v>158</v>
      </c>
      <c r="I1032" s="140" t="s">
        <v>21</v>
      </c>
      <c r="J1032" s="175"/>
    </row>
    <row r="1033" hidden="1" customHeight="1" spans="1:10">
      <c r="A1033" s="140" t="s">
        <v>307</v>
      </c>
      <c r="B1033" s="140" t="s">
        <v>308</v>
      </c>
      <c r="C1033" s="171">
        <v>45715</v>
      </c>
      <c r="D1033" s="172" t="s">
        <v>23</v>
      </c>
      <c r="E1033" s="140" t="s">
        <v>19</v>
      </c>
      <c r="F1033" s="140" t="s">
        <v>117</v>
      </c>
      <c r="G1033" s="140" t="s">
        <v>21</v>
      </c>
      <c r="H1033" s="140" t="s">
        <v>231</v>
      </c>
      <c r="I1033" s="140" t="s">
        <v>21</v>
      </c>
      <c r="J1033" s="174"/>
    </row>
    <row r="1034" hidden="1" customHeight="1" spans="1:10">
      <c r="A1034" s="140" t="s">
        <v>307</v>
      </c>
      <c r="B1034" s="140" t="s">
        <v>308</v>
      </c>
      <c r="C1034" s="171">
        <v>45716</v>
      </c>
      <c r="D1034" s="172" t="s">
        <v>25</v>
      </c>
      <c r="E1034" s="140" t="s">
        <v>19</v>
      </c>
      <c r="F1034" s="140" t="s">
        <v>173</v>
      </c>
      <c r="G1034" s="140" t="s">
        <v>21</v>
      </c>
      <c r="H1034" s="140" t="s">
        <v>309</v>
      </c>
      <c r="I1034" s="140" t="s">
        <v>21</v>
      </c>
      <c r="J1034" s="174"/>
    </row>
    <row r="1035" hidden="1" customHeight="1" spans="1:10">
      <c r="A1035" s="140" t="s">
        <v>310</v>
      </c>
      <c r="B1035" s="140" t="s">
        <v>311</v>
      </c>
      <c r="C1035" s="171">
        <v>45689</v>
      </c>
      <c r="D1035" s="172" t="s">
        <v>12</v>
      </c>
      <c r="E1035" s="173" t="s">
        <v>13</v>
      </c>
      <c r="F1035" s="140" t="s">
        <v>14</v>
      </c>
      <c r="G1035" s="140" t="s">
        <v>14</v>
      </c>
      <c r="H1035" s="140" t="s">
        <v>14</v>
      </c>
      <c r="I1035" s="140" t="s">
        <v>14</v>
      </c>
      <c r="J1035" s="174"/>
    </row>
    <row r="1036" hidden="1" customHeight="1" spans="1:10">
      <c r="A1036" s="140" t="s">
        <v>310</v>
      </c>
      <c r="B1036" s="140" t="s">
        <v>311</v>
      </c>
      <c r="C1036" s="171">
        <v>45690</v>
      </c>
      <c r="D1036" s="172" t="s">
        <v>15</v>
      </c>
      <c r="E1036" s="173" t="s">
        <v>13</v>
      </c>
      <c r="F1036" s="140" t="s">
        <v>14</v>
      </c>
      <c r="G1036" s="140" t="s">
        <v>14</v>
      </c>
      <c r="H1036" s="140" t="s">
        <v>14</v>
      </c>
      <c r="I1036" s="140" t="s">
        <v>14</v>
      </c>
      <c r="J1036" s="174"/>
    </row>
    <row r="1037" hidden="1" customHeight="1" spans="1:10">
      <c r="A1037" s="140" t="s">
        <v>310</v>
      </c>
      <c r="B1037" s="140" t="s">
        <v>311</v>
      </c>
      <c r="C1037" s="171">
        <v>45691</v>
      </c>
      <c r="D1037" s="172" t="s">
        <v>16</v>
      </c>
      <c r="E1037" s="173" t="s">
        <v>13</v>
      </c>
      <c r="F1037" s="140" t="s">
        <v>14</v>
      </c>
      <c r="G1037" s="140" t="s">
        <v>14</v>
      </c>
      <c r="H1037" s="140" t="s">
        <v>14</v>
      </c>
      <c r="I1037" s="140" t="s">
        <v>14</v>
      </c>
      <c r="J1037" s="174"/>
    </row>
    <row r="1038" hidden="1" customHeight="1" spans="1:10">
      <c r="A1038" s="140" t="s">
        <v>310</v>
      </c>
      <c r="B1038" s="140" t="s">
        <v>311</v>
      </c>
      <c r="C1038" s="171">
        <v>45692</v>
      </c>
      <c r="D1038" s="172" t="s">
        <v>17</v>
      </c>
      <c r="E1038" s="173" t="s">
        <v>13</v>
      </c>
      <c r="F1038" s="140" t="s">
        <v>14</v>
      </c>
      <c r="G1038" s="140" t="s">
        <v>14</v>
      </c>
      <c r="H1038" s="140" t="s">
        <v>14</v>
      </c>
      <c r="I1038" s="140" t="s">
        <v>14</v>
      </c>
      <c r="J1038" s="174"/>
    </row>
    <row r="1039" hidden="1" customHeight="1" spans="1:10">
      <c r="A1039" s="140" t="s">
        <v>310</v>
      </c>
      <c r="B1039" s="140" t="s">
        <v>311</v>
      </c>
      <c r="C1039" s="171">
        <v>45693</v>
      </c>
      <c r="D1039" s="172" t="s">
        <v>18</v>
      </c>
      <c r="E1039" s="140" t="s">
        <v>19</v>
      </c>
      <c r="F1039" s="140" t="s">
        <v>193</v>
      </c>
      <c r="G1039" s="140" t="s">
        <v>21</v>
      </c>
      <c r="H1039" s="140" t="s">
        <v>167</v>
      </c>
      <c r="I1039" s="140" t="s">
        <v>21</v>
      </c>
      <c r="J1039" s="174"/>
    </row>
    <row r="1040" hidden="1" customHeight="1" spans="1:10">
      <c r="A1040" s="140" t="s">
        <v>310</v>
      </c>
      <c r="B1040" s="140" t="s">
        <v>311</v>
      </c>
      <c r="C1040" s="171">
        <v>45694</v>
      </c>
      <c r="D1040" s="172" t="s">
        <v>23</v>
      </c>
      <c r="E1040" s="140" t="s">
        <v>19</v>
      </c>
      <c r="F1040" s="140" t="s">
        <v>30</v>
      </c>
      <c r="G1040" s="140" t="s">
        <v>21</v>
      </c>
      <c r="H1040" s="140" t="s">
        <v>161</v>
      </c>
      <c r="I1040" s="140" t="s">
        <v>21</v>
      </c>
      <c r="J1040" s="174"/>
    </row>
    <row r="1041" hidden="1" customHeight="1" spans="1:10">
      <c r="A1041" s="140" t="s">
        <v>310</v>
      </c>
      <c r="B1041" s="140" t="s">
        <v>311</v>
      </c>
      <c r="C1041" s="171">
        <v>45695</v>
      </c>
      <c r="D1041" s="172" t="s">
        <v>25</v>
      </c>
      <c r="E1041" s="140" t="s">
        <v>19</v>
      </c>
      <c r="F1041" s="140" t="s">
        <v>157</v>
      </c>
      <c r="G1041" s="140" t="s">
        <v>21</v>
      </c>
      <c r="H1041" s="140" t="s">
        <v>205</v>
      </c>
      <c r="I1041" s="140" t="s">
        <v>21</v>
      </c>
      <c r="J1041" s="174"/>
    </row>
    <row r="1042" hidden="1" customHeight="1" spans="1:10">
      <c r="A1042" s="140" t="s">
        <v>310</v>
      </c>
      <c r="B1042" s="140" t="s">
        <v>311</v>
      </c>
      <c r="C1042" s="171">
        <v>45696</v>
      </c>
      <c r="D1042" s="172" t="s">
        <v>27</v>
      </c>
      <c r="E1042" s="140" t="s">
        <v>19</v>
      </c>
      <c r="F1042" s="140" t="s">
        <v>30</v>
      </c>
      <c r="G1042" s="140" t="s">
        <v>21</v>
      </c>
      <c r="H1042" s="140" t="s">
        <v>206</v>
      </c>
      <c r="I1042" s="140" t="s">
        <v>21</v>
      </c>
      <c r="J1042" s="174"/>
    </row>
    <row r="1043" hidden="1" customHeight="1" spans="1:10">
      <c r="A1043" s="140" t="s">
        <v>310</v>
      </c>
      <c r="B1043" s="140" t="s">
        <v>311</v>
      </c>
      <c r="C1043" s="171">
        <v>45697</v>
      </c>
      <c r="D1043" s="172" t="s">
        <v>15</v>
      </c>
      <c r="E1043" s="173" t="s">
        <v>13</v>
      </c>
      <c r="F1043" s="140" t="s">
        <v>14</v>
      </c>
      <c r="G1043" s="140" t="s">
        <v>14</v>
      </c>
      <c r="H1043" s="140" t="s">
        <v>14</v>
      </c>
      <c r="I1043" s="140" t="s">
        <v>14</v>
      </c>
      <c r="J1043" s="174"/>
    </row>
    <row r="1044" hidden="1" customHeight="1" spans="1:10">
      <c r="A1044" s="140" t="s">
        <v>310</v>
      </c>
      <c r="B1044" s="140" t="s">
        <v>311</v>
      </c>
      <c r="C1044" s="171">
        <v>45698</v>
      </c>
      <c r="D1044" s="172" t="s">
        <v>16</v>
      </c>
      <c r="E1044" s="140" t="s">
        <v>19</v>
      </c>
      <c r="F1044" s="140" t="s">
        <v>30</v>
      </c>
      <c r="G1044" s="140" t="s">
        <v>21</v>
      </c>
      <c r="H1044" s="140" t="s">
        <v>147</v>
      </c>
      <c r="I1044" s="140" t="s">
        <v>21</v>
      </c>
      <c r="J1044" s="174"/>
    </row>
    <row r="1045" customHeight="1" spans="1:10">
      <c r="A1045" s="140" t="s">
        <v>310</v>
      </c>
      <c r="B1045" s="140" t="s">
        <v>311</v>
      </c>
      <c r="C1045" s="171">
        <v>45699</v>
      </c>
      <c r="D1045" s="172" t="s">
        <v>17</v>
      </c>
      <c r="E1045" s="140" t="s">
        <v>19</v>
      </c>
      <c r="F1045" s="140" t="s">
        <v>157</v>
      </c>
      <c r="G1045" s="140" t="s">
        <v>21</v>
      </c>
      <c r="H1045" s="140" t="s">
        <v>14</v>
      </c>
      <c r="I1045" s="176" t="s">
        <v>68</v>
      </c>
      <c r="J1045" s="174" t="s">
        <v>69</v>
      </c>
    </row>
    <row r="1046" hidden="1" customHeight="1" spans="1:10">
      <c r="A1046" s="140" t="s">
        <v>310</v>
      </c>
      <c r="B1046" s="140" t="s">
        <v>311</v>
      </c>
      <c r="C1046" s="171">
        <v>45700</v>
      </c>
      <c r="D1046" s="172" t="s">
        <v>18</v>
      </c>
      <c r="E1046" s="140" t="s">
        <v>19</v>
      </c>
      <c r="F1046" s="140" t="s">
        <v>20</v>
      </c>
      <c r="G1046" s="140" t="s">
        <v>21</v>
      </c>
      <c r="H1046" s="140" t="s">
        <v>170</v>
      </c>
      <c r="I1046" s="140" t="s">
        <v>21</v>
      </c>
      <c r="J1046" s="174"/>
    </row>
    <row r="1047" hidden="1" customHeight="1" spans="1:10">
      <c r="A1047" s="140" t="s">
        <v>310</v>
      </c>
      <c r="B1047" s="140" t="s">
        <v>311</v>
      </c>
      <c r="C1047" s="171">
        <v>45701</v>
      </c>
      <c r="D1047" s="172" t="s">
        <v>23</v>
      </c>
      <c r="E1047" s="140" t="s">
        <v>19</v>
      </c>
      <c r="F1047" s="140" t="s">
        <v>46</v>
      </c>
      <c r="G1047" s="140" t="s">
        <v>21</v>
      </c>
      <c r="H1047" s="140" t="s">
        <v>50</v>
      </c>
      <c r="I1047" s="140" t="s">
        <v>21</v>
      </c>
      <c r="J1047" s="174"/>
    </row>
    <row r="1048" hidden="1" customHeight="1" spans="1:10">
      <c r="A1048" s="140" t="s">
        <v>310</v>
      </c>
      <c r="B1048" s="140" t="s">
        <v>311</v>
      </c>
      <c r="C1048" s="171">
        <v>45702</v>
      </c>
      <c r="D1048" s="172" t="s">
        <v>25</v>
      </c>
      <c r="E1048" s="140" t="s">
        <v>19</v>
      </c>
      <c r="F1048" s="140" t="s">
        <v>36</v>
      </c>
      <c r="G1048" s="140" t="s">
        <v>21</v>
      </c>
      <c r="H1048" s="140" t="s">
        <v>175</v>
      </c>
      <c r="I1048" s="140" t="s">
        <v>21</v>
      </c>
      <c r="J1048" s="174"/>
    </row>
    <row r="1049" hidden="1" customHeight="1" spans="1:10">
      <c r="A1049" s="140" t="s">
        <v>310</v>
      </c>
      <c r="B1049" s="140" t="s">
        <v>311</v>
      </c>
      <c r="C1049" s="171">
        <v>45703</v>
      </c>
      <c r="D1049" s="172" t="s">
        <v>27</v>
      </c>
      <c r="E1049" s="173" t="s">
        <v>13</v>
      </c>
      <c r="F1049" s="140" t="s">
        <v>14</v>
      </c>
      <c r="G1049" s="140" t="s">
        <v>14</v>
      </c>
      <c r="H1049" s="140" t="s">
        <v>14</v>
      </c>
      <c r="I1049" s="140" t="s">
        <v>14</v>
      </c>
      <c r="J1049" s="174"/>
    </row>
    <row r="1050" hidden="1" customHeight="1" spans="1:10">
      <c r="A1050" s="140" t="s">
        <v>310</v>
      </c>
      <c r="B1050" s="140" t="s">
        <v>311</v>
      </c>
      <c r="C1050" s="171">
        <v>45704</v>
      </c>
      <c r="D1050" s="172" t="s">
        <v>15</v>
      </c>
      <c r="E1050" s="173" t="s">
        <v>13</v>
      </c>
      <c r="F1050" s="140" t="s">
        <v>14</v>
      </c>
      <c r="G1050" s="140" t="s">
        <v>14</v>
      </c>
      <c r="H1050" s="140" t="s">
        <v>14</v>
      </c>
      <c r="I1050" s="140" t="s">
        <v>14</v>
      </c>
      <c r="J1050" s="174"/>
    </row>
    <row r="1051" hidden="1" customHeight="1" spans="1:10">
      <c r="A1051" s="140" t="s">
        <v>310</v>
      </c>
      <c r="B1051" s="140" t="s">
        <v>311</v>
      </c>
      <c r="C1051" s="171">
        <v>45705</v>
      </c>
      <c r="D1051" s="172" t="s">
        <v>16</v>
      </c>
      <c r="E1051" s="140" t="s">
        <v>19</v>
      </c>
      <c r="F1051" s="140" t="s">
        <v>51</v>
      </c>
      <c r="G1051" s="140" t="s">
        <v>21</v>
      </c>
      <c r="H1051" s="140" t="s">
        <v>312</v>
      </c>
      <c r="I1051" s="140" t="s">
        <v>21</v>
      </c>
      <c r="J1051" s="174"/>
    </row>
    <row r="1052" customHeight="1" spans="1:10">
      <c r="A1052" s="140" t="s">
        <v>310</v>
      </c>
      <c r="B1052" s="140" t="s">
        <v>311</v>
      </c>
      <c r="C1052" s="171">
        <v>45706</v>
      </c>
      <c r="D1052" s="172" t="s">
        <v>17</v>
      </c>
      <c r="E1052" s="140" t="s">
        <v>19</v>
      </c>
      <c r="F1052" s="140" t="s">
        <v>14</v>
      </c>
      <c r="G1052" s="176" t="s">
        <v>68</v>
      </c>
      <c r="H1052" s="140" t="s">
        <v>14</v>
      </c>
      <c r="I1052" s="176" t="s">
        <v>68</v>
      </c>
      <c r="J1052" s="174" t="s">
        <v>305</v>
      </c>
    </row>
    <row r="1053" hidden="1" customHeight="1" spans="1:10">
      <c r="A1053" s="140" t="s">
        <v>310</v>
      </c>
      <c r="B1053" s="140" t="s">
        <v>311</v>
      </c>
      <c r="C1053" s="171">
        <v>45707</v>
      </c>
      <c r="D1053" s="172" t="s">
        <v>18</v>
      </c>
      <c r="E1053" s="140" t="s">
        <v>19</v>
      </c>
      <c r="F1053" s="140" t="s">
        <v>51</v>
      </c>
      <c r="G1053" s="140" t="s">
        <v>21</v>
      </c>
      <c r="H1053" s="140" t="s">
        <v>167</v>
      </c>
      <c r="I1053" s="140" t="s">
        <v>21</v>
      </c>
      <c r="J1053" s="175"/>
    </row>
    <row r="1054" hidden="1" customHeight="1" spans="1:10">
      <c r="A1054" s="140" t="s">
        <v>310</v>
      </c>
      <c r="B1054" s="140" t="s">
        <v>311</v>
      </c>
      <c r="C1054" s="171">
        <v>45708</v>
      </c>
      <c r="D1054" s="172" t="s">
        <v>23</v>
      </c>
      <c r="E1054" s="140" t="s">
        <v>19</v>
      </c>
      <c r="F1054" s="140" t="s">
        <v>43</v>
      </c>
      <c r="G1054" s="140" t="s">
        <v>21</v>
      </c>
      <c r="H1054" s="140" t="s">
        <v>45</v>
      </c>
      <c r="I1054" s="140" t="s">
        <v>21</v>
      </c>
      <c r="J1054" s="174"/>
    </row>
    <row r="1055" customHeight="1" spans="1:10">
      <c r="A1055" s="140" t="s">
        <v>310</v>
      </c>
      <c r="B1055" s="140" t="s">
        <v>311</v>
      </c>
      <c r="C1055" s="171">
        <v>45709</v>
      </c>
      <c r="D1055" s="172" t="s">
        <v>25</v>
      </c>
      <c r="E1055" s="140" t="s">
        <v>19</v>
      </c>
      <c r="F1055" s="140" t="s">
        <v>14</v>
      </c>
      <c r="G1055" s="176" t="s">
        <v>68</v>
      </c>
      <c r="H1055" s="140" t="s">
        <v>14</v>
      </c>
      <c r="I1055" s="176" t="s">
        <v>68</v>
      </c>
      <c r="J1055" s="174" t="s">
        <v>234</v>
      </c>
    </row>
    <row r="1056" hidden="1" customHeight="1" spans="1:10">
      <c r="A1056" s="140" t="s">
        <v>310</v>
      </c>
      <c r="B1056" s="140" t="s">
        <v>311</v>
      </c>
      <c r="C1056" s="171">
        <v>45710</v>
      </c>
      <c r="D1056" s="172" t="s">
        <v>27</v>
      </c>
      <c r="E1056" s="173" t="s">
        <v>13</v>
      </c>
      <c r="F1056" s="140" t="s">
        <v>14</v>
      </c>
      <c r="G1056" s="140" t="s">
        <v>14</v>
      </c>
      <c r="H1056" s="140" t="s">
        <v>14</v>
      </c>
      <c r="I1056" s="140" t="s">
        <v>14</v>
      </c>
      <c r="J1056" s="174"/>
    </row>
    <row r="1057" hidden="1" customHeight="1" spans="1:10">
      <c r="A1057" s="140" t="s">
        <v>310</v>
      </c>
      <c r="B1057" s="140" t="s">
        <v>311</v>
      </c>
      <c r="C1057" s="171">
        <v>45711</v>
      </c>
      <c r="D1057" s="172" t="s">
        <v>15</v>
      </c>
      <c r="E1057" s="173" t="s">
        <v>13</v>
      </c>
      <c r="F1057" s="140" t="s">
        <v>14</v>
      </c>
      <c r="G1057" s="140" t="s">
        <v>14</v>
      </c>
      <c r="H1057" s="140" t="s">
        <v>14</v>
      </c>
      <c r="I1057" s="140" t="s">
        <v>14</v>
      </c>
      <c r="J1057" s="174"/>
    </row>
    <row r="1058" hidden="1" customHeight="1" spans="1:10">
      <c r="A1058" s="140" t="s">
        <v>310</v>
      </c>
      <c r="B1058" s="140" t="s">
        <v>311</v>
      </c>
      <c r="C1058" s="171">
        <v>45712</v>
      </c>
      <c r="D1058" s="172" t="s">
        <v>16</v>
      </c>
      <c r="E1058" s="140" t="s">
        <v>19</v>
      </c>
      <c r="F1058" s="140" t="s">
        <v>36</v>
      </c>
      <c r="G1058" s="140" t="s">
        <v>21</v>
      </c>
      <c r="H1058" s="140" t="s">
        <v>168</v>
      </c>
      <c r="I1058" s="140" t="s">
        <v>21</v>
      </c>
      <c r="J1058" s="174"/>
    </row>
    <row r="1059" hidden="1" customHeight="1" spans="1:10">
      <c r="A1059" s="140" t="s">
        <v>310</v>
      </c>
      <c r="B1059" s="140" t="s">
        <v>311</v>
      </c>
      <c r="C1059" s="171">
        <v>45713</v>
      </c>
      <c r="D1059" s="172" t="s">
        <v>17</v>
      </c>
      <c r="E1059" s="140" t="s">
        <v>19</v>
      </c>
      <c r="F1059" s="140" t="s">
        <v>51</v>
      </c>
      <c r="G1059" s="140" t="s">
        <v>21</v>
      </c>
      <c r="H1059" s="140" t="s">
        <v>175</v>
      </c>
      <c r="I1059" s="140" t="s">
        <v>21</v>
      </c>
      <c r="J1059" s="174"/>
    </row>
    <row r="1060" hidden="1" customHeight="1" spans="1:10">
      <c r="A1060" s="140" t="s">
        <v>310</v>
      </c>
      <c r="B1060" s="140" t="s">
        <v>311</v>
      </c>
      <c r="C1060" s="171">
        <v>45714</v>
      </c>
      <c r="D1060" s="172" t="s">
        <v>18</v>
      </c>
      <c r="E1060" s="140" t="s">
        <v>19</v>
      </c>
      <c r="F1060" s="140" t="s">
        <v>36</v>
      </c>
      <c r="G1060" s="140" t="s">
        <v>21</v>
      </c>
      <c r="H1060" s="140" t="s">
        <v>170</v>
      </c>
      <c r="I1060" s="140" t="s">
        <v>21</v>
      </c>
      <c r="J1060" s="174"/>
    </row>
    <row r="1061" customHeight="1" spans="1:10">
      <c r="A1061" s="140" t="s">
        <v>310</v>
      </c>
      <c r="B1061" s="140" t="s">
        <v>311</v>
      </c>
      <c r="C1061" s="171">
        <v>45715</v>
      </c>
      <c r="D1061" s="172" t="s">
        <v>23</v>
      </c>
      <c r="E1061" s="140" t="s">
        <v>19</v>
      </c>
      <c r="F1061" s="140" t="s">
        <v>14</v>
      </c>
      <c r="G1061" s="176" t="s">
        <v>68</v>
      </c>
      <c r="H1061" s="140" t="s">
        <v>14</v>
      </c>
      <c r="I1061" s="176" t="s">
        <v>68</v>
      </c>
      <c r="J1061" s="174" t="s">
        <v>234</v>
      </c>
    </row>
    <row r="1062" hidden="1" customHeight="1" spans="1:10">
      <c r="A1062" s="140" t="s">
        <v>310</v>
      </c>
      <c r="B1062" s="140" t="s">
        <v>311</v>
      </c>
      <c r="C1062" s="171">
        <v>45716</v>
      </c>
      <c r="D1062" s="172" t="s">
        <v>25</v>
      </c>
      <c r="E1062" s="140" t="s">
        <v>19</v>
      </c>
      <c r="F1062" s="140" t="s">
        <v>209</v>
      </c>
      <c r="G1062" s="140" t="s">
        <v>21</v>
      </c>
      <c r="H1062" s="140" t="s">
        <v>191</v>
      </c>
      <c r="I1062" s="140" t="s">
        <v>21</v>
      </c>
      <c r="J1062" s="174"/>
    </row>
    <row r="1063" hidden="1" customHeight="1" spans="1:10">
      <c r="A1063" s="140" t="s">
        <v>313</v>
      </c>
      <c r="B1063" s="140" t="s">
        <v>314</v>
      </c>
      <c r="C1063" s="171">
        <v>45689</v>
      </c>
      <c r="D1063" s="172" t="s">
        <v>12</v>
      </c>
      <c r="E1063" s="173" t="s">
        <v>13</v>
      </c>
      <c r="F1063" s="140" t="s">
        <v>14</v>
      </c>
      <c r="G1063" s="140" t="s">
        <v>14</v>
      </c>
      <c r="H1063" s="140" t="s">
        <v>14</v>
      </c>
      <c r="I1063" s="140" t="s">
        <v>14</v>
      </c>
      <c r="J1063" s="174"/>
    </row>
    <row r="1064" hidden="1" customHeight="1" spans="1:10">
      <c r="A1064" s="140" t="s">
        <v>313</v>
      </c>
      <c r="B1064" s="140" t="s">
        <v>314</v>
      </c>
      <c r="C1064" s="171">
        <v>45690</v>
      </c>
      <c r="D1064" s="172" t="s">
        <v>15</v>
      </c>
      <c r="E1064" s="173" t="s">
        <v>13</v>
      </c>
      <c r="F1064" s="140" t="s">
        <v>14</v>
      </c>
      <c r="G1064" s="140" t="s">
        <v>14</v>
      </c>
      <c r="H1064" s="140" t="s">
        <v>14</v>
      </c>
      <c r="I1064" s="140" t="s">
        <v>14</v>
      </c>
      <c r="J1064" s="175"/>
    </row>
    <row r="1065" hidden="1" customHeight="1" spans="1:10">
      <c r="A1065" s="140" t="s">
        <v>313</v>
      </c>
      <c r="B1065" s="140" t="s">
        <v>314</v>
      </c>
      <c r="C1065" s="171">
        <v>45691</v>
      </c>
      <c r="D1065" s="172" t="s">
        <v>16</v>
      </c>
      <c r="E1065" s="173" t="s">
        <v>13</v>
      </c>
      <c r="F1065" s="140" t="s">
        <v>14</v>
      </c>
      <c r="G1065" s="140" t="s">
        <v>14</v>
      </c>
      <c r="H1065" s="140" t="s">
        <v>14</v>
      </c>
      <c r="I1065" s="140" t="s">
        <v>14</v>
      </c>
      <c r="J1065" s="174"/>
    </row>
    <row r="1066" hidden="1" customHeight="1" spans="1:10">
      <c r="A1066" s="140" t="s">
        <v>313</v>
      </c>
      <c r="B1066" s="140" t="s">
        <v>314</v>
      </c>
      <c r="C1066" s="171">
        <v>45692</v>
      </c>
      <c r="D1066" s="172" t="s">
        <v>17</v>
      </c>
      <c r="E1066" s="173" t="s">
        <v>13</v>
      </c>
      <c r="F1066" s="140" t="s">
        <v>14</v>
      </c>
      <c r="G1066" s="140" t="s">
        <v>14</v>
      </c>
      <c r="H1066" s="140" t="s">
        <v>14</v>
      </c>
      <c r="I1066" s="140" t="s">
        <v>14</v>
      </c>
      <c r="J1066" s="174"/>
    </row>
    <row r="1067" hidden="1" customHeight="1" spans="1:10">
      <c r="A1067" s="140" t="s">
        <v>313</v>
      </c>
      <c r="B1067" s="140" t="s">
        <v>314</v>
      </c>
      <c r="C1067" s="171">
        <v>45693</v>
      </c>
      <c r="D1067" s="172" t="s">
        <v>18</v>
      </c>
      <c r="E1067" s="140" t="s">
        <v>19</v>
      </c>
      <c r="F1067" s="140" t="s">
        <v>28</v>
      </c>
      <c r="G1067" s="140" t="s">
        <v>21</v>
      </c>
      <c r="H1067" s="140" t="s">
        <v>106</v>
      </c>
      <c r="I1067" s="140" t="s">
        <v>21</v>
      </c>
      <c r="J1067" s="174"/>
    </row>
    <row r="1068" hidden="1" customHeight="1" spans="1:10">
      <c r="A1068" s="140" t="s">
        <v>313</v>
      </c>
      <c r="B1068" s="140" t="s">
        <v>314</v>
      </c>
      <c r="C1068" s="171">
        <v>45694</v>
      </c>
      <c r="D1068" s="172" t="s">
        <v>23</v>
      </c>
      <c r="E1068" s="140" t="s">
        <v>19</v>
      </c>
      <c r="F1068" s="140" t="s">
        <v>143</v>
      </c>
      <c r="G1068" s="140" t="s">
        <v>21</v>
      </c>
      <c r="H1068" s="140" t="s">
        <v>254</v>
      </c>
      <c r="I1068" s="140" t="s">
        <v>21</v>
      </c>
      <c r="J1068" s="174"/>
    </row>
    <row r="1069" hidden="1" customHeight="1" spans="1:10">
      <c r="A1069" s="140" t="s">
        <v>313</v>
      </c>
      <c r="B1069" s="140" t="s">
        <v>314</v>
      </c>
      <c r="C1069" s="171">
        <v>45695</v>
      </c>
      <c r="D1069" s="172" t="s">
        <v>25</v>
      </c>
      <c r="E1069" s="140" t="s">
        <v>19</v>
      </c>
      <c r="F1069" s="140" t="s">
        <v>135</v>
      </c>
      <c r="G1069" s="140" t="s">
        <v>21</v>
      </c>
      <c r="H1069" s="140" t="s">
        <v>245</v>
      </c>
      <c r="I1069" s="140" t="s">
        <v>21</v>
      </c>
      <c r="J1069" s="174"/>
    </row>
    <row r="1070" hidden="1" customHeight="1" spans="1:10">
      <c r="A1070" s="140" t="s">
        <v>313</v>
      </c>
      <c r="B1070" s="140" t="s">
        <v>314</v>
      </c>
      <c r="C1070" s="171">
        <v>45696</v>
      </c>
      <c r="D1070" s="172" t="s">
        <v>27</v>
      </c>
      <c r="E1070" s="140" t="s">
        <v>19</v>
      </c>
      <c r="F1070" s="140" t="s">
        <v>143</v>
      </c>
      <c r="G1070" s="140" t="s">
        <v>21</v>
      </c>
      <c r="H1070" s="140" t="s">
        <v>147</v>
      </c>
      <c r="I1070" s="140" t="s">
        <v>21</v>
      </c>
      <c r="J1070" s="174"/>
    </row>
    <row r="1071" hidden="1" customHeight="1" spans="1:10">
      <c r="A1071" s="140" t="s">
        <v>313</v>
      </c>
      <c r="B1071" s="140" t="s">
        <v>314</v>
      </c>
      <c r="C1071" s="171">
        <v>45697</v>
      </c>
      <c r="D1071" s="172" t="s">
        <v>15</v>
      </c>
      <c r="E1071" s="173" t="s">
        <v>13</v>
      </c>
      <c r="F1071" s="140" t="s">
        <v>14</v>
      </c>
      <c r="G1071" s="140" t="s">
        <v>14</v>
      </c>
      <c r="H1071" s="140" t="s">
        <v>14</v>
      </c>
      <c r="I1071" s="140" t="s">
        <v>14</v>
      </c>
      <c r="J1071" s="174"/>
    </row>
    <row r="1072" hidden="1" customHeight="1" spans="1:10">
      <c r="A1072" s="140" t="s">
        <v>313</v>
      </c>
      <c r="B1072" s="140" t="s">
        <v>314</v>
      </c>
      <c r="C1072" s="171">
        <v>45698</v>
      </c>
      <c r="D1072" s="172" t="s">
        <v>16</v>
      </c>
      <c r="E1072" s="140" t="s">
        <v>19</v>
      </c>
      <c r="F1072" s="140" t="s">
        <v>143</v>
      </c>
      <c r="G1072" s="140" t="s">
        <v>21</v>
      </c>
      <c r="H1072" s="140" t="s">
        <v>315</v>
      </c>
      <c r="I1072" s="140" t="s">
        <v>21</v>
      </c>
      <c r="J1072" s="174"/>
    </row>
    <row r="1073" hidden="1" customHeight="1" spans="1:10">
      <c r="A1073" s="140" t="s">
        <v>313</v>
      </c>
      <c r="B1073" s="140" t="s">
        <v>314</v>
      </c>
      <c r="C1073" s="171">
        <v>45699</v>
      </c>
      <c r="D1073" s="172" t="s">
        <v>17</v>
      </c>
      <c r="E1073" s="140" t="s">
        <v>19</v>
      </c>
      <c r="F1073" s="140" t="s">
        <v>110</v>
      </c>
      <c r="G1073" s="140" t="s">
        <v>21</v>
      </c>
      <c r="H1073" s="140" t="s">
        <v>316</v>
      </c>
      <c r="I1073" s="140" t="s">
        <v>21</v>
      </c>
      <c r="J1073" s="174"/>
    </row>
    <row r="1074" hidden="1" customHeight="1" spans="1:10">
      <c r="A1074" s="140" t="s">
        <v>313</v>
      </c>
      <c r="B1074" s="140" t="s">
        <v>314</v>
      </c>
      <c r="C1074" s="171">
        <v>45700</v>
      </c>
      <c r="D1074" s="172" t="s">
        <v>18</v>
      </c>
      <c r="E1074" s="140" t="s">
        <v>19</v>
      </c>
      <c r="F1074" s="140" t="s">
        <v>195</v>
      </c>
      <c r="G1074" s="140" t="s">
        <v>21</v>
      </c>
      <c r="H1074" s="140" t="s">
        <v>161</v>
      </c>
      <c r="I1074" s="140" t="s">
        <v>21</v>
      </c>
      <c r="J1074" s="174"/>
    </row>
    <row r="1075" hidden="1" customHeight="1" spans="1:10">
      <c r="A1075" s="140" t="s">
        <v>313</v>
      </c>
      <c r="B1075" s="140" t="s">
        <v>314</v>
      </c>
      <c r="C1075" s="171">
        <v>45701</v>
      </c>
      <c r="D1075" s="172" t="s">
        <v>23</v>
      </c>
      <c r="E1075" s="140" t="s">
        <v>19</v>
      </c>
      <c r="F1075" s="140" t="s">
        <v>108</v>
      </c>
      <c r="G1075" s="140" t="s">
        <v>21</v>
      </c>
      <c r="H1075" s="140" t="s">
        <v>118</v>
      </c>
      <c r="I1075" s="140" t="s">
        <v>21</v>
      </c>
      <c r="J1075" s="174"/>
    </row>
    <row r="1076" hidden="1" customHeight="1" spans="1:10">
      <c r="A1076" s="140" t="s">
        <v>313</v>
      </c>
      <c r="B1076" s="140" t="s">
        <v>314</v>
      </c>
      <c r="C1076" s="171">
        <v>45702</v>
      </c>
      <c r="D1076" s="172" t="s">
        <v>25</v>
      </c>
      <c r="E1076" s="140" t="s">
        <v>19</v>
      </c>
      <c r="F1076" s="140" t="s">
        <v>193</v>
      </c>
      <c r="G1076" s="140" t="s">
        <v>21</v>
      </c>
      <c r="H1076" s="140" t="s">
        <v>142</v>
      </c>
      <c r="I1076" s="140" t="s">
        <v>21</v>
      </c>
      <c r="J1076" s="174"/>
    </row>
    <row r="1077" hidden="1" customHeight="1" spans="1:10">
      <c r="A1077" s="140" t="s">
        <v>313</v>
      </c>
      <c r="B1077" s="140" t="s">
        <v>314</v>
      </c>
      <c r="C1077" s="171">
        <v>45703</v>
      </c>
      <c r="D1077" s="172" t="s">
        <v>27</v>
      </c>
      <c r="E1077" s="173" t="s">
        <v>13</v>
      </c>
      <c r="F1077" s="140" t="s">
        <v>14</v>
      </c>
      <c r="G1077" s="140" t="s">
        <v>14</v>
      </c>
      <c r="H1077" s="140" t="s">
        <v>14</v>
      </c>
      <c r="I1077" s="140" t="s">
        <v>14</v>
      </c>
      <c r="J1077" s="174"/>
    </row>
    <row r="1078" hidden="1" customHeight="1" spans="1:10">
      <c r="A1078" s="140" t="s">
        <v>313</v>
      </c>
      <c r="B1078" s="140" t="s">
        <v>314</v>
      </c>
      <c r="C1078" s="171">
        <v>45704</v>
      </c>
      <c r="D1078" s="172" t="s">
        <v>15</v>
      </c>
      <c r="E1078" s="173" t="s">
        <v>13</v>
      </c>
      <c r="F1078" s="140" t="s">
        <v>14</v>
      </c>
      <c r="G1078" s="140" t="s">
        <v>14</v>
      </c>
      <c r="H1078" s="140" t="s">
        <v>14</v>
      </c>
      <c r="I1078" s="140" t="s">
        <v>14</v>
      </c>
      <c r="J1078" s="174"/>
    </row>
    <row r="1079" hidden="1" customHeight="1" spans="1:10">
      <c r="A1079" s="140" t="s">
        <v>313</v>
      </c>
      <c r="B1079" s="140" t="s">
        <v>314</v>
      </c>
      <c r="C1079" s="171">
        <v>45705</v>
      </c>
      <c r="D1079" s="172" t="s">
        <v>16</v>
      </c>
      <c r="E1079" s="140" t="s">
        <v>19</v>
      </c>
      <c r="F1079" s="140" t="s">
        <v>129</v>
      </c>
      <c r="G1079" s="140" t="s">
        <v>21</v>
      </c>
      <c r="H1079" s="140" t="s">
        <v>130</v>
      </c>
      <c r="I1079" s="140" t="s">
        <v>21</v>
      </c>
      <c r="J1079" s="174"/>
    </row>
    <row r="1080" hidden="1" customHeight="1" spans="1:10">
      <c r="A1080" s="140" t="s">
        <v>313</v>
      </c>
      <c r="B1080" s="140" t="s">
        <v>314</v>
      </c>
      <c r="C1080" s="171">
        <v>45706</v>
      </c>
      <c r="D1080" s="172" t="s">
        <v>17</v>
      </c>
      <c r="E1080" s="140" t="s">
        <v>19</v>
      </c>
      <c r="F1080" s="140" t="s">
        <v>137</v>
      </c>
      <c r="G1080" s="140" t="s">
        <v>21</v>
      </c>
      <c r="H1080" s="140" t="s">
        <v>212</v>
      </c>
      <c r="I1080" s="140" t="s">
        <v>21</v>
      </c>
      <c r="J1080" s="174"/>
    </row>
    <row r="1081" hidden="1" customHeight="1" spans="1:10">
      <c r="A1081" s="140" t="s">
        <v>313</v>
      </c>
      <c r="B1081" s="140" t="s">
        <v>314</v>
      </c>
      <c r="C1081" s="171">
        <v>45707</v>
      </c>
      <c r="D1081" s="172" t="s">
        <v>18</v>
      </c>
      <c r="E1081" s="140" t="s">
        <v>19</v>
      </c>
      <c r="F1081" s="140" t="s">
        <v>143</v>
      </c>
      <c r="G1081" s="140" t="s">
        <v>21</v>
      </c>
      <c r="H1081" s="140" t="s">
        <v>175</v>
      </c>
      <c r="I1081" s="140" t="s">
        <v>21</v>
      </c>
      <c r="J1081" s="174"/>
    </row>
    <row r="1082" hidden="1" customHeight="1" spans="1:10">
      <c r="A1082" s="140" t="s">
        <v>313</v>
      </c>
      <c r="B1082" s="140" t="s">
        <v>314</v>
      </c>
      <c r="C1082" s="171">
        <v>45708</v>
      </c>
      <c r="D1082" s="172" t="s">
        <v>23</v>
      </c>
      <c r="E1082" s="140" t="s">
        <v>19</v>
      </c>
      <c r="F1082" s="140" t="s">
        <v>135</v>
      </c>
      <c r="G1082" s="140" t="s">
        <v>21</v>
      </c>
      <c r="H1082" s="140" t="s">
        <v>24</v>
      </c>
      <c r="I1082" s="140" t="s">
        <v>21</v>
      </c>
      <c r="J1082" s="174"/>
    </row>
    <row r="1083" hidden="1" customHeight="1" spans="1:10">
      <c r="A1083" s="140" t="s">
        <v>313</v>
      </c>
      <c r="B1083" s="140" t="s">
        <v>314</v>
      </c>
      <c r="C1083" s="171">
        <v>45709</v>
      </c>
      <c r="D1083" s="172" t="s">
        <v>25</v>
      </c>
      <c r="E1083" s="140" t="s">
        <v>19</v>
      </c>
      <c r="F1083" s="140" t="s">
        <v>195</v>
      </c>
      <c r="G1083" s="140" t="s">
        <v>21</v>
      </c>
      <c r="H1083" s="140" t="s">
        <v>80</v>
      </c>
      <c r="I1083" s="140" t="s">
        <v>21</v>
      </c>
      <c r="J1083" s="174"/>
    </row>
    <row r="1084" hidden="1" customHeight="1" spans="1:10">
      <c r="A1084" s="140" t="s">
        <v>313</v>
      </c>
      <c r="B1084" s="140" t="s">
        <v>314</v>
      </c>
      <c r="C1084" s="171">
        <v>45710</v>
      </c>
      <c r="D1084" s="172" t="s">
        <v>27</v>
      </c>
      <c r="E1084" s="173" t="s">
        <v>13</v>
      </c>
      <c r="F1084" s="140" t="s">
        <v>14</v>
      </c>
      <c r="G1084" s="140" t="s">
        <v>14</v>
      </c>
      <c r="H1084" s="140" t="s">
        <v>14</v>
      </c>
      <c r="I1084" s="140" t="s">
        <v>14</v>
      </c>
      <c r="J1084" s="174"/>
    </row>
    <row r="1085" hidden="1" customHeight="1" spans="1:10">
      <c r="A1085" s="140" t="s">
        <v>313</v>
      </c>
      <c r="B1085" s="140" t="s">
        <v>314</v>
      </c>
      <c r="C1085" s="171">
        <v>45711</v>
      </c>
      <c r="D1085" s="172" t="s">
        <v>15</v>
      </c>
      <c r="E1085" s="173" t="s">
        <v>13</v>
      </c>
      <c r="F1085" s="140" t="s">
        <v>14</v>
      </c>
      <c r="G1085" s="140" t="s">
        <v>14</v>
      </c>
      <c r="H1085" s="140" t="s">
        <v>14</v>
      </c>
      <c r="I1085" s="140" t="s">
        <v>14</v>
      </c>
      <c r="J1085" s="174"/>
    </row>
    <row r="1086" hidden="1" customHeight="1" spans="1:10">
      <c r="A1086" s="140" t="s">
        <v>313</v>
      </c>
      <c r="B1086" s="140" t="s">
        <v>314</v>
      </c>
      <c r="C1086" s="171">
        <v>45712</v>
      </c>
      <c r="D1086" s="172" t="s">
        <v>16</v>
      </c>
      <c r="E1086" s="140" t="s">
        <v>19</v>
      </c>
      <c r="F1086" s="140" t="s">
        <v>143</v>
      </c>
      <c r="G1086" s="140" t="s">
        <v>21</v>
      </c>
      <c r="H1086" s="140" t="s">
        <v>78</v>
      </c>
      <c r="I1086" s="140" t="s">
        <v>21</v>
      </c>
      <c r="J1086" s="174"/>
    </row>
    <row r="1087" hidden="1" customHeight="1" spans="1:10">
      <c r="A1087" s="140" t="s">
        <v>313</v>
      </c>
      <c r="B1087" s="140" t="s">
        <v>314</v>
      </c>
      <c r="C1087" s="171">
        <v>45713</v>
      </c>
      <c r="D1087" s="172" t="s">
        <v>17</v>
      </c>
      <c r="E1087" s="140" t="s">
        <v>19</v>
      </c>
      <c r="F1087" s="140" t="s">
        <v>110</v>
      </c>
      <c r="G1087" s="140" t="s">
        <v>21</v>
      </c>
      <c r="H1087" s="140" t="s">
        <v>238</v>
      </c>
      <c r="I1087" s="140" t="s">
        <v>21</v>
      </c>
      <c r="J1087" s="174"/>
    </row>
    <row r="1088" hidden="1" customHeight="1" spans="1:10">
      <c r="A1088" s="140" t="s">
        <v>313</v>
      </c>
      <c r="B1088" s="140" t="s">
        <v>314</v>
      </c>
      <c r="C1088" s="171">
        <v>45714</v>
      </c>
      <c r="D1088" s="172" t="s">
        <v>18</v>
      </c>
      <c r="E1088" s="140" t="s">
        <v>19</v>
      </c>
      <c r="F1088" s="140" t="s">
        <v>135</v>
      </c>
      <c r="G1088" s="140" t="s">
        <v>21</v>
      </c>
      <c r="H1088" s="140" t="s">
        <v>235</v>
      </c>
      <c r="I1088" s="140" t="s">
        <v>21</v>
      </c>
      <c r="J1088" s="174"/>
    </row>
    <row r="1089" hidden="1" customHeight="1" spans="1:10">
      <c r="A1089" s="140" t="s">
        <v>313</v>
      </c>
      <c r="B1089" s="140" t="s">
        <v>314</v>
      </c>
      <c r="C1089" s="171">
        <v>45715</v>
      </c>
      <c r="D1089" s="172" t="s">
        <v>23</v>
      </c>
      <c r="E1089" s="140" t="s">
        <v>19</v>
      </c>
      <c r="F1089" s="140" t="s">
        <v>108</v>
      </c>
      <c r="G1089" s="140" t="s">
        <v>21</v>
      </c>
      <c r="H1089" s="140" t="s">
        <v>78</v>
      </c>
      <c r="I1089" s="140" t="s">
        <v>21</v>
      </c>
      <c r="J1089" s="174"/>
    </row>
    <row r="1090" hidden="1" customHeight="1" spans="1:10">
      <c r="A1090" s="140" t="s">
        <v>313</v>
      </c>
      <c r="B1090" s="140" t="s">
        <v>314</v>
      </c>
      <c r="C1090" s="171">
        <v>45716</v>
      </c>
      <c r="D1090" s="172" t="s">
        <v>25</v>
      </c>
      <c r="E1090" s="140" t="s">
        <v>19</v>
      </c>
      <c r="F1090" s="140" t="s">
        <v>143</v>
      </c>
      <c r="G1090" s="140" t="s">
        <v>21</v>
      </c>
      <c r="H1090" s="140" t="s">
        <v>272</v>
      </c>
      <c r="I1090" s="140" t="s">
        <v>21</v>
      </c>
      <c r="J1090" s="174"/>
    </row>
    <row r="1091" hidden="1" customHeight="1" spans="1:10">
      <c r="A1091" s="140" t="s">
        <v>317</v>
      </c>
      <c r="B1091" s="140" t="s">
        <v>318</v>
      </c>
      <c r="C1091" s="171">
        <v>45689</v>
      </c>
      <c r="D1091" s="172" t="s">
        <v>12</v>
      </c>
      <c r="E1091" s="173" t="s">
        <v>13</v>
      </c>
      <c r="F1091" s="140" t="s">
        <v>14</v>
      </c>
      <c r="G1091" s="140" t="s">
        <v>14</v>
      </c>
      <c r="H1091" s="140" t="s">
        <v>14</v>
      </c>
      <c r="I1091" s="140" t="s">
        <v>14</v>
      </c>
      <c r="J1091" s="174"/>
    </row>
    <row r="1092" hidden="1" customHeight="1" spans="1:10">
      <c r="A1092" s="140" t="s">
        <v>317</v>
      </c>
      <c r="B1092" s="140" t="s">
        <v>318</v>
      </c>
      <c r="C1092" s="171">
        <v>45690</v>
      </c>
      <c r="D1092" s="172" t="s">
        <v>15</v>
      </c>
      <c r="E1092" s="173" t="s">
        <v>13</v>
      </c>
      <c r="F1092" s="140" t="s">
        <v>14</v>
      </c>
      <c r="G1092" s="140" t="s">
        <v>14</v>
      </c>
      <c r="H1092" s="140" t="s">
        <v>14</v>
      </c>
      <c r="I1092" s="140" t="s">
        <v>14</v>
      </c>
      <c r="J1092" s="174"/>
    </row>
    <row r="1093" hidden="1" customHeight="1" spans="1:10">
      <c r="A1093" s="140" t="s">
        <v>317</v>
      </c>
      <c r="B1093" s="140" t="s">
        <v>318</v>
      </c>
      <c r="C1093" s="171">
        <v>45691</v>
      </c>
      <c r="D1093" s="172" t="s">
        <v>16</v>
      </c>
      <c r="E1093" s="173" t="s">
        <v>13</v>
      </c>
      <c r="F1093" s="140" t="s">
        <v>14</v>
      </c>
      <c r="G1093" s="140" t="s">
        <v>14</v>
      </c>
      <c r="H1093" s="140" t="s">
        <v>14</v>
      </c>
      <c r="I1093" s="140" t="s">
        <v>14</v>
      </c>
      <c r="J1093" s="175"/>
    </row>
    <row r="1094" hidden="1" customHeight="1" spans="1:10">
      <c r="A1094" s="140" t="s">
        <v>317</v>
      </c>
      <c r="B1094" s="140" t="s">
        <v>318</v>
      </c>
      <c r="C1094" s="171">
        <v>45692</v>
      </c>
      <c r="D1094" s="172" t="s">
        <v>17</v>
      </c>
      <c r="E1094" s="173" t="s">
        <v>13</v>
      </c>
      <c r="F1094" s="140" t="s">
        <v>14</v>
      </c>
      <c r="G1094" s="140" t="s">
        <v>14</v>
      </c>
      <c r="H1094" s="140" t="s">
        <v>14</v>
      </c>
      <c r="I1094" s="140" t="s">
        <v>14</v>
      </c>
      <c r="J1094" s="174"/>
    </row>
    <row r="1095" hidden="1" customHeight="1" spans="1:10">
      <c r="A1095" s="140" t="s">
        <v>317</v>
      </c>
      <c r="B1095" s="140" t="s">
        <v>318</v>
      </c>
      <c r="C1095" s="171">
        <v>45693</v>
      </c>
      <c r="D1095" s="172" t="s">
        <v>18</v>
      </c>
      <c r="E1095" s="140" t="s">
        <v>19</v>
      </c>
      <c r="F1095" s="140" t="s">
        <v>146</v>
      </c>
      <c r="G1095" s="140" t="s">
        <v>21</v>
      </c>
      <c r="H1095" s="140" t="s">
        <v>194</v>
      </c>
      <c r="I1095" s="140" t="s">
        <v>21</v>
      </c>
      <c r="J1095" s="174"/>
    </row>
    <row r="1096" hidden="1" customHeight="1" spans="1:10">
      <c r="A1096" s="140" t="s">
        <v>317</v>
      </c>
      <c r="B1096" s="140" t="s">
        <v>318</v>
      </c>
      <c r="C1096" s="171">
        <v>45694</v>
      </c>
      <c r="D1096" s="172" t="s">
        <v>23</v>
      </c>
      <c r="E1096" s="140" t="s">
        <v>19</v>
      </c>
      <c r="F1096" s="140" t="s">
        <v>150</v>
      </c>
      <c r="G1096" s="140" t="s">
        <v>21</v>
      </c>
      <c r="H1096" s="140" t="s">
        <v>95</v>
      </c>
      <c r="I1096" s="140" t="s">
        <v>21</v>
      </c>
      <c r="J1096" s="174"/>
    </row>
    <row r="1097" hidden="1" customHeight="1" spans="1:10">
      <c r="A1097" s="140" t="s">
        <v>317</v>
      </c>
      <c r="B1097" s="140" t="s">
        <v>318</v>
      </c>
      <c r="C1097" s="171">
        <v>45695</v>
      </c>
      <c r="D1097" s="172" t="s">
        <v>25</v>
      </c>
      <c r="E1097" s="140" t="s">
        <v>19</v>
      </c>
      <c r="F1097" s="140" t="s">
        <v>108</v>
      </c>
      <c r="G1097" s="140" t="s">
        <v>21</v>
      </c>
      <c r="H1097" s="140" t="s">
        <v>254</v>
      </c>
      <c r="I1097" s="140" t="s">
        <v>21</v>
      </c>
      <c r="J1097" s="174"/>
    </row>
    <row r="1098" hidden="1" customHeight="1" spans="1:10">
      <c r="A1098" s="140" t="s">
        <v>317</v>
      </c>
      <c r="B1098" s="140" t="s">
        <v>318</v>
      </c>
      <c r="C1098" s="171">
        <v>45696</v>
      </c>
      <c r="D1098" s="172" t="s">
        <v>27</v>
      </c>
      <c r="E1098" s="140" t="s">
        <v>19</v>
      </c>
      <c r="F1098" s="140" t="s">
        <v>135</v>
      </c>
      <c r="G1098" s="140" t="s">
        <v>21</v>
      </c>
      <c r="H1098" s="140" t="s">
        <v>45</v>
      </c>
      <c r="I1098" s="140" t="s">
        <v>21</v>
      </c>
      <c r="J1098" s="174"/>
    </row>
    <row r="1099" hidden="1" customHeight="1" spans="1:10">
      <c r="A1099" s="140" t="s">
        <v>317</v>
      </c>
      <c r="B1099" s="140" t="s">
        <v>318</v>
      </c>
      <c r="C1099" s="171">
        <v>45697</v>
      </c>
      <c r="D1099" s="172" t="s">
        <v>15</v>
      </c>
      <c r="E1099" s="173" t="s">
        <v>13</v>
      </c>
      <c r="F1099" s="140" t="s">
        <v>319</v>
      </c>
      <c r="G1099" s="140" t="s">
        <v>21</v>
      </c>
      <c r="H1099" s="140" t="s">
        <v>175</v>
      </c>
      <c r="I1099" s="140" t="s">
        <v>21</v>
      </c>
      <c r="J1099" s="174"/>
    </row>
    <row r="1100" hidden="1" customHeight="1" spans="1:10">
      <c r="A1100" s="140" t="s">
        <v>317</v>
      </c>
      <c r="B1100" s="140" t="s">
        <v>318</v>
      </c>
      <c r="C1100" s="171">
        <v>45698</v>
      </c>
      <c r="D1100" s="172" t="s">
        <v>16</v>
      </c>
      <c r="E1100" s="140" t="s">
        <v>19</v>
      </c>
      <c r="F1100" s="140" t="s">
        <v>183</v>
      </c>
      <c r="G1100" s="140" t="s">
        <v>21</v>
      </c>
      <c r="H1100" s="140" t="s">
        <v>243</v>
      </c>
      <c r="I1100" s="140" t="s">
        <v>21</v>
      </c>
      <c r="J1100" s="174"/>
    </row>
    <row r="1101" hidden="1" customHeight="1" spans="1:10">
      <c r="A1101" s="140" t="s">
        <v>317</v>
      </c>
      <c r="B1101" s="140" t="s">
        <v>318</v>
      </c>
      <c r="C1101" s="171">
        <v>45699</v>
      </c>
      <c r="D1101" s="172" t="s">
        <v>17</v>
      </c>
      <c r="E1101" s="140" t="s">
        <v>19</v>
      </c>
      <c r="F1101" s="140" t="s">
        <v>108</v>
      </c>
      <c r="G1101" s="140" t="s">
        <v>21</v>
      </c>
      <c r="H1101" s="140" t="s">
        <v>45</v>
      </c>
      <c r="I1101" s="140" t="s">
        <v>21</v>
      </c>
      <c r="J1101" s="174"/>
    </row>
    <row r="1102" hidden="1" customHeight="1" spans="1:10">
      <c r="A1102" s="140" t="s">
        <v>317</v>
      </c>
      <c r="B1102" s="140" t="s">
        <v>318</v>
      </c>
      <c r="C1102" s="171">
        <v>45700</v>
      </c>
      <c r="D1102" s="172" t="s">
        <v>18</v>
      </c>
      <c r="E1102" s="140" t="s">
        <v>19</v>
      </c>
      <c r="F1102" s="140" t="s">
        <v>320</v>
      </c>
      <c r="G1102" s="140" t="s">
        <v>21</v>
      </c>
      <c r="H1102" s="140" t="s">
        <v>249</v>
      </c>
      <c r="I1102" s="140" t="s">
        <v>21</v>
      </c>
      <c r="J1102" s="174"/>
    </row>
    <row r="1103" hidden="1" customHeight="1" spans="1:10">
      <c r="A1103" s="140" t="s">
        <v>317</v>
      </c>
      <c r="B1103" s="140" t="s">
        <v>318</v>
      </c>
      <c r="C1103" s="171">
        <v>45701</v>
      </c>
      <c r="D1103" s="172" t="s">
        <v>23</v>
      </c>
      <c r="E1103" s="140" t="s">
        <v>19</v>
      </c>
      <c r="F1103" s="140" t="s">
        <v>110</v>
      </c>
      <c r="G1103" s="140" t="s">
        <v>21</v>
      </c>
      <c r="H1103" s="140" t="s">
        <v>321</v>
      </c>
      <c r="I1103" s="140" t="s">
        <v>21</v>
      </c>
      <c r="J1103" s="174"/>
    </row>
    <row r="1104" hidden="1" customHeight="1" spans="1:10">
      <c r="A1104" s="140" t="s">
        <v>317</v>
      </c>
      <c r="B1104" s="140" t="s">
        <v>318</v>
      </c>
      <c r="C1104" s="171">
        <v>45702</v>
      </c>
      <c r="D1104" s="172" t="s">
        <v>25</v>
      </c>
      <c r="E1104" s="140" t="s">
        <v>19</v>
      </c>
      <c r="F1104" s="140" t="s">
        <v>150</v>
      </c>
      <c r="G1104" s="140" t="s">
        <v>21</v>
      </c>
      <c r="H1104" s="140" t="s">
        <v>31</v>
      </c>
      <c r="I1104" s="140" t="s">
        <v>21</v>
      </c>
      <c r="J1104" s="174"/>
    </row>
    <row r="1105" hidden="1" customHeight="1" spans="1:10">
      <c r="A1105" s="140" t="s">
        <v>317</v>
      </c>
      <c r="B1105" s="140" t="s">
        <v>318</v>
      </c>
      <c r="C1105" s="171">
        <v>45703</v>
      </c>
      <c r="D1105" s="172" t="s">
        <v>27</v>
      </c>
      <c r="E1105" s="173" t="s">
        <v>13</v>
      </c>
      <c r="F1105" s="140" t="s">
        <v>322</v>
      </c>
      <c r="G1105" s="140" t="s">
        <v>21</v>
      </c>
      <c r="H1105" s="140" t="s">
        <v>323</v>
      </c>
      <c r="I1105" s="140" t="s">
        <v>21</v>
      </c>
      <c r="J1105" s="174"/>
    </row>
    <row r="1106" hidden="1" customHeight="1" spans="1:10">
      <c r="A1106" s="140" t="s">
        <v>317</v>
      </c>
      <c r="B1106" s="140" t="s">
        <v>318</v>
      </c>
      <c r="C1106" s="171">
        <v>45704</v>
      </c>
      <c r="D1106" s="172" t="s">
        <v>15</v>
      </c>
      <c r="E1106" s="173" t="s">
        <v>13</v>
      </c>
      <c r="F1106" s="140" t="s">
        <v>324</v>
      </c>
      <c r="G1106" s="140" t="s">
        <v>21</v>
      </c>
      <c r="H1106" s="140" t="s">
        <v>325</v>
      </c>
      <c r="I1106" s="140" t="s">
        <v>21</v>
      </c>
      <c r="J1106" s="174"/>
    </row>
    <row r="1107" hidden="1" customHeight="1" spans="1:10">
      <c r="A1107" s="140" t="s">
        <v>317</v>
      </c>
      <c r="B1107" s="140" t="s">
        <v>318</v>
      </c>
      <c r="C1107" s="171">
        <v>45705</v>
      </c>
      <c r="D1107" s="172" t="s">
        <v>16</v>
      </c>
      <c r="E1107" s="140" t="s">
        <v>19</v>
      </c>
      <c r="F1107" s="140" t="s">
        <v>117</v>
      </c>
      <c r="G1107" s="140" t="s">
        <v>21</v>
      </c>
      <c r="H1107" s="140" t="s">
        <v>254</v>
      </c>
      <c r="I1107" s="140" t="s">
        <v>21</v>
      </c>
      <c r="J1107" s="174"/>
    </row>
    <row r="1108" hidden="1" customHeight="1" spans="1:10">
      <c r="A1108" s="140" t="s">
        <v>317</v>
      </c>
      <c r="B1108" s="140" t="s">
        <v>318</v>
      </c>
      <c r="C1108" s="171">
        <v>45706</v>
      </c>
      <c r="D1108" s="172" t="s">
        <v>17</v>
      </c>
      <c r="E1108" s="140" t="s">
        <v>19</v>
      </c>
      <c r="F1108" s="140" t="s">
        <v>98</v>
      </c>
      <c r="G1108" s="140" t="s">
        <v>21</v>
      </c>
      <c r="H1108" s="140" t="s">
        <v>186</v>
      </c>
      <c r="I1108" s="140" t="s">
        <v>21</v>
      </c>
      <c r="J1108" s="174"/>
    </row>
    <row r="1109" customHeight="1" spans="1:10">
      <c r="A1109" s="140" t="s">
        <v>317</v>
      </c>
      <c r="B1109" s="140" t="s">
        <v>318</v>
      </c>
      <c r="C1109" s="171">
        <v>45707</v>
      </c>
      <c r="D1109" s="172" t="s">
        <v>18</v>
      </c>
      <c r="E1109" s="140" t="s">
        <v>19</v>
      </c>
      <c r="F1109" s="140" t="s">
        <v>14</v>
      </c>
      <c r="G1109" s="176" t="s">
        <v>68</v>
      </c>
      <c r="H1109" s="140" t="s">
        <v>14</v>
      </c>
      <c r="I1109" s="176" t="s">
        <v>68</v>
      </c>
      <c r="J1109" s="174" t="s">
        <v>93</v>
      </c>
    </row>
    <row r="1110" customHeight="1" spans="1:10">
      <c r="A1110" s="140" t="s">
        <v>317</v>
      </c>
      <c r="B1110" s="140" t="s">
        <v>318</v>
      </c>
      <c r="C1110" s="171">
        <v>45708</v>
      </c>
      <c r="D1110" s="172" t="s">
        <v>23</v>
      </c>
      <c r="E1110" s="140" t="s">
        <v>19</v>
      </c>
      <c r="F1110" s="140" t="s">
        <v>14</v>
      </c>
      <c r="G1110" s="176" t="s">
        <v>68</v>
      </c>
      <c r="H1110" s="140" t="s">
        <v>14</v>
      </c>
      <c r="I1110" s="176" t="s">
        <v>68</v>
      </c>
      <c r="J1110" s="174" t="s">
        <v>93</v>
      </c>
    </row>
    <row r="1111" hidden="1" customHeight="1" spans="1:10">
      <c r="A1111" s="140" t="s">
        <v>317</v>
      </c>
      <c r="B1111" s="140" t="s">
        <v>318</v>
      </c>
      <c r="C1111" s="171">
        <v>45709</v>
      </c>
      <c r="D1111" s="172" t="s">
        <v>25</v>
      </c>
      <c r="E1111" s="140" t="s">
        <v>19</v>
      </c>
      <c r="F1111" s="140" t="s">
        <v>143</v>
      </c>
      <c r="G1111" s="140" t="s">
        <v>21</v>
      </c>
      <c r="H1111" s="140" t="s">
        <v>73</v>
      </c>
      <c r="I1111" s="140" t="s">
        <v>21</v>
      </c>
      <c r="J1111" s="174"/>
    </row>
    <row r="1112" hidden="1" customHeight="1" spans="1:10">
      <c r="A1112" s="140" t="s">
        <v>317</v>
      </c>
      <c r="B1112" s="140" t="s">
        <v>318</v>
      </c>
      <c r="C1112" s="171">
        <v>45710</v>
      </c>
      <c r="D1112" s="172" t="s">
        <v>27</v>
      </c>
      <c r="E1112" s="173" t="s">
        <v>13</v>
      </c>
      <c r="F1112" s="140" t="s">
        <v>326</v>
      </c>
      <c r="G1112" s="140" t="s">
        <v>21</v>
      </c>
      <c r="H1112" s="140" t="s">
        <v>14</v>
      </c>
      <c r="I1112" s="140" t="s">
        <v>14</v>
      </c>
      <c r="J1112" s="174"/>
    </row>
    <row r="1113" hidden="1" customHeight="1" spans="1:10">
      <c r="A1113" s="140" t="s">
        <v>317</v>
      </c>
      <c r="B1113" s="140" t="s">
        <v>318</v>
      </c>
      <c r="C1113" s="171">
        <v>45711</v>
      </c>
      <c r="D1113" s="172" t="s">
        <v>15</v>
      </c>
      <c r="E1113" s="173" t="s">
        <v>13</v>
      </c>
      <c r="F1113" s="140" t="s">
        <v>14</v>
      </c>
      <c r="G1113" s="140" t="s">
        <v>14</v>
      </c>
      <c r="H1113" s="140" t="s">
        <v>14</v>
      </c>
      <c r="I1113" s="140" t="s">
        <v>14</v>
      </c>
      <c r="J1113" s="174"/>
    </row>
    <row r="1114" hidden="1" customHeight="1" spans="1:10">
      <c r="A1114" s="140" t="s">
        <v>317</v>
      </c>
      <c r="B1114" s="140" t="s">
        <v>318</v>
      </c>
      <c r="C1114" s="171">
        <v>45712</v>
      </c>
      <c r="D1114" s="172" t="s">
        <v>16</v>
      </c>
      <c r="E1114" s="140" t="s">
        <v>19</v>
      </c>
      <c r="F1114" s="140" t="s">
        <v>195</v>
      </c>
      <c r="G1114" s="140" t="s">
        <v>21</v>
      </c>
      <c r="H1114" s="140" t="s">
        <v>35</v>
      </c>
      <c r="I1114" s="140" t="s">
        <v>21</v>
      </c>
      <c r="J1114" s="174"/>
    </row>
    <row r="1115" hidden="1" customHeight="1" spans="1:10">
      <c r="A1115" s="140" t="s">
        <v>317</v>
      </c>
      <c r="B1115" s="140" t="s">
        <v>318</v>
      </c>
      <c r="C1115" s="171">
        <v>45713</v>
      </c>
      <c r="D1115" s="172" t="s">
        <v>17</v>
      </c>
      <c r="E1115" s="140" t="s">
        <v>19</v>
      </c>
      <c r="F1115" s="140" t="s">
        <v>157</v>
      </c>
      <c r="G1115" s="140" t="s">
        <v>21</v>
      </c>
      <c r="H1115" s="140" t="s">
        <v>167</v>
      </c>
      <c r="I1115" s="140" t="s">
        <v>21</v>
      </c>
      <c r="J1115" s="174"/>
    </row>
    <row r="1116" hidden="1" customHeight="1" spans="1:10">
      <c r="A1116" s="140" t="s">
        <v>317</v>
      </c>
      <c r="B1116" s="140" t="s">
        <v>318</v>
      </c>
      <c r="C1116" s="171">
        <v>45714</v>
      </c>
      <c r="D1116" s="172" t="s">
        <v>18</v>
      </c>
      <c r="E1116" s="140" t="s">
        <v>19</v>
      </c>
      <c r="F1116" s="140" t="s">
        <v>117</v>
      </c>
      <c r="G1116" s="140" t="s">
        <v>21</v>
      </c>
      <c r="H1116" s="140" t="s">
        <v>122</v>
      </c>
      <c r="I1116" s="140" t="s">
        <v>21</v>
      </c>
      <c r="J1116" s="174"/>
    </row>
    <row r="1117" hidden="1" customHeight="1" spans="1:10">
      <c r="A1117" s="140" t="s">
        <v>317</v>
      </c>
      <c r="B1117" s="140" t="s">
        <v>318</v>
      </c>
      <c r="C1117" s="171">
        <v>45715</v>
      </c>
      <c r="D1117" s="172" t="s">
        <v>23</v>
      </c>
      <c r="E1117" s="140" t="s">
        <v>19</v>
      </c>
      <c r="F1117" s="140" t="s">
        <v>150</v>
      </c>
      <c r="G1117" s="140" t="s">
        <v>21</v>
      </c>
      <c r="H1117" s="140" t="s">
        <v>91</v>
      </c>
      <c r="I1117" s="140" t="s">
        <v>21</v>
      </c>
      <c r="J1117" s="174"/>
    </row>
    <row r="1118" hidden="1" customHeight="1" spans="1:10">
      <c r="A1118" s="140" t="s">
        <v>317</v>
      </c>
      <c r="B1118" s="140" t="s">
        <v>318</v>
      </c>
      <c r="C1118" s="171">
        <v>45716</v>
      </c>
      <c r="D1118" s="172" t="s">
        <v>25</v>
      </c>
      <c r="E1118" s="140" t="s">
        <v>19</v>
      </c>
      <c r="F1118" s="140" t="s">
        <v>49</v>
      </c>
      <c r="G1118" s="140" t="s">
        <v>21</v>
      </c>
      <c r="H1118" s="140" t="s">
        <v>196</v>
      </c>
      <c r="I1118" s="140" t="s">
        <v>21</v>
      </c>
      <c r="J1118" s="174"/>
    </row>
    <row r="1119" hidden="1" customHeight="1" spans="1:10">
      <c r="A1119" s="140" t="s">
        <v>327</v>
      </c>
      <c r="B1119" s="140" t="s">
        <v>328</v>
      </c>
      <c r="C1119" s="171">
        <v>45689</v>
      </c>
      <c r="D1119" s="172" t="s">
        <v>12</v>
      </c>
      <c r="E1119" s="173" t="s">
        <v>13</v>
      </c>
      <c r="F1119" s="140" t="s">
        <v>14</v>
      </c>
      <c r="G1119" s="140" t="s">
        <v>14</v>
      </c>
      <c r="H1119" s="140" t="s">
        <v>14</v>
      </c>
      <c r="I1119" s="140" t="s">
        <v>14</v>
      </c>
      <c r="J1119" s="174"/>
    </row>
    <row r="1120" hidden="1" customHeight="1" spans="1:10">
      <c r="A1120" s="140" t="s">
        <v>327</v>
      </c>
      <c r="B1120" s="140" t="s">
        <v>328</v>
      </c>
      <c r="C1120" s="171">
        <v>45690</v>
      </c>
      <c r="D1120" s="172" t="s">
        <v>15</v>
      </c>
      <c r="E1120" s="173" t="s">
        <v>13</v>
      </c>
      <c r="F1120" s="140" t="s">
        <v>14</v>
      </c>
      <c r="G1120" s="140" t="s">
        <v>14</v>
      </c>
      <c r="H1120" s="140" t="s">
        <v>14</v>
      </c>
      <c r="I1120" s="140" t="s">
        <v>14</v>
      </c>
      <c r="J1120" s="174"/>
    </row>
    <row r="1121" hidden="1" customHeight="1" spans="1:10">
      <c r="A1121" s="140" t="s">
        <v>327</v>
      </c>
      <c r="B1121" s="140" t="s">
        <v>328</v>
      </c>
      <c r="C1121" s="171">
        <v>45691</v>
      </c>
      <c r="D1121" s="172" t="s">
        <v>16</v>
      </c>
      <c r="E1121" s="173" t="s">
        <v>13</v>
      </c>
      <c r="F1121" s="140" t="s">
        <v>14</v>
      </c>
      <c r="G1121" s="140" t="s">
        <v>14</v>
      </c>
      <c r="H1121" s="140" t="s">
        <v>14</v>
      </c>
      <c r="I1121" s="140" t="s">
        <v>14</v>
      </c>
      <c r="J1121" s="174"/>
    </row>
    <row r="1122" hidden="1" customHeight="1" spans="1:10">
      <c r="A1122" s="140" t="s">
        <v>327</v>
      </c>
      <c r="B1122" s="140" t="s">
        <v>328</v>
      </c>
      <c r="C1122" s="171">
        <v>45692</v>
      </c>
      <c r="D1122" s="172" t="s">
        <v>17</v>
      </c>
      <c r="E1122" s="173" t="s">
        <v>13</v>
      </c>
      <c r="F1122" s="140" t="s">
        <v>14</v>
      </c>
      <c r="G1122" s="140" t="s">
        <v>14</v>
      </c>
      <c r="H1122" s="140" t="s">
        <v>14</v>
      </c>
      <c r="I1122" s="140" t="s">
        <v>14</v>
      </c>
      <c r="J1122" s="174"/>
    </row>
    <row r="1123" hidden="1" customHeight="1" spans="1:10">
      <c r="A1123" s="140" t="s">
        <v>327</v>
      </c>
      <c r="B1123" s="140" t="s">
        <v>328</v>
      </c>
      <c r="C1123" s="171">
        <v>45693</v>
      </c>
      <c r="D1123" s="172" t="s">
        <v>18</v>
      </c>
      <c r="E1123" s="140" t="s">
        <v>19</v>
      </c>
      <c r="F1123" s="140" t="s">
        <v>157</v>
      </c>
      <c r="G1123" s="140" t="s">
        <v>21</v>
      </c>
      <c r="H1123" s="140" t="s">
        <v>32</v>
      </c>
      <c r="I1123" s="140" t="s">
        <v>21</v>
      </c>
      <c r="J1123" s="174"/>
    </row>
    <row r="1124" hidden="1" customHeight="1" spans="1:10">
      <c r="A1124" s="140" t="s">
        <v>327</v>
      </c>
      <c r="B1124" s="140" t="s">
        <v>328</v>
      </c>
      <c r="C1124" s="171">
        <v>45694</v>
      </c>
      <c r="D1124" s="172" t="s">
        <v>23</v>
      </c>
      <c r="E1124" s="140" t="s">
        <v>19</v>
      </c>
      <c r="F1124" s="140" t="s">
        <v>51</v>
      </c>
      <c r="G1124" s="140" t="s">
        <v>21</v>
      </c>
      <c r="H1124" s="140" t="s">
        <v>168</v>
      </c>
      <c r="I1124" s="140" t="s">
        <v>21</v>
      </c>
      <c r="J1124" s="174"/>
    </row>
    <row r="1125" hidden="1" customHeight="1" spans="1:10">
      <c r="A1125" s="140" t="s">
        <v>327</v>
      </c>
      <c r="B1125" s="140" t="s">
        <v>328</v>
      </c>
      <c r="C1125" s="171">
        <v>45695</v>
      </c>
      <c r="D1125" s="172" t="s">
        <v>25</v>
      </c>
      <c r="E1125" s="140" t="s">
        <v>19</v>
      </c>
      <c r="F1125" s="140" t="s">
        <v>36</v>
      </c>
      <c r="G1125" s="140" t="s">
        <v>21</v>
      </c>
      <c r="H1125" s="140" t="s">
        <v>205</v>
      </c>
      <c r="I1125" s="140" t="s">
        <v>21</v>
      </c>
      <c r="J1125" s="174"/>
    </row>
    <row r="1126" hidden="1" customHeight="1" spans="1:10">
      <c r="A1126" s="140" t="s">
        <v>327</v>
      </c>
      <c r="B1126" s="140" t="s">
        <v>328</v>
      </c>
      <c r="C1126" s="171">
        <v>45696</v>
      </c>
      <c r="D1126" s="172" t="s">
        <v>27</v>
      </c>
      <c r="E1126" s="140" t="s">
        <v>19</v>
      </c>
      <c r="F1126" s="140" t="s">
        <v>20</v>
      </c>
      <c r="G1126" s="140" t="s">
        <v>21</v>
      </c>
      <c r="H1126" s="140" t="s">
        <v>240</v>
      </c>
      <c r="I1126" s="140" t="s">
        <v>21</v>
      </c>
      <c r="J1126" s="174"/>
    </row>
    <row r="1127" hidden="1" customHeight="1" spans="1:10">
      <c r="A1127" s="140" t="s">
        <v>327</v>
      </c>
      <c r="B1127" s="140" t="s">
        <v>328</v>
      </c>
      <c r="C1127" s="171">
        <v>45697</v>
      </c>
      <c r="D1127" s="172" t="s">
        <v>15</v>
      </c>
      <c r="E1127" s="173" t="s">
        <v>13</v>
      </c>
      <c r="F1127" s="140" t="s">
        <v>14</v>
      </c>
      <c r="G1127" s="140" t="s">
        <v>14</v>
      </c>
      <c r="H1127" s="140" t="s">
        <v>14</v>
      </c>
      <c r="I1127" s="140" t="s">
        <v>14</v>
      </c>
      <c r="J1127" s="174"/>
    </row>
    <row r="1128" hidden="1" customHeight="1" spans="1:10">
      <c r="A1128" s="140" t="s">
        <v>327</v>
      </c>
      <c r="B1128" s="140" t="s">
        <v>328</v>
      </c>
      <c r="C1128" s="171">
        <v>45698</v>
      </c>
      <c r="D1128" s="172" t="s">
        <v>16</v>
      </c>
      <c r="E1128" s="140" t="s">
        <v>19</v>
      </c>
      <c r="F1128" s="140" t="s">
        <v>43</v>
      </c>
      <c r="G1128" s="140" t="s">
        <v>21</v>
      </c>
      <c r="H1128" s="140" t="s">
        <v>73</v>
      </c>
      <c r="I1128" s="140" t="s">
        <v>21</v>
      </c>
      <c r="J1128" s="174"/>
    </row>
    <row r="1129" hidden="1" customHeight="1" spans="1:10">
      <c r="A1129" s="140" t="s">
        <v>327</v>
      </c>
      <c r="B1129" s="140" t="s">
        <v>328</v>
      </c>
      <c r="C1129" s="171">
        <v>45699</v>
      </c>
      <c r="D1129" s="172" t="s">
        <v>17</v>
      </c>
      <c r="E1129" s="140" t="s">
        <v>19</v>
      </c>
      <c r="F1129" s="140" t="s">
        <v>157</v>
      </c>
      <c r="G1129" s="140" t="s">
        <v>21</v>
      </c>
      <c r="H1129" s="140" t="s">
        <v>175</v>
      </c>
      <c r="I1129" s="140" t="s">
        <v>21</v>
      </c>
      <c r="J1129" s="174"/>
    </row>
    <row r="1130" hidden="1" customHeight="1" spans="1:10">
      <c r="A1130" s="140" t="s">
        <v>327</v>
      </c>
      <c r="B1130" s="140" t="s">
        <v>328</v>
      </c>
      <c r="C1130" s="171">
        <v>45700</v>
      </c>
      <c r="D1130" s="172" t="s">
        <v>18</v>
      </c>
      <c r="E1130" s="140" t="s">
        <v>19</v>
      </c>
      <c r="F1130" s="140" t="s">
        <v>36</v>
      </c>
      <c r="G1130" s="140" t="s">
        <v>21</v>
      </c>
      <c r="H1130" s="140" t="s">
        <v>172</v>
      </c>
      <c r="I1130" s="140" t="s">
        <v>21</v>
      </c>
      <c r="J1130" s="174"/>
    </row>
    <row r="1131" hidden="1" customHeight="1" spans="1:10">
      <c r="A1131" s="140" t="s">
        <v>327</v>
      </c>
      <c r="B1131" s="140" t="s">
        <v>328</v>
      </c>
      <c r="C1131" s="171">
        <v>45701</v>
      </c>
      <c r="D1131" s="172" t="s">
        <v>23</v>
      </c>
      <c r="E1131" s="140" t="s">
        <v>19</v>
      </c>
      <c r="F1131" s="140" t="s">
        <v>36</v>
      </c>
      <c r="G1131" s="140" t="s">
        <v>21</v>
      </c>
      <c r="H1131" s="140" t="s">
        <v>35</v>
      </c>
      <c r="I1131" s="140" t="s">
        <v>21</v>
      </c>
      <c r="J1131" s="174"/>
    </row>
    <row r="1132" customHeight="1" spans="1:10">
      <c r="A1132" s="140" t="s">
        <v>327</v>
      </c>
      <c r="B1132" s="140" t="s">
        <v>328</v>
      </c>
      <c r="C1132" s="171">
        <v>45702</v>
      </c>
      <c r="D1132" s="172" t="s">
        <v>25</v>
      </c>
      <c r="E1132" s="140" t="s">
        <v>19</v>
      </c>
      <c r="F1132" s="140" t="s">
        <v>14</v>
      </c>
      <c r="G1132" s="176" t="s">
        <v>68</v>
      </c>
      <c r="H1132" s="140" t="s">
        <v>189</v>
      </c>
      <c r="I1132" s="140" t="s">
        <v>21</v>
      </c>
      <c r="J1132" s="174" t="s">
        <v>69</v>
      </c>
    </row>
    <row r="1133" hidden="1" customHeight="1" spans="1:10">
      <c r="A1133" s="140" t="s">
        <v>327</v>
      </c>
      <c r="B1133" s="140" t="s">
        <v>328</v>
      </c>
      <c r="C1133" s="171">
        <v>45703</v>
      </c>
      <c r="D1133" s="172" t="s">
        <v>27</v>
      </c>
      <c r="E1133" s="173" t="s">
        <v>13</v>
      </c>
      <c r="F1133" s="140" t="s">
        <v>14</v>
      </c>
      <c r="G1133" s="140" t="s">
        <v>14</v>
      </c>
      <c r="H1133" s="140" t="s">
        <v>14</v>
      </c>
      <c r="I1133" s="140" t="s">
        <v>14</v>
      </c>
      <c r="J1133" s="174"/>
    </row>
    <row r="1134" hidden="1" customHeight="1" spans="1:10">
      <c r="A1134" s="140" t="s">
        <v>327</v>
      </c>
      <c r="B1134" s="140" t="s">
        <v>328</v>
      </c>
      <c r="C1134" s="171">
        <v>45704</v>
      </c>
      <c r="D1134" s="172" t="s">
        <v>15</v>
      </c>
      <c r="E1134" s="173" t="s">
        <v>13</v>
      </c>
      <c r="F1134" s="140" t="s">
        <v>14</v>
      </c>
      <c r="G1134" s="140" t="s">
        <v>14</v>
      </c>
      <c r="H1134" s="140" t="s">
        <v>14</v>
      </c>
      <c r="I1134" s="140" t="s">
        <v>14</v>
      </c>
      <c r="J1134" s="174"/>
    </row>
    <row r="1135" hidden="1" customHeight="1" spans="1:10">
      <c r="A1135" s="140" t="s">
        <v>327</v>
      </c>
      <c r="B1135" s="140" t="s">
        <v>328</v>
      </c>
      <c r="C1135" s="171">
        <v>45705</v>
      </c>
      <c r="D1135" s="172" t="s">
        <v>16</v>
      </c>
      <c r="E1135" s="140" t="s">
        <v>19</v>
      </c>
      <c r="F1135" s="140" t="s">
        <v>20</v>
      </c>
      <c r="G1135" s="140" t="s">
        <v>21</v>
      </c>
      <c r="H1135" s="140" t="s">
        <v>50</v>
      </c>
      <c r="I1135" s="140" t="s">
        <v>21</v>
      </c>
      <c r="J1135" s="174"/>
    </row>
    <row r="1136" hidden="1" customHeight="1" spans="1:10">
      <c r="A1136" s="140" t="s">
        <v>327</v>
      </c>
      <c r="B1136" s="140" t="s">
        <v>328</v>
      </c>
      <c r="C1136" s="171">
        <v>45706</v>
      </c>
      <c r="D1136" s="172" t="s">
        <v>17</v>
      </c>
      <c r="E1136" s="140" t="s">
        <v>19</v>
      </c>
      <c r="F1136" s="140" t="s">
        <v>51</v>
      </c>
      <c r="G1136" s="140" t="s">
        <v>21</v>
      </c>
      <c r="H1136" s="140" t="s">
        <v>215</v>
      </c>
      <c r="I1136" s="140" t="s">
        <v>21</v>
      </c>
      <c r="J1136" s="174"/>
    </row>
    <row r="1137" hidden="1" customHeight="1" spans="1:10">
      <c r="A1137" s="140" t="s">
        <v>327</v>
      </c>
      <c r="B1137" s="140" t="s">
        <v>328</v>
      </c>
      <c r="C1137" s="171">
        <v>45707</v>
      </c>
      <c r="D1137" s="172" t="s">
        <v>18</v>
      </c>
      <c r="E1137" s="140" t="s">
        <v>19</v>
      </c>
      <c r="F1137" s="140" t="s">
        <v>43</v>
      </c>
      <c r="G1137" s="140" t="s">
        <v>21</v>
      </c>
      <c r="H1137" s="140" t="s">
        <v>172</v>
      </c>
      <c r="I1137" s="140" t="s">
        <v>21</v>
      </c>
      <c r="J1137" s="174"/>
    </row>
    <row r="1138" hidden="1" customHeight="1" spans="1:10">
      <c r="A1138" s="140" t="s">
        <v>327</v>
      </c>
      <c r="B1138" s="140" t="s">
        <v>328</v>
      </c>
      <c r="C1138" s="171">
        <v>45708</v>
      </c>
      <c r="D1138" s="172" t="s">
        <v>23</v>
      </c>
      <c r="E1138" s="140" t="s">
        <v>19</v>
      </c>
      <c r="F1138" s="140" t="s">
        <v>43</v>
      </c>
      <c r="G1138" s="140" t="s">
        <v>21</v>
      </c>
      <c r="H1138" s="140" t="s">
        <v>45</v>
      </c>
      <c r="I1138" s="140" t="s">
        <v>21</v>
      </c>
      <c r="J1138" s="174"/>
    </row>
    <row r="1139" hidden="1" customHeight="1" spans="1:10">
      <c r="A1139" s="140" t="s">
        <v>327</v>
      </c>
      <c r="B1139" s="140" t="s">
        <v>328</v>
      </c>
      <c r="C1139" s="171">
        <v>45709</v>
      </c>
      <c r="D1139" s="172" t="s">
        <v>25</v>
      </c>
      <c r="E1139" s="140" t="s">
        <v>19</v>
      </c>
      <c r="F1139" s="140" t="s">
        <v>209</v>
      </c>
      <c r="G1139" s="140" t="s">
        <v>21</v>
      </c>
      <c r="H1139" s="140" t="s">
        <v>161</v>
      </c>
      <c r="I1139" s="140" t="s">
        <v>21</v>
      </c>
      <c r="J1139" s="174"/>
    </row>
    <row r="1140" hidden="1" customHeight="1" spans="1:10">
      <c r="A1140" s="140" t="s">
        <v>327</v>
      </c>
      <c r="B1140" s="140" t="s">
        <v>328</v>
      </c>
      <c r="C1140" s="171">
        <v>45710</v>
      </c>
      <c r="D1140" s="172" t="s">
        <v>27</v>
      </c>
      <c r="E1140" s="173" t="s">
        <v>13</v>
      </c>
      <c r="F1140" s="140" t="s">
        <v>14</v>
      </c>
      <c r="G1140" s="140" t="s">
        <v>14</v>
      </c>
      <c r="H1140" s="140" t="s">
        <v>14</v>
      </c>
      <c r="I1140" s="140" t="s">
        <v>14</v>
      </c>
      <c r="J1140" s="174"/>
    </row>
    <row r="1141" hidden="1" customHeight="1" spans="1:10">
      <c r="A1141" s="140" t="s">
        <v>327</v>
      </c>
      <c r="B1141" s="140" t="s">
        <v>328</v>
      </c>
      <c r="C1141" s="171">
        <v>45711</v>
      </c>
      <c r="D1141" s="172" t="s">
        <v>15</v>
      </c>
      <c r="E1141" s="173" t="s">
        <v>13</v>
      </c>
      <c r="F1141" s="140" t="s">
        <v>14</v>
      </c>
      <c r="G1141" s="140" t="s">
        <v>14</v>
      </c>
      <c r="H1141" s="140" t="s">
        <v>14</v>
      </c>
      <c r="I1141" s="140" t="s">
        <v>14</v>
      </c>
      <c r="J1141" s="174"/>
    </row>
    <row r="1142" hidden="1" customHeight="1" spans="1:10">
      <c r="A1142" s="140" t="s">
        <v>327</v>
      </c>
      <c r="B1142" s="140" t="s">
        <v>328</v>
      </c>
      <c r="C1142" s="171">
        <v>45712</v>
      </c>
      <c r="D1142" s="172" t="s">
        <v>16</v>
      </c>
      <c r="E1142" s="140" t="s">
        <v>19</v>
      </c>
      <c r="F1142" s="140" t="s">
        <v>209</v>
      </c>
      <c r="G1142" s="140" t="s">
        <v>21</v>
      </c>
      <c r="H1142" s="140" t="s">
        <v>205</v>
      </c>
      <c r="I1142" s="140" t="s">
        <v>21</v>
      </c>
      <c r="J1142" s="174"/>
    </row>
    <row r="1143" hidden="1" customHeight="1" spans="1:10">
      <c r="A1143" s="140" t="s">
        <v>327</v>
      </c>
      <c r="B1143" s="140" t="s">
        <v>328</v>
      </c>
      <c r="C1143" s="171">
        <v>45713</v>
      </c>
      <c r="D1143" s="172" t="s">
        <v>17</v>
      </c>
      <c r="E1143" s="140" t="s">
        <v>19</v>
      </c>
      <c r="F1143" s="140" t="s">
        <v>51</v>
      </c>
      <c r="G1143" s="140" t="s">
        <v>21</v>
      </c>
      <c r="H1143" s="140" t="s">
        <v>178</v>
      </c>
      <c r="I1143" s="140" t="s">
        <v>21</v>
      </c>
      <c r="J1143" s="174"/>
    </row>
    <row r="1144" hidden="1" customHeight="1" spans="1:10">
      <c r="A1144" s="140" t="s">
        <v>327</v>
      </c>
      <c r="B1144" s="140" t="s">
        <v>328</v>
      </c>
      <c r="C1144" s="171">
        <v>45714</v>
      </c>
      <c r="D1144" s="172" t="s">
        <v>18</v>
      </c>
      <c r="E1144" s="140" t="s">
        <v>19</v>
      </c>
      <c r="F1144" s="140" t="s">
        <v>51</v>
      </c>
      <c r="G1144" s="140" t="s">
        <v>21</v>
      </c>
      <c r="H1144" s="140" t="s">
        <v>53</v>
      </c>
      <c r="I1144" s="140" t="s">
        <v>21</v>
      </c>
      <c r="J1144" s="174"/>
    </row>
    <row r="1145" hidden="1" customHeight="1" spans="1:10">
      <c r="A1145" s="140" t="s">
        <v>327</v>
      </c>
      <c r="B1145" s="140" t="s">
        <v>328</v>
      </c>
      <c r="C1145" s="171">
        <v>45715</v>
      </c>
      <c r="D1145" s="172" t="s">
        <v>23</v>
      </c>
      <c r="E1145" s="140" t="s">
        <v>19</v>
      </c>
      <c r="F1145" s="140" t="s">
        <v>20</v>
      </c>
      <c r="G1145" s="140" t="s">
        <v>21</v>
      </c>
      <c r="H1145" s="140" t="s">
        <v>45</v>
      </c>
      <c r="I1145" s="140" t="s">
        <v>21</v>
      </c>
      <c r="J1145" s="174"/>
    </row>
    <row r="1146" hidden="1" customHeight="1" spans="1:10">
      <c r="A1146" s="140" t="s">
        <v>327</v>
      </c>
      <c r="B1146" s="140" t="s">
        <v>328</v>
      </c>
      <c r="C1146" s="171">
        <v>45716</v>
      </c>
      <c r="D1146" s="172" t="s">
        <v>25</v>
      </c>
      <c r="E1146" s="140" t="s">
        <v>19</v>
      </c>
      <c r="F1146" s="140" t="s">
        <v>51</v>
      </c>
      <c r="G1146" s="140" t="s">
        <v>21</v>
      </c>
      <c r="H1146" s="140" t="s">
        <v>161</v>
      </c>
      <c r="I1146" s="140" t="s">
        <v>21</v>
      </c>
      <c r="J1146" s="174"/>
    </row>
    <row r="1147" hidden="1" customHeight="1" spans="1:10">
      <c r="A1147" s="140" t="s">
        <v>329</v>
      </c>
      <c r="B1147" s="140" t="s">
        <v>330</v>
      </c>
      <c r="C1147" s="171">
        <v>45689</v>
      </c>
      <c r="D1147" s="172" t="s">
        <v>12</v>
      </c>
      <c r="E1147" s="173" t="s">
        <v>13</v>
      </c>
      <c r="F1147" s="140" t="s">
        <v>14</v>
      </c>
      <c r="G1147" s="140" t="s">
        <v>14</v>
      </c>
      <c r="H1147" s="140" t="s">
        <v>14</v>
      </c>
      <c r="I1147" s="140" t="s">
        <v>14</v>
      </c>
      <c r="J1147" s="174"/>
    </row>
    <row r="1148" hidden="1" customHeight="1" spans="1:10">
      <c r="A1148" s="140" t="s">
        <v>329</v>
      </c>
      <c r="B1148" s="140" t="s">
        <v>330</v>
      </c>
      <c r="C1148" s="171">
        <v>45690</v>
      </c>
      <c r="D1148" s="172" t="s">
        <v>15</v>
      </c>
      <c r="E1148" s="173" t="s">
        <v>13</v>
      </c>
      <c r="F1148" s="140" t="s">
        <v>14</v>
      </c>
      <c r="G1148" s="140" t="s">
        <v>14</v>
      </c>
      <c r="H1148" s="140" t="s">
        <v>14</v>
      </c>
      <c r="I1148" s="140" t="s">
        <v>14</v>
      </c>
      <c r="J1148" s="174"/>
    </row>
    <row r="1149" hidden="1" customHeight="1" spans="1:10">
      <c r="A1149" s="140" t="s">
        <v>329</v>
      </c>
      <c r="B1149" s="140" t="s">
        <v>330</v>
      </c>
      <c r="C1149" s="171">
        <v>45691</v>
      </c>
      <c r="D1149" s="172" t="s">
        <v>16</v>
      </c>
      <c r="E1149" s="173" t="s">
        <v>13</v>
      </c>
      <c r="F1149" s="140" t="s">
        <v>14</v>
      </c>
      <c r="G1149" s="140" t="s">
        <v>14</v>
      </c>
      <c r="H1149" s="140" t="s">
        <v>14</v>
      </c>
      <c r="I1149" s="140" t="s">
        <v>14</v>
      </c>
      <c r="J1149" s="174"/>
    </row>
    <row r="1150" hidden="1" customHeight="1" spans="1:10">
      <c r="A1150" s="140" t="s">
        <v>329</v>
      </c>
      <c r="B1150" s="140" t="s">
        <v>330</v>
      </c>
      <c r="C1150" s="171">
        <v>45692</v>
      </c>
      <c r="D1150" s="172" t="s">
        <v>17</v>
      </c>
      <c r="E1150" s="173" t="s">
        <v>13</v>
      </c>
      <c r="F1150" s="140" t="s">
        <v>14</v>
      </c>
      <c r="G1150" s="140" t="s">
        <v>14</v>
      </c>
      <c r="H1150" s="140" t="s">
        <v>14</v>
      </c>
      <c r="I1150" s="140" t="s">
        <v>14</v>
      </c>
      <c r="J1150" s="174"/>
    </row>
    <row r="1151" customHeight="1" spans="1:10">
      <c r="A1151" s="140" t="s">
        <v>329</v>
      </c>
      <c r="B1151" s="140" t="s">
        <v>330</v>
      </c>
      <c r="C1151" s="171">
        <v>45693</v>
      </c>
      <c r="D1151" s="172" t="s">
        <v>18</v>
      </c>
      <c r="E1151" s="140" t="s">
        <v>19</v>
      </c>
      <c r="F1151" s="140" t="s">
        <v>188</v>
      </c>
      <c r="G1151" s="140" t="s">
        <v>21</v>
      </c>
      <c r="H1151" s="140" t="s">
        <v>14</v>
      </c>
      <c r="I1151" s="176" t="s">
        <v>68</v>
      </c>
      <c r="J1151" s="174" t="s">
        <v>69</v>
      </c>
    </row>
    <row r="1152" hidden="1" customHeight="1" spans="1:10">
      <c r="A1152" s="140" t="s">
        <v>329</v>
      </c>
      <c r="B1152" s="140" t="s">
        <v>330</v>
      </c>
      <c r="C1152" s="171">
        <v>45694</v>
      </c>
      <c r="D1152" s="172" t="s">
        <v>23</v>
      </c>
      <c r="E1152" s="140" t="s">
        <v>19</v>
      </c>
      <c r="F1152" s="140" t="s">
        <v>193</v>
      </c>
      <c r="G1152" s="140" t="s">
        <v>21</v>
      </c>
      <c r="H1152" s="140" t="s">
        <v>163</v>
      </c>
      <c r="I1152" s="140" t="s">
        <v>21</v>
      </c>
      <c r="J1152" s="174"/>
    </row>
    <row r="1153" customHeight="1" spans="1:10">
      <c r="A1153" s="140" t="s">
        <v>329</v>
      </c>
      <c r="B1153" s="140" t="s">
        <v>330</v>
      </c>
      <c r="C1153" s="171">
        <v>45695</v>
      </c>
      <c r="D1153" s="172" t="s">
        <v>25</v>
      </c>
      <c r="E1153" s="140" t="s">
        <v>19</v>
      </c>
      <c r="F1153" s="140" t="s">
        <v>46</v>
      </c>
      <c r="G1153" s="140" t="s">
        <v>21</v>
      </c>
      <c r="H1153" s="140" t="s">
        <v>14</v>
      </c>
      <c r="I1153" s="176" t="s">
        <v>68</v>
      </c>
      <c r="J1153" s="174" t="s">
        <v>69</v>
      </c>
    </row>
    <row r="1154" hidden="1" customHeight="1" spans="1:10">
      <c r="A1154" s="140" t="s">
        <v>329</v>
      </c>
      <c r="B1154" s="140" t="s">
        <v>330</v>
      </c>
      <c r="C1154" s="171">
        <v>45696</v>
      </c>
      <c r="D1154" s="172" t="s">
        <v>27</v>
      </c>
      <c r="E1154" s="140" t="s">
        <v>19</v>
      </c>
      <c r="F1154" s="140" t="s">
        <v>51</v>
      </c>
      <c r="G1154" s="140" t="s">
        <v>21</v>
      </c>
      <c r="H1154" s="140" t="s">
        <v>170</v>
      </c>
      <c r="I1154" s="140" t="s">
        <v>21</v>
      </c>
      <c r="J1154" s="174"/>
    </row>
    <row r="1155" hidden="1" customHeight="1" spans="1:10">
      <c r="A1155" s="140" t="s">
        <v>329</v>
      </c>
      <c r="B1155" s="140" t="s">
        <v>330</v>
      </c>
      <c r="C1155" s="171">
        <v>45697</v>
      </c>
      <c r="D1155" s="172" t="s">
        <v>15</v>
      </c>
      <c r="E1155" s="173" t="s">
        <v>13</v>
      </c>
      <c r="F1155" s="140" t="s">
        <v>14</v>
      </c>
      <c r="G1155" s="140" t="s">
        <v>14</v>
      </c>
      <c r="H1155" s="140" t="s">
        <v>14</v>
      </c>
      <c r="I1155" s="140" t="s">
        <v>14</v>
      </c>
      <c r="J1155" s="174"/>
    </row>
    <row r="1156" customHeight="1" spans="1:10">
      <c r="A1156" s="140" t="s">
        <v>329</v>
      </c>
      <c r="B1156" s="140" t="s">
        <v>330</v>
      </c>
      <c r="C1156" s="171">
        <v>45698</v>
      </c>
      <c r="D1156" s="172" t="s">
        <v>16</v>
      </c>
      <c r="E1156" s="140" t="s">
        <v>19</v>
      </c>
      <c r="F1156" s="140" t="s">
        <v>14</v>
      </c>
      <c r="G1156" s="176" t="s">
        <v>68</v>
      </c>
      <c r="H1156" s="140" t="s">
        <v>14</v>
      </c>
      <c r="I1156" s="176" t="s">
        <v>68</v>
      </c>
      <c r="J1156" s="174" t="s">
        <v>234</v>
      </c>
    </row>
    <row r="1157" hidden="1" customHeight="1" spans="1:10">
      <c r="A1157" s="140" t="s">
        <v>329</v>
      </c>
      <c r="B1157" s="140" t="s">
        <v>330</v>
      </c>
      <c r="C1157" s="171">
        <v>45699</v>
      </c>
      <c r="D1157" s="172" t="s">
        <v>17</v>
      </c>
      <c r="E1157" s="140" t="s">
        <v>19</v>
      </c>
      <c r="F1157" s="140" t="s">
        <v>157</v>
      </c>
      <c r="G1157" s="140" t="s">
        <v>21</v>
      </c>
      <c r="H1157" s="140" t="s">
        <v>170</v>
      </c>
      <c r="I1157" s="140" t="s">
        <v>21</v>
      </c>
      <c r="J1157" s="174"/>
    </row>
    <row r="1158" hidden="1" customHeight="1" spans="1:10">
      <c r="A1158" s="140" t="s">
        <v>329</v>
      </c>
      <c r="B1158" s="140" t="s">
        <v>330</v>
      </c>
      <c r="C1158" s="171">
        <v>45700</v>
      </c>
      <c r="D1158" s="172" t="s">
        <v>18</v>
      </c>
      <c r="E1158" s="140" t="s">
        <v>19</v>
      </c>
      <c r="F1158" s="140" t="s">
        <v>33</v>
      </c>
      <c r="G1158" s="140" t="s">
        <v>21</v>
      </c>
      <c r="H1158" s="140" t="s">
        <v>53</v>
      </c>
      <c r="I1158" s="140" t="s">
        <v>21</v>
      </c>
      <c r="J1158" s="174"/>
    </row>
    <row r="1159" hidden="1" customHeight="1" spans="1:10">
      <c r="A1159" s="140" t="s">
        <v>329</v>
      </c>
      <c r="B1159" s="140" t="s">
        <v>330</v>
      </c>
      <c r="C1159" s="171">
        <v>45701</v>
      </c>
      <c r="D1159" s="172" t="s">
        <v>23</v>
      </c>
      <c r="E1159" s="140" t="s">
        <v>19</v>
      </c>
      <c r="F1159" s="140" t="s">
        <v>43</v>
      </c>
      <c r="G1159" s="140" t="s">
        <v>21</v>
      </c>
      <c r="H1159" s="140" t="s">
        <v>45</v>
      </c>
      <c r="I1159" s="140" t="s">
        <v>21</v>
      </c>
      <c r="J1159" s="174"/>
    </row>
    <row r="1160" hidden="1" customHeight="1" spans="1:10">
      <c r="A1160" s="140" t="s">
        <v>329</v>
      </c>
      <c r="B1160" s="140" t="s">
        <v>330</v>
      </c>
      <c r="C1160" s="171">
        <v>45702</v>
      </c>
      <c r="D1160" s="172" t="s">
        <v>25</v>
      </c>
      <c r="E1160" s="140" t="s">
        <v>19</v>
      </c>
      <c r="F1160" s="140" t="s">
        <v>33</v>
      </c>
      <c r="G1160" s="140" t="s">
        <v>21</v>
      </c>
      <c r="H1160" s="140" t="s">
        <v>331</v>
      </c>
      <c r="I1160" s="140" t="s">
        <v>21</v>
      </c>
      <c r="J1160" s="174"/>
    </row>
    <row r="1161" hidden="1" customHeight="1" spans="1:10">
      <c r="A1161" s="140" t="s">
        <v>329</v>
      </c>
      <c r="B1161" s="140" t="s">
        <v>330</v>
      </c>
      <c r="C1161" s="171">
        <v>45703</v>
      </c>
      <c r="D1161" s="172" t="s">
        <v>27</v>
      </c>
      <c r="E1161" s="173" t="s">
        <v>13</v>
      </c>
      <c r="F1161" s="140" t="s">
        <v>14</v>
      </c>
      <c r="G1161" s="140" t="s">
        <v>14</v>
      </c>
      <c r="H1161" s="140" t="s">
        <v>14</v>
      </c>
      <c r="I1161" s="140" t="s">
        <v>14</v>
      </c>
      <c r="J1161" s="174"/>
    </row>
    <row r="1162" hidden="1" customHeight="1" spans="1:10">
      <c r="A1162" s="140" t="s">
        <v>329</v>
      </c>
      <c r="B1162" s="140" t="s">
        <v>330</v>
      </c>
      <c r="C1162" s="171">
        <v>45704</v>
      </c>
      <c r="D1162" s="172" t="s">
        <v>15</v>
      </c>
      <c r="E1162" s="173" t="s">
        <v>13</v>
      </c>
      <c r="F1162" s="140" t="s">
        <v>14</v>
      </c>
      <c r="G1162" s="140" t="s">
        <v>14</v>
      </c>
      <c r="H1162" s="140" t="s">
        <v>14</v>
      </c>
      <c r="I1162" s="140" t="s">
        <v>14</v>
      </c>
      <c r="J1162" s="174"/>
    </row>
    <row r="1163" hidden="1" customHeight="1" spans="1:10">
      <c r="A1163" s="140" t="s">
        <v>329</v>
      </c>
      <c r="B1163" s="140" t="s">
        <v>330</v>
      </c>
      <c r="C1163" s="171">
        <v>45705</v>
      </c>
      <c r="D1163" s="172" t="s">
        <v>16</v>
      </c>
      <c r="E1163" s="140" t="s">
        <v>19</v>
      </c>
      <c r="F1163" s="140" t="s">
        <v>33</v>
      </c>
      <c r="G1163" s="140" t="s">
        <v>21</v>
      </c>
      <c r="H1163" s="140" t="s">
        <v>78</v>
      </c>
      <c r="I1163" s="140" t="s">
        <v>21</v>
      </c>
      <c r="J1163" s="174"/>
    </row>
    <row r="1164" hidden="1" customHeight="1" spans="1:10">
      <c r="A1164" s="140" t="s">
        <v>329</v>
      </c>
      <c r="B1164" s="140" t="s">
        <v>330</v>
      </c>
      <c r="C1164" s="171">
        <v>45706</v>
      </c>
      <c r="D1164" s="172" t="s">
        <v>17</v>
      </c>
      <c r="E1164" s="140" t="s">
        <v>19</v>
      </c>
      <c r="F1164" s="140" t="s">
        <v>33</v>
      </c>
      <c r="G1164" s="140" t="s">
        <v>21</v>
      </c>
      <c r="H1164" s="140" t="s">
        <v>213</v>
      </c>
      <c r="I1164" s="140" t="s">
        <v>21</v>
      </c>
      <c r="J1164" s="174"/>
    </row>
    <row r="1165" hidden="1" customHeight="1" spans="1:10">
      <c r="A1165" s="140" t="s">
        <v>329</v>
      </c>
      <c r="B1165" s="140" t="s">
        <v>330</v>
      </c>
      <c r="C1165" s="171">
        <v>45707</v>
      </c>
      <c r="D1165" s="172" t="s">
        <v>18</v>
      </c>
      <c r="E1165" s="140" t="s">
        <v>19</v>
      </c>
      <c r="F1165" s="140" t="s">
        <v>157</v>
      </c>
      <c r="G1165" s="140" t="s">
        <v>21</v>
      </c>
      <c r="H1165" s="140" t="s">
        <v>332</v>
      </c>
      <c r="I1165" s="140" t="s">
        <v>21</v>
      </c>
      <c r="J1165" s="174"/>
    </row>
    <row r="1166" hidden="1" customHeight="1" spans="1:10">
      <c r="A1166" s="140" t="s">
        <v>329</v>
      </c>
      <c r="B1166" s="140" t="s">
        <v>330</v>
      </c>
      <c r="C1166" s="171">
        <v>45708</v>
      </c>
      <c r="D1166" s="172" t="s">
        <v>23</v>
      </c>
      <c r="E1166" s="140" t="s">
        <v>19</v>
      </c>
      <c r="F1166" s="140" t="s">
        <v>33</v>
      </c>
      <c r="G1166" s="140" t="s">
        <v>21</v>
      </c>
      <c r="H1166" s="140" t="s">
        <v>78</v>
      </c>
      <c r="I1166" s="140" t="s">
        <v>21</v>
      </c>
      <c r="J1166" s="174"/>
    </row>
    <row r="1167" hidden="1" customHeight="1" spans="1:10">
      <c r="A1167" s="140" t="s">
        <v>329</v>
      </c>
      <c r="B1167" s="140" t="s">
        <v>330</v>
      </c>
      <c r="C1167" s="171">
        <v>45709</v>
      </c>
      <c r="D1167" s="172" t="s">
        <v>25</v>
      </c>
      <c r="E1167" s="140" t="s">
        <v>19</v>
      </c>
      <c r="F1167" s="140" t="s">
        <v>46</v>
      </c>
      <c r="G1167" s="140" t="s">
        <v>21</v>
      </c>
      <c r="H1167" s="140" t="s">
        <v>333</v>
      </c>
      <c r="I1167" s="140" t="s">
        <v>21</v>
      </c>
      <c r="J1167" s="174"/>
    </row>
    <row r="1168" hidden="1" customHeight="1" spans="1:10">
      <c r="A1168" s="140" t="s">
        <v>329</v>
      </c>
      <c r="B1168" s="140" t="s">
        <v>330</v>
      </c>
      <c r="C1168" s="171">
        <v>45710</v>
      </c>
      <c r="D1168" s="172" t="s">
        <v>27</v>
      </c>
      <c r="E1168" s="173" t="s">
        <v>13</v>
      </c>
      <c r="F1168" s="140" t="s">
        <v>334</v>
      </c>
      <c r="G1168" s="140" t="s">
        <v>21</v>
      </c>
      <c r="H1168" s="140" t="s">
        <v>14</v>
      </c>
      <c r="I1168" s="140" t="s">
        <v>14</v>
      </c>
      <c r="J1168" s="174"/>
    </row>
    <row r="1169" hidden="1" customHeight="1" spans="1:10">
      <c r="A1169" s="140" t="s">
        <v>329</v>
      </c>
      <c r="B1169" s="140" t="s">
        <v>330</v>
      </c>
      <c r="C1169" s="171">
        <v>45711</v>
      </c>
      <c r="D1169" s="172" t="s">
        <v>15</v>
      </c>
      <c r="E1169" s="173" t="s">
        <v>13</v>
      </c>
      <c r="F1169" s="140" t="s">
        <v>14</v>
      </c>
      <c r="G1169" s="140" t="s">
        <v>14</v>
      </c>
      <c r="H1169" s="140" t="s">
        <v>14</v>
      </c>
      <c r="I1169" s="140" t="s">
        <v>14</v>
      </c>
      <c r="J1169" s="174"/>
    </row>
    <row r="1170" hidden="1" customHeight="1" spans="1:10">
      <c r="A1170" s="140" t="s">
        <v>329</v>
      </c>
      <c r="B1170" s="140" t="s">
        <v>330</v>
      </c>
      <c r="C1170" s="171">
        <v>45712</v>
      </c>
      <c r="D1170" s="172" t="s">
        <v>16</v>
      </c>
      <c r="E1170" s="140" t="s">
        <v>19</v>
      </c>
      <c r="F1170" s="140" t="s">
        <v>154</v>
      </c>
      <c r="G1170" s="140" t="s">
        <v>21</v>
      </c>
      <c r="H1170" s="140" t="s">
        <v>240</v>
      </c>
      <c r="I1170" s="140" t="s">
        <v>21</v>
      </c>
      <c r="J1170" s="174"/>
    </row>
    <row r="1171" customHeight="1" spans="1:10">
      <c r="A1171" s="140" t="s">
        <v>329</v>
      </c>
      <c r="B1171" s="140" t="s">
        <v>330</v>
      </c>
      <c r="C1171" s="171">
        <v>45713</v>
      </c>
      <c r="D1171" s="172" t="s">
        <v>17</v>
      </c>
      <c r="E1171" s="140" t="s">
        <v>19</v>
      </c>
      <c r="F1171" s="140" t="s">
        <v>14</v>
      </c>
      <c r="G1171" s="176" t="s">
        <v>68</v>
      </c>
      <c r="H1171" s="140" t="s">
        <v>206</v>
      </c>
      <c r="I1171" s="140" t="s">
        <v>21</v>
      </c>
      <c r="J1171" s="174" t="s">
        <v>69</v>
      </c>
    </row>
    <row r="1172" hidden="1" customHeight="1" spans="1:10">
      <c r="A1172" s="140" t="s">
        <v>329</v>
      </c>
      <c r="B1172" s="140" t="s">
        <v>330</v>
      </c>
      <c r="C1172" s="171">
        <v>45714</v>
      </c>
      <c r="D1172" s="172" t="s">
        <v>18</v>
      </c>
      <c r="E1172" s="140" t="s">
        <v>19</v>
      </c>
      <c r="F1172" s="140" t="s">
        <v>43</v>
      </c>
      <c r="G1172" s="140" t="s">
        <v>21</v>
      </c>
      <c r="H1172" s="140" t="s">
        <v>213</v>
      </c>
      <c r="I1172" s="140" t="s">
        <v>21</v>
      </c>
      <c r="J1172" s="174"/>
    </row>
    <row r="1173" hidden="1" customHeight="1" spans="1:10">
      <c r="A1173" s="140" t="s">
        <v>329</v>
      </c>
      <c r="B1173" s="140" t="s">
        <v>330</v>
      </c>
      <c r="C1173" s="171">
        <v>45715</v>
      </c>
      <c r="D1173" s="172" t="s">
        <v>23</v>
      </c>
      <c r="E1173" s="140" t="s">
        <v>19</v>
      </c>
      <c r="F1173" s="140" t="s">
        <v>36</v>
      </c>
      <c r="G1173" s="140" t="s">
        <v>21</v>
      </c>
      <c r="H1173" s="140" t="s">
        <v>116</v>
      </c>
      <c r="I1173" s="140" t="s">
        <v>21</v>
      </c>
      <c r="J1173" s="174"/>
    </row>
    <row r="1174" hidden="1" customHeight="1" spans="1:10">
      <c r="A1174" s="140" t="s">
        <v>329</v>
      </c>
      <c r="B1174" s="140" t="s">
        <v>330</v>
      </c>
      <c r="C1174" s="171">
        <v>45716</v>
      </c>
      <c r="D1174" s="172" t="s">
        <v>25</v>
      </c>
      <c r="E1174" s="140" t="s">
        <v>19</v>
      </c>
      <c r="F1174" s="140" t="s">
        <v>209</v>
      </c>
      <c r="G1174" s="140" t="s">
        <v>21</v>
      </c>
      <c r="H1174" s="140" t="s">
        <v>184</v>
      </c>
      <c r="I1174" s="140" t="s">
        <v>21</v>
      </c>
      <c r="J1174" s="174"/>
    </row>
    <row r="1175" hidden="1" customHeight="1" spans="1:10">
      <c r="A1175" s="140" t="s">
        <v>335</v>
      </c>
      <c r="B1175" s="140" t="s">
        <v>336</v>
      </c>
      <c r="C1175" s="171">
        <v>45689</v>
      </c>
      <c r="D1175" s="172" t="s">
        <v>12</v>
      </c>
      <c r="E1175" s="173" t="s">
        <v>13</v>
      </c>
      <c r="F1175" s="140" t="s">
        <v>14</v>
      </c>
      <c r="G1175" s="140" t="s">
        <v>14</v>
      </c>
      <c r="H1175" s="140" t="s">
        <v>14</v>
      </c>
      <c r="I1175" s="140" t="s">
        <v>14</v>
      </c>
      <c r="J1175" s="174"/>
    </row>
    <row r="1176" hidden="1" customHeight="1" spans="1:10">
      <c r="A1176" s="140" t="s">
        <v>335</v>
      </c>
      <c r="B1176" s="140" t="s">
        <v>336</v>
      </c>
      <c r="C1176" s="171">
        <v>45690</v>
      </c>
      <c r="D1176" s="172" t="s">
        <v>15</v>
      </c>
      <c r="E1176" s="173" t="s">
        <v>13</v>
      </c>
      <c r="F1176" s="140" t="s">
        <v>14</v>
      </c>
      <c r="G1176" s="140" t="s">
        <v>14</v>
      </c>
      <c r="H1176" s="140" t="s">
        <v>14</v>
      </c>
      <c r="I1176" s="140" t="s">
        <v>14</v>
      </c>
      <c r="J1176" s="174"/>
    </row>
    <row r="1177" hidden="1" customHeight="1" spans="1:10">
      <c r="A1177" s="140" t="s">
        <v>335</v>
      </c>
      <c r="B1177" s="140" t="s">
        <v>336</v>
      </c>
      <c r="C1177" s="171">
        <v>45691</v>
      </c>
      <c r="D1177" s="172" t="s">
        <v>16</v>
      </c>
      <c r="E1177" s="173" t="s">
        <v>13</v>
      </c>
      <c r="F1177" s="140" t="s">
        <v>14</v>
      </c>
      <c r="G1177" s="140" t="s">
        <v>14</v>
      </c>
      <c r="H1177" s="140" t="s">
        <v>14</v>
      </c>
      <c r="I1177" s="140" t="s">
        <v>14</v>
      </c>
      <c r="J1177" s="174"/>
    </row>
    <row r="1178" hidden="1" customHeight="1" spans="1:10">
      <c r="A1178" s="140" t="s">
        <v>335</v>
      </c>
      <c r="B1178" s="140" t="s">
        <v>336</v>
      </c>
      <c r="C1178" s="171">
        <v>45692</v>
      </c>
      <c r="D1178" s="172" t="s">
        <v>17</v>
      </c>
      <c r="E1178" s="173" t="s">
        <v>13</v>
      </c>
      <c r="F1178" s="140" t="s">
        <v>14</v>
      </c>
      <c r="G1178" s="140" t="s">
        <v>14</v>
      </c>
      <c r="H1178" s="140" t="s">
        <v>14</v>
      </c>
      <c r="I1178" s="140" t="s">
        <v>14</v>
      </c>
      <c r="J1178" s="174"/>
    </row>
    <row r="1179" hidden="1" customHeight="1" spans="1:10">
      <c r="A1179" s="140" t="s">
        <v>335</v>
      </c>
      <c r="B1179" s="140" t="s">
        <v>336</v>
      </c>
      <c r="C1179" s="171">
        <v>45693</v>
      </c>
      <c r="D1179" s="172" t="s">
        <v>18</v>
      </c>
      <c r="E1179" s="140" t="s">
        <v>19</v>
      </c>
      <c r="F1179" s="140" t="s">
        <v>154</v>
      </c>
      <c r="G1179" s="140" t="s">
        <v>21</v>
      </c>
      <c r="H1179" s="140" t="s">
        <v>174</v>
      </c>
      <c r="I1179" s="140" t="s">
        <v>21</v>
      </c>
      <c r="J1179" s="174"/>
    </row>
    <row r="1180" hidden="1" customHeight="1" spans="1:10">
      <c r="A1180" s="140" t="s">
        <v>335</v>
      </c>
      <c r="B1180" s="140" t="s">
        <v>336</v>
      </c>
      <c r="C1180" s="171">
        <v>45694</v>
      </c>
      <c r="D1180" s="172" t="s">
        <v>23</v>
      </c>
      <c r="E1180" s="140" t="s">
        <v>19</v>
      </c>
      <c r="F1180" s="140" t="s">
        <v>157</v>
      </c>
      <c r="G1180" s="140" t="s">
        <v>21</v>
      </c>
      <c r="H1180" s="140" t="s">
        <v>45</v>
      </c>
      <c r="I1180" s="140" t="s">
        <v>21</v>
      </c>
      <c r="J1180" s="174"/>
    </row>
    <row r="1181" hidden="1" customHeight="1" spans="1:10">
      <c r="A1181" s="140" t="s">
        <v>335</v>
      </c>
      <c r="B1181" s="140" t="s">
        <v>336</v>
      </c>
      <c r="C1181" s="171">
        <v>45695</v>
      </c>
      <c r="D1181" s="172" t="s">
        <v>25</v>
      </c>
      <c r="E1181" s="140" t="s">
        <v>19</v>
      </c>
      <c r="F1181" s="140" t="s">
        <v>157</v>
      </c>
      <c r="G1181" s="140" t="s">
        <v>21</v>
      </c>
      <c r="H1181" s="140" t="s">
        <v>235</v>
      </c>
      <c r="I1181" s="140" t="s">
        <v>21</v>
      </c>
      <c r="J1181" s="174"/>
    </row>
    <row r="1182" hidden="1" customHeight="1" spans="1:10">
      <c r="A1182" s="140" t="s">
        <v>335</v>
      </c>
      <c r="B1182" s="140" t="s">
        <v>336</v>
      </c>
      <c r="C1182" s="171">
        <v>45696</v>
      </c>
      <c r="D1182" s="172" t="s">
        <v>27</v>
      </c>
      <c r="E1182" s="140" t="s">
        <v>19</v>
      </c>
      <c r="F1182" s="140" t="s">
        <v>51</v>
      </c>
      <c r="G1182" s="140" t="s">
        <v>21</v>
      </c>
      <c r="H1182" s="140" t="s">
        <v>175</v>
      </c>
      <c r="I1182" s="140" t="s">
        <v>21</v>
      </c>
      <c r="J1182" s="174"/>
    </row>
    <row r="1183" hidden="1" customHeight="1" spans="1:10">
      <c r="A1183" s="140" t="s">
        <v>335</v>
      </c>
      <c r="B1183" s="140" t="s">
        <v>336</v>
      </c>
      <c r="C1183" s="171">
        <v>45697</v>
      </c>
      <c r="D1183" s="172" t="s">
        <v>15</v>
      </c>
      <c r="E1183" s="173" t="s">
        <v>13</v>
      </c>
      <c r="F1183" s="140" t="s">
        <v>14</v>
      </c>
      <c r="G1183" s="140" t="s">
        <v>14</v>
      </c>
      <c r="H1183" s="140" t="s">
        <v>14</v>
      </c>
      <c r="I1183" s="140" t="s">
        <v>14</v>
      </c>
      <c r="J1183" s="174"/>
    </row>
    <row r="1184" hidden="1" customHeight="1" spans="1:10">
      <c r="A1184" s="140" t="s">
        <v>335</v>
      </c>
      <c r="B1184" s="140" t="s">
        <v>336</v>
      </c>
      <c r="C1184" s="171">
        <v>45698</v>
      </c>
      <c r="D1184" s="172" t="s">
        <v>16</v>
      </c>
      <c r="E1184" s="140" t="s">
        <v>19</v>
      </c>
      <c r="F1184" s="140" t="s">
        <v>33</v>
      </c>
      <c r="G1184" s="140" t="s">
        <v>21</v>
      </c>
      <c r="H1184" s="140" t="s">
        <v>45</v>
      </c>
      <c r="I1184" s="140" t="s">
        <v>21</v>
      </c>
      <c r="J1184" s="174"/>
    </row>
    <row r="1185" hidden="1" customHeight="1" spans="1:10">
      <c r="A1185" s="140" t="s">
        <v>335</v>
      </c>
      <c r="B1185" s="140" t="s">
        <v>336</v>
      </c>
      <c r="C1185" s="171">
        <v>45699</v>
      </c>
      <c r="D1185" s="172" t="s">
        <v>17</v>
      </c>
      <c r="E1185" s="140" t="s">
        <v>19</v>
      </c>
      <c r="F1185" s="140" t="s">
        <v>157</v>
      </c>
      <c r="G1185" s="140" t="s">
        <v>21</v>
      </c>
      <c r="H1185" s="140" t="s">
        <v>172</v>
      </c>
      <c r="I1185" s="140" t="s">
        <v>21</v>
      </c>
      <c r="J1185" s="174"/>
    </row>
    <row r="1186" hidden="1" customHeight="1" spans="1:10">
      <c r="A1186" s="140" t="s">
        <v>335</v>
      </c>
      <c r="B1186" s="140" t="s">
        <v>336</v>
      </c>
      <c r="C1186" s="171">
        <v>45700</v>
      </c>
      <c r="D1186" s="172" t="s">
        <v>18</v>
      </c>
      <c r="E1186" s="140" t="s">
        <v>19</v>
      </c>
      <c r="F1186" s="140" t="s">
        <v>33</v>
      </c>
      <c r="G1186" s="140" t="s">
        <v>21</v>
      </c>
      <c r="H1186" s="140" t="s">
        <v>184</v>
      </c>
      <c r="I1186" s="140" t="s">
        <v>21</v>
      </c>
      <c r="J1186" s="174"/>
    </row>
    <row r="1187" hidden="1" customHeight="1" spans="1:10">
      <c r="A1187" s="140" t="s">
        <v>335</v>
      </c>
      <c r="B1187" s="140" t="s">
        <v>336</v>
      </c>
      <c r="C1187" s="171">
        <v>45701</v>
      </c>
      <c r="D1187" s="172" t="s">
        <v>23</v>
      </c>
      <c r="E1187" s="140" t="s">
        <v>19</v>
      </c>
      <c r="F1187" s="140" t="s">
        <v>51</v>
      </c>
      <c r="G1187" s="140" t="s">
        <v>21</v>
      </c>
      <c r="H1187" s="140" t="s">
        <v>73</v>
      </c>
      <c r="I1187" s="140" t="s">
        <v>21</v>
      </c>
      <c r="J1187" s="174"/>
    </row>
    <row r="1188" hidden="1" customHeight="1" spans="1:10">
      <c r="A1188" s="140" t="s">
        <v>335</v>
      </c>
      <c r="B1188" s="140" t="s">
        <v>336</v>
      </c>
      <c r="C1188" s="171">
        <v>45702</v>
      </c>
      <c r="D1188" s="172" t="s">
        <v>25</v>
      </c>
      <c r="E1188" s="140" t="s">
        <v>19</v>
      </c>
      <c r="F1188" s="140" t="s">
        <v>157</v>
      </c>
      <c r="G1188" s="140" t="s">
        <v>21</v>
      </c>
      <c r="H1188" s="140" t="s">
        <v>178</v>
      </c>
      <c r="I1188" s="140" t="s">
        <v>21</v>
      </c>
      <c r="J1188" s="174"/>
    </row>
    <row r="1189" hidden="1" customHeight="1" spans="1:10">
      <c r="A1189" s="140" t="s">
        <v>335</v>
      </c>
      <c r="B1189" s="140" t="s">
        <v>336</v>
      </c>
      <c r="C1189" s="171">
        <v>45703</v>
      </c>
      <c r="D1189" s="172" t="s">
        <v>27</v>
      </c>
      <c r="E1189" s="173" t="s">
        <v>13</v>
      </c>
      <c r="F1189" s="140" t="s">
        <v>14</v>
      </c>
      <c r="G1189" s="140" t="s">
        <v>14</v>
      </c>
      <c r="H1189" s="140" t="s">
        <v>14</v>
      </c>
      <c r="I1189" s="140" t="s">
        <v>14</v>
      </c>
      <c r="J1189" s="174"/>
    </row>
    <row r="1190" hidden="1" customHeight="1" spans="1:10">
      <c r="A1190" s="140" t="s">
        <v>335</v>
      </c>
      <c r="B1190" s="140" t="s">
        <v>336</v>
      </c>
      <c r="C1190" s="171">
        <v>45704</v>
      </c>
      <c r="D1190" s="172" t="s">
        <v>15</v>
      </c>
      <c r="E1190" s="173" t="s">
        <v>13</v>
      </c>
      <c r="F1190" s="140" t="s">
        <v>14</v>
      </c>
      <c r="G1190" s="140" t="s">
        <v>14</v>
      </c>
      <c r="H1190" s="140" t="s">
        <v>14</v>
      </c>
      <c r="I1190" s="140" t="s">
        <v>14</v>
      </c>
      <c r="J1190" s="174"/>
    </row>
    <row r="1191" hidden="1" customHeight="1" spans="1:10">
      <c r="A1191" s="140" t="s">
        <v>335</v>
      </c>
      <c r="B1191" s="140" t="s">
        <v>336</v>
      </c>
      <c r="C1191" s="171">
        <v>45705</v>
      </c>
      <c r="D1191" s="172" t="s">
        <v>16</v>
      </c>
      <c r="E1191" s="140" t="s">
        <v>19</v>
      </c>
      <c r="F1191" s="140" t="s">
        <v>157</v>
      </c>
      <c r="G1191" s="140" t="s">
        <v>21</v>
      </c>
      <c r="H1191" s="140" t="s">
        <v>35</v>
      </c>
      <c r="I1191" s="140" t="s">
        <v>21</v>
      </c>
      <c r="J1191" s="174"/>
    </row>
    <row r="1192" hidden="1" customHeight="1" spans="1:10">
      <c r="A1192" s="140" t="s">
        <v>335</v>
      </c>
      <c r="B1192" s="140" t="s">
        <v>336</v>
      </c>
      <c r="C1192" s="171">
        <v>45706</v>
      </c>
      <c r="D1192" s="172" t="s">
        <v>17</v>
      </c>
      <c r="E1192" s="140" t="s">
        <v>19</v>
      </c>
      <c r="F1192" s="140" t="s">
        <v>157</v>
      </c>
      <c r="G1192" s="140" t="s">
        <v>21</v>
      </c>
      <c r="H1192" s="140" t="s">
        <v>175</v>
      </c>
      <c r="I1192" s="140" t="s">
        <v>21</v>
      </c>
      <c r="J1192" s="174"/>
    </row>
    <row r="1193" hidden="1" customHeight="1" spans="1:10">
      <c r="A1193" s="140" t="s">
        <v>335</v>
      </c>
      <c r="B1193" s="140" t="s">
        <v>336</v>
      </c>
      <c r="C1193" s="171">
        <v>45707</v>
      </c>
      <c r="D1193" s="172" t="s">
        <v>18</v>
      </c>
      <c r="E1193" s="140" t="s">
        <v>19</v>
      </c>
      <c r="F1193" s="140" t="s">
        <v>157</v>
      </c>
      <c r="G1193" s="140" t="s">
        <v>21</v>
      </c>
      <c r="H1193" s="140" t="s">
        <v>167</v>
      </c>
      <c r="I1193" s="140" t="s">
        <v>21</v>
      </c>
      <c r="J1193" s="174"/>
    </row>
    <row r="1194" hidden="1" customHeight="1" spans="1:10">
      <c r="A1194" s="140" t="s">
        <v>335</v>
      </c>
      <c r="B1194" s="140" t="s">
        <v>336</v>
      </c>
      <c r="C1194" s="171">
        <v>45708</v>
      </c>
      <c r="D1194" s="172" t="s">
        <v>23</v>
      </c>
      <c r="E1194" s="140" t="s">
        <v>19</v>
      </c>
      <c r="F1194" s="140" t="s">
        <v>157</v>
      </c>
      <c r="G1194" s="140" t="s">
        <v>21</v>
      </c>
      <c r="H1194" s="140" t="s">
        <v>45</v>
      </c>
      <c r="I1194" s="140" t="s">
        <v>21</v>
      </c>
      <c r="J1194" s="174"/>
    </row>
    <row r="1195" hidden="1" customHeight="1" spans="1:10">
      <c r="A1195" s="140" t="s">
        <v>335</v>
      </c>
      <c r="B1195" s="140" t="s">
        <v>336</v>
      </c>
      <c r="C1195" s="171">
        <v>45709</v>
      </c>
      <c r="D1195" s="172" t="s">
        <v>25</v>
      </c>
      <c r="E1195" s="140" t="s">
        <v>19</v>
      </c>
      <c r="F1195" s="140" t="s">
        <v>36</v>
      </c>
      <c r="G1195" s="140" t="s">
        <v>21</v>
      </c>
      <c r="H1195" s="140" t="s">
        <v>167</v>
      </c>
      <c r="I1195" s="140" t="s">
        <v>21</v>
      </c>
      <c r="J1195" s="174"/>
    </row>
    <row r="1196" hidden="1" customHeight="1" spans="1:10">
      <c r="A1196" s="140" t="s">
        <v>335</v>
      </c>
      <c r="B1196" s="140" t="s">
        <v>336</v>
      </c>
      <c r="C1196" s="171">
        <v>45710</v>
      </c>
      <c r="D1196" s="172" t="s">
        <v>27</v>
      </c>
      <c r="E1196" s="173" t="s">
        <v>13</v>
      </c>
      <c r="F1196" s="140" t="s">
        <v>14</v>
      </c>
      <c r="G1196" s="140" t="s">
        <v>14</v>
      </c>
      <c r="H1196" s="140" t="s">
        <v>14</v>
      </c>
      <c r="I1196" s="140" t="s">
        <v>14</v>
      </c>
      <c r="J1196" s="174"/>
    </row>
    <row r="1197" hidden="1" customHeight="1" spans="1:10">
      <c r="A1197" s="140" t="s">
        <v>335</v>
      </c>
      <c r="B1197" s="140" t="s">
        <v>336</v>
      </c>
      <c r="C1197" s="171">
        <v>45711</v>
      </c>
      <c r="D1197" s="172" t="s">
        <v>15</v>
      </c>
      <c r="E1197" s="173" t="s">
        <v>13</v>
      </c>
      <c r="F1197" s="140" t="s">
        <v>14</v>
      </c>
      <c r="G1197" s="140" t="s">
        <v>14</v>
      </c>
      <c r="H1197" s="140" t="s">
        <v>14</v>
      </c>
      <c r="I1197" s="140" t="s">
        <v>14</v>
      </c>
      <c r="J1197" s="174"/>
    </row>
    <row r="1198" hidden="1" customHeight="1" spans="1:10">
      <c r="A1198" s="140" t="s">
        <v>335</v>
      </c>
      <c r="B1198" s="140" t="s">
        <v>336</v>
      </c>
      <c r="C1198" s="171">
        <v>45712</v>
      </c>
      <c r="D1198" s="172" t="s">
        <v>16</v>
      </c>
      <c r="E1198" s="140" t="s">
        <v>19</v>
      </c>
      <c r="F1198" s="140" t="s">
        <v>43</v>
      </c>
      <c r="G1198" s="140" t="s">
        <v>21</v>
      </c>
      <c r="H1198" s="140" t="s">
        <v>168</v>
      </c>
      <c r="I1198" s="140" t="s">
        <v>21</v>
      </c>
      <c r="J1198" s="174"/>
    </row>
    <row r="1199" hidden="1" customHeight="1" spans="1:10">
      <c r="A1199" s="140" t="s">
        <v>335</v>
      </c>
      <c r="B1199" s="140" t="s">
        <v>336</v>
      </c>
      <c r="C1199" s="171">
        <v>45713</v>
      </c>
      <c r="D1199" s="172" t="s">
        <v>17</v>
      </c>
      <c r="E1199" s="140" t="s">
        <v>19</v>
      </c>
      <c r="F1199" s="140" t="s">
        <v>36</v>
      </c>
      <c r="G1199" s="140" t="s">
        <v>21</v>
      </c>
      <c r="H1199" s="140" t="s">
        <v>184</v>
      </c>
      <c r="I1199" s="140" t="s">
        <v>21</v>
      </c>
      <c r="J1199" s="174"/>
    </row>
    <row r="1200" hidden="1" customHeight="1" spans="1:10">
      <c r="A1200" s="140" t="s">
        <v>335</v>
      </c>
      <c r="B1200" s="140" t="s">
        <v>336</v>
      </c>
      <c r="C1200" s="171">
        <v>45714</v>
      </c>
      <c r="D1200" s="172" t="s">
        <v>18</v>
      </c>
      <c r="E1200" s="140" t="s">
        <v>19</v>
      </c>
      <c r="F1200" s="140" t="s">
        <v>90</v>
      </c>
      <c r="G1200" s="140" t="s">
        <v>21</v>
      </c>
      <c r="H1200" s="140" t="s">
        <v>184</v>
      </c>
      <c r="I1200" s="140" t="s">
        <v>21</v>
      </c>
      <c r="J1200" s="174"/>
    </row>
    <row r="1201" customHeight="1" spans="1:10">
      <c r="A1201" s="140" t="s">
        <v>335</v>
      </c>
      <c r="B1201" s="140" t="s">
        <v>336</v>
      </c>
      <c r="C1201" s="171">
        <v>45715</v>
      </c>
      <c r="D1201" s="172" t="s">
        <v>23</v>
      </c>
      <c r="E1201" s="140" t="s">
        <v>19</v>
      </c>
      <c r="F1201" s="140" t="s">
        <v>14</v>
      </c>
      <c r="G1201" s="176" t="s">
        <v>68</v>
      </c>
      <c r="H1201" s="140" t="s">
        <v>14</v>
      </c>
      <c r="I1201" s="176" t="s">
        <v>68</v>
      </c>
      <c r="J1201" s="174" t="s">
        <v>234</v>
      </c>
    </row>
    <row r="1202" hidden="1" customHeight="1" spans="1:10">
      <c r="A1202" s="140" t="s">
        <v>335</v>
      </c>
      <c r="B1202" s="140" t="s">
        <v>336</v>
      </c>
      <c r="C1202" s="171">
        <v>45716</v>
      </c>
      <c r="D1202" s="172" t="s">
        <v>25</v>
      </c>
      <c r="E1202" s="140" t="s">
        <v>19</v>
      </c>
      <c r="F1202" s="140" t="s">
        <v>51</v>
      </c>
      <c r="G1202" s="140" t="s">
        <v>21</v>
      </c>
      <c r="H1202" s="140" t="s">
        <v>337</v>
      </c>
      <c r="I1202" s="140" t="s">
        <v>21</v>
      </c>
      <c r="J1202" s="174"/>
    </row>
    <row r="1203" hidden="1" customHeight="1" spans="1:10">
      <c r="A1203" s="140" t="s">
        <v>338</v>
      </c>
      <c r="B1203" s="140" t="s">
        <v>330</v>
      </c>
      <c r="C1203" s="171">
        <v>45689</v>
      </c>
      <c r="D1203" s="172" t="s">
        <v>12</v>
      </c>
      <c r="E1203" s="173" t="s">
        <v>13</v>
      </c>
      <c r="F1203" s="140" t="s">
        <v>14</v>
      </c>
      <c r="G1203" s="140" t="s">
        <v>14</v>
      </c>
      <c r="H1203" s="140" t="s">
        <v>14</v>
      </c>
      <c r="I1203" s="140" t="s">
        <v>14</v>
      </c>
      <c r="J1203" s="174"/>
    </row>
    <row r="1204" hidden="1" customHeight="1" spans="1:10">
      <c r="A1204" s="140" t="s">
        <v>338</v>
      </c>
      <c r="B1204" s="140" t="s">
        <v>330</v>
      </c>
      <c r="C1204" s="171">
        <v>45690</v>
      </c>
      <c r="D1204" s="172" t="s">
        <v>15</v>
      </c>
      <c r="E1204" s="173" t="s">
        <v>13</v>
      </c>
      <c r="F1204" s="140" t="s">
        <v>14</v>
      </c>
      <c r="G1204" s="140" t="s">
        <v>14</v>
      </c>
      <c r="H1204" s="140" t="s">
        <v>14</v>
      </c>
      <c r="I1204" s="140" t="s">
        <v>14</v>
      </c>
      <c r="J1204" s="174"/>
    </row>
    <row r="1205" hidden="1" customHeight="1" spans="1:10">
      <c r="A1205" s="140" t="s">
        <v>338</v>
      </c>
      <c r="B1205" s="140" t="s">
        <v>330</v>
      </c>
      <c r="C1205" s="171">
        <v>45691</v>
      </c>
      <c r="D1205" s="172" t="s">
        <v>16</v>
      </c>
      <c r="E1205" s="173" t="s">
        <v>13</v>
      </c>
      <c r="F1205" s="140" t="s">
        <v>14</v>
      </c>
      <c r="G1205" s="140" t="s">
        <v>14</v>
      </c>
      <c r="H1205" s="140" t="s">
        <v>14</v>
      </c>
      <c r="I1205" s="140" t="s">
        <v>14</v>
      </c>
      <c r="J1205" s="174"/>
    </row>
    <row r="1206" hidden="1" customHeight="1" spans="1:10">
      <c r="A1206" s="140" t="s">
        <v>338</v>
      </c>
      <c r="B1206" s="140" t="s">
        <v>330</v>
      </c>
      <c r="C1206" s="171">
        <v>45692</v>
      </c>
      <c r="D1206" s="172" t="s">
        <v>17</v>
      </c>
      <c r="E1206" s="173" t="s">
        <v>13</v>
      </c>
      <c r="F1206" s="140" t="s">
        <v>14</v>
      </c>
      <c r="G1206" s="140" t="s">
        <v>14</v>
      </c>
      <c r="H1206" s="140" t="s">
        <v>14</v>
      </c>
      <c r="I1206" s="140" t="s">
        <v>14</v>
      </c>
      <c r="J1206" s="174"/>
    </row>
    <row r="1207" hidden="1" customHeight="1" spans="1:10">
      <c r="A1207" s="140" t="s">
        <v>338</v>
      </c>
      <c r="B1207" s="140" t="s">
        <v>330</v>
      </c>
      <c r="C1207" s="171">
        <v>45693</v>
      </c>
      <c r="D1207" s="172" t="s">
        <v>18</v>
      </c>
      <c r="E1207" s="140" t="s">
        <v>19</v>
      </c>
      <c r="F1207" s="140" t="s">
        <v>188</v>
      </c>
      <c r="G1207" s="140" t="s">
        <v>21</v>
      </c>
      <c r="H1207" s="140" t="s">
        <v>178</v>
      </c>
      <c r="I1207" s="140" t="s">
        <v>21</v>
      </c>
      <c r="J1207" s="174"/>
    </row>
    <row r="1208" hidden="1" customHeight="1" spans="1:10">
      <c r="A1208" s="140" t="s">
        <v>338</v>
      </c>
      <c r="B1208" s="140" t="s">
        <v>330</v>
      </c>
      <c r="C1208" s="171">
        <v>45694</v>
      </c>
      <c r="D1208" s="172" t="s">
        <v>23</v>
      </c>
      <c r="E1208" s="140" t="s">
        <v>19</v>
      </c>
      <c r="F1208" s="140" t="s">
        <v>146</v>
      </c>
      <c r="G1208" s="140" t="s">
        <v>21</v>
      </c>
      <c r="H1208" s="140" t="s">
        <v>45</v>
      </c>
      <c r="I1208" s="140" t="s">
        <v>21</v>
      </c>
      <c r="J1208" s="174"/>
    </row>
    <row r="1209" hidden="1" customHeight="1" spans="1:10">
      <c r="A1209" s="140" t="s">
        <v>338</v>
      </c>
      <c r="B1209" s="140" t="s">
        <v>330</v>
      </c>
      <c r="C1209" s="171">
        <v>45695</v>
      </c>
      <c r="D1209" s="172" t="s">
        <v>25</v>
      </c>
      <c r="E1209" s="140" t="s">
        <v>19</v>
      </c>
      <c r="F1209" s="140" t="s">
        <v>139</v>
      </c>
      <c r="G1209" s="140" t="s">
        <v>21</v>
      </c>
      <c r="H1209" s="140" t="s">
        <v>205</v>
      </c>
      <c r="I1209" s="140" t="s">
        <v>21</v>
      </c>
      <c r="J1209" s="174"/>
    </row>
    <row r="1210" hidden="1" customHeight="1" spans="1:10">
      <c r="A1210" s="140" t="s">
        <v>338</v>
      </c>
      <c r="B1210" s="140" t="s">
        <v>330</v>
      </c>
      <c r="C1210" s="171">
        <v>45696</v>
      </c>
      <c r="D1210" s="172" t="s">
        <v>27</v>
      </c>
      <c r="E1210" s="140" t="s">
        <v>19</v>
      </c>
      <c r="F1210" s="140" t="s">
        <v>154</v>
      </c>
      <c r="G1210" s="140" t="s">
        <v>21</v>
      </c>
      <c r="H1210" s="140" t="s">
        <v>339</v>
      </c>
      <c r="I1210" s="140" t="s">
        <v>21</v>
      </c>
      <c r="J1210" s="174"/>
    </row>
    <row r="1211" hidden="1" customHeight="1" spans="1:10">
      <c r="A1211" s="140" t="s">
        <v>338</v>
      </c>
      <c r="B1211" s="140" t="s">
        <v>330</v>
      </c>
      <c r="C1211" s="171">
        <v>45697</v>
      </c>
      <c r="D1211" s="172" t="s">
        <v>15</v>
      </c>
      <c r="E1211" s="173" t="s">
        <v>13</v>
      </c>
      <c r="F1211" s="140" t="s">
        <v>14</v>
      </c>
      <c r="G1211" s="140" t="s">
        <v>14</v>
      </c>
      <c r="H1211" s="140" t="s">
        <v>14</v>
      </c>
      <c r="I1211" s="140" t="s">
        <v>14</v>
      </c>
      <c r="J1211" s="174"/>
    </row>
    <row r="1212" hidden="1" customHeight="1" spans="1:10">
      <c r="A1212" s="140" t="s">
        <v>338</v>
      </c>
      <c r="B1212" s="140" t="s">
        <v>330</v>
      </c>
      <c r="C1212" s="171">
        <v>45698</v>
      </c>
      <c r="D1212" s="172" t="s">
        <v>16</v>
      </c>
      <c r="E1212" s="140" t="s">
        <v>19</v>
      </c>
      <c r="F1212" s="140" t="s">
        <v>193</v>
      </c>
      <c r="G1212" s="140" t="s">
        <v>21</v>
      </c>
      <c r="H1212" s="140" t="s">
        <v>95</v>
      </c>
      <c r="I1212" s="140" t="s">
        <v>21</v>
      </c>
      <c r="J1212" s="174"/>
    </row>
    <row r="1213" hidden="1" customHeight="1" spans="1:10">
      <c r="A1213" s="140" t="s">
        <v>338</v>
      </c>
      <c r="B1213" s="140" t="s">
        <v>330</v>
      </c>
      <c r="C1213" s="171">
        <v>45699</v>
      </c>
      <c r="D1213" s="172" t="s">
        <v>17</v>
      </c>
      <c r="E1213" s="140" t="s">
        <v>19</v>
      </c>
      <c r="F1213" s="140" t="s">
        <v>154</v>
      </c>
      <c r="G1213" s="140" t="s">
        <v>21</v>
      </c>
      <c r="H1213" s="140" t="s">
        <v>53</v>
      </c>
      <c r="I1213" s="140" t="s">
        <v>21</v>
      </c>
      <c r="J1213" s="174"/>
    </row>
    <row r="1214" hidden="1" customHeight="1" spans="1:10">
      <c r="A1214" s="140" t="s">
        <v>338</v>
      </c>
      <c r="B1214" s="140" t="s">
        <v>330</v>
      </c>
      <c r="C1214" s="171">
        <v>45700</v>
      </c>
      <c r="D1214" s="172" t="s">
        <v>18</v>
      </c>
      <c r="E1214" s="140" t="s">
        <v>19</v>
      </c>
      <c r="F1214" s="140" t="s">
        <v>30</v>
      </c>
      <c r="G1214" s="140" t="s">
        <v>21</v>
      </c>
      <c r="H1214" s="140" t="s">
        <v>170</v>
      </c>
      <c r="I1214" s="140" t="s">
        <v>21</v>
      </c>
      <c r="J1214" s="174"/>
    </row>
    <row r="1215" hidden="1" customHeight="1" spans="1:10">
      <c r="A1215" s="140" t="s">
        <v>338</v>
      </c>
      <c r="B1215" s="140" t="s">
        <v>330</v>
      </c>
      <c r="C1215" s="171">
        <v>45701</v>
      </c>
      <c r="D1215" s="172" t="s">
        <v>23</v>
      </c>
      <c r="E1215" s="140" t="s">
        <v>19</v>
      </c>
      <c r="F1215" s="140" t="s">
        <v>154</v>
      </c>
      <c r="G1215" s="140" t="s">
        <v>21</v>
      </c>
      <c r="H1215" s="140" t="s">
        <v>168</v>
      </c>
      <c r="I1215" s="140" t="s">
        <v>21</v>
      </c>
      <c r="J1215" s="174"/>
    </row>
    <row r="1216" hidden="1" customHeight="1" spans="1:10">
      <c r="A1216" s="140" t="s">
        <v>338</v>
      </c>
      <c r="B1216" s="140" t="s">
        <v>330</v>
      </c>
      <c r="C1216" s="171">
        <v>45702</v>
      </c>
      <c r="D1216" s="172" t="s">
        <v>25</v>
      </c>
      <c r="E1216" s="140" t="s">
        <v>19</v>
      </c>
      <c r="F1216" s="140" t="s">
        <v>51</v>
      </c>
      <c r="G1216" s="140" t="s">
        <v>21</v>
      </c>
      <c r="H1216" s="140" t="s">
        <v>205</v>
      </c>
      <c r="I1216" s="140" t="s">
        <v>21</v>
      </c>
      <c r="J1216" s="174"/>
    </row>
    <row r="1217" hidden="1" customHeight="1" spans="1:10">
      <c r="A1217" s="140" t="s">
        <v>338</v>
      </c>
      <c r="B1217" s="140" t="s">
        <v>330</v>
      </c>
      <c r="C1217" s="171">
        <v>45703</v>
      </c>
      <c r="D1217" s="172" t="s">
        <v>27</v>
      </c>
      <c r="E1217" s="173" t="s">
        <v>13</v>
      </c>
      <c r="F1217" s="140" t="s">
        <v>14</v>
      </c>
      <c r="G1217" s="140" t="s">
        <v>14</v>
      </c>
      <c r="H1217" s="140" t="s">
        <v>14</v>
      </c>
      <c r="I1217" s="140" t="s">
        <v>14</v>
      </c>
      <c r="J1217" s="174"/>
    </row>
    <row r="1218" hidden="1" customHeight="1" spans="1:10">
      <c r="A1218" s="140" t="s">
        <v>338</v>
      </c>
      <c r="B1218" s="140" t="s">
        <v>330</v>
      </c>
      <c r="C1218" s="171">
        <v>45704</v>
      </c>
      <c r="D1218" s="172" t="s">
        <v>15</v>
      </c>
      <c r="E1218" s="173" t="s">
        <v>13</v>
      </c>
      <c r="F1218" s="140" t="s">
        <v>14</v>
      </c>
      <c r="G1218" s="140" t="s">
        <v>14</v>
      </c>
      <c r="H1218" s="140" t="s">
        <v>14</v>
      </c>
      <c r="I1218" s="140" t="s">
        <v>14</v>
      </c>
      <c r="J1218" s="174"/>
    </row>
    <row r="1219" hidden="1" customHeight="1" spans="1:10">
      <c r="A1219" s="140" t="s">
        <v>338</v>
      </c>
      <c r="B1219" s="140" t="s">
        <v>330</v>
      </c>
      <c r="C1219" s="171">
        <v>45705</v>
      </c>
      <c r="D1219" s="172" t="s">
        <v>16</v>
      </c>
      <c r="E1219" s="140" t="s">
        <v>19</v>
      </c>
      <c r="F1219" s="140" t="s">
        <v>188</v>
      </c>
      <c r="G1219" s="140" t="s">
        <v>21</v>
      </c>
      <c r="H1219" s="140" t="s">
        <v>50</v>
      </c>
      <c r="I1219" s="140" t="s">
        <v>21</v>
      </c>
      <c r="J1219" s="174"/>
    </row>
    <row r="1220" hidden="1" customHeight="1" spans="1:10">
      <c r="A1220" s="140" t="s">
        <v>338</v>
      </c>
      <c r="B1220" s="140" t="s">
        <v>330</v>
      </c>
      <c r="C1220" s="171">
        <v>45706</v>
      </c>
      <c r="D1220" s="172" t="s">
        <v>17</v>
      </c>
      <c r="E1220" s="140" t="s">
        <v>19</v>
      </c>
      <c r="F1220" s="140" t="s">
        <v>157</v>
      </c>
      <c r="G1220" s="140" t="s">
        <v>21</v>
      </c>
      <c r="H1220" s="140" t="s">
        <v>215</v>
      </c>
      <c r="I1220" s="140" t="s">
        <v>21</v>
      </c>
      <c r="J1220" s="174"/>
    </row>
    <row r="1221" hidden="1" customHeight="1" spans="1:10">
      <c r="A1221" s="140" t="s">
        <v>338</v>
      </c>
      <c r="B1221" s="140" t="s">
        <v>330</v>
      </c>
      <c r="C1221" s="171">
        <v>45707</v>
      </c>
      <c r="D1221" s="172" t="s">
        <v>18</v>
      </c>
      <c r="E1221" s="140" t="s">
        <v>19</v>
      </c>
      <c r="F1221" s="140" t="s">
        <v>28</v>
      </c>
      <c r="G1221" s="140" t="s">
        <v>21</v>
      </c>
      <c r="H1221" s="140" t="s">
        <v>321</v>
      </c>
      <c r="I1221" s="140" t="s">
        <v>21</v>
      </c>
      <c r="J1221" s="174"/>
    </row>
    <row r="1222" hidden="1" customHeight="1" spans="1:10">
      <c r="A1222" s="140" t="s">
        <v>338</v>
      </c>
      <c r="B1222" s="140" t="s">
        <v>330</v>
      </c>
      <c r="C1222" s="171">
        <v>45708</v>
      </c>
      <c r="D1222" s="172" t="s">
        <v>23</v>
      </c>
      <c r="E1222" s="140" t="s">
        <v>19</v>
      </c>
      <c r="F1222" s="140" t="s">
        <v>209</v>
      </c>
      <c r="G1222" s="140" t="s">
        <v>21</v>
      </c>
      <c r="H1222" s="140" t="s">
        <v>168</v>
      </c>
      <c r="I1222" s="140" t="s">
        <v>21</v>
      </c>
      <c r="J1222" s="174"/>
    </row>
    <row r="1223" hidden="1" customHeight="1" spans="1:10">
      <c r="A1223" s="140" t="s">
        <v>338</v>
      </c>
      <c r="B1223" s="140" t="s">
        <v>330</v>
      </c>
      <c r="C1223" s="171">
        <v>45709</v>
      </c>
      <c r="D1223" s="172" t="s">
        <v>25</v>
      </c>
      <c r="E1223" s="140" t="s">
        <v>19</v>
      </c>
      <c r="F1223" s="140" t="s">
        <v>51</v>
      </c>
      <c r="G1223" s="140" t="s">
        <v>21</v>
      </c>
      <c r="H1223" s="140" t="s">
        <v>178</v>
      </c>
      <c r="I1223" s="140" t="s">
        <v>21</v>
      </c>
      <c r="J1223" s="174"/>
    </row>
    <row r="1224" hidden="1" customHeight="1" spans="1:10">
      <c r="A1224" s="140" t="s">
        <v>338</v>
      </c>
      <c r="B1224" s="140" t="s">
        <v>330</v>
      </c>
      <c r="C1224" s="171">
        <v>45710</v>
      </c>
      <c r="D1224" s="172" t="s">
        <v>27</v>
      </c>
      <c r="E1224" s="173" t="s">
        <v>13</v>
      </c>
      <c r="F1224" s="140" t="s">
        <v>14</v>
      </c>
      <c r="G1224" s="140" t="s">
        <v>14</v>
      </c>
      <c r="H1224" s="140" t="s">
        <v>14</v>
      </c>
      <c r="I1224" s="140" t="s">
        <v>14</v>
      </c>
      <c r="J1224" s="174"/>
    </row>
    <row r="1225" hidden="1" customHeight="1" spans="1:10">
      <c r="A1225" s="140" t="s">
        <v>338</v>
      </c>
      <c r="B1225" s="140" t="s">
        <v>330</v>
      </c>
      <c r="C1225" s="171">
        <v>45711</v>
      </c>
      <c r="D1225" s="172" t="s">
        <v>15</v>
      </c>
      <c r="E1225" s="173" t="s">
        <v>13</v>
      </c>
      <c r="F1225" s="140" t="s">
        <v>14</v>
      </c>
      <c r="G1225" s="140" t="s">
        <v>14</v>
      </c>
      <c r="H1225" s="140" t="s">
        <v>14</v>
      </c>
      <c r="I1225" s="140" t="s">
        <v>14</v>
      </c>
      <c r="J1225" s="174"/>
    </row>
    <row r="1226" hidden="1" customHeight="1" spans="1:10">
      <c r="A1226" s="140" t="s">
        <v>338</v>
      </c>
      <c r="B1226" s="140" t="s">
        <v>330</v>
      </c>
      <c r="C1226" s="171">
        <v>45712</v>
      </c>
      <c r="D1226" s="172" t="s">
        <v>16</v>
      </c>
      <c r="E1226" s="140" t="s">
        <v>19</v>
      </c>
      <c r="F1226" s="140" t="s">
        <v>209</v>
      </c>
      <c r="G1226" s="140" t="s">
        <v>21</v>
      </c>
      <c r="H1226" s="140" t="s">
        <v>35</v>
      </c>
      <c r="I1226" s="140" t="s">
        <v>21</v>
      </c>
      <c r="J1226" s="174"/>
    </row>
    <row r="1227" hidden="1" customHeight="1" spans="1:10">
      <c r="A1227" s="140" t="s">
        <v>338</v>
      </c>
      <c r="B1227" s="140" t="s">
        <v>330</v>
      </c>
      <c r="C1227" s="171">
        <v>45713</v>
      </c>
      <c r="D1227" s="172" t="s">
        <v>17</v>
      </c>
      <c r="E1227" s="140" t="s">
        <v>19</v>
      </c>
      <c r="F1227" s="140" t="s">
        <v>28</v>
      </c>
      <c r="G1227" s="140" t="s">
        <v>21</v>
      </c>
      <c r="H1227" s="140" t="s">
        <v>174</v>
      </c>
      <c r="I1227" s="140" t="s">
        <v>21</v>
      </c>
      <c r="J1227" s="174"/>
    </row>
    <row r="1228" hidden="1" customHeight="1" spans="1:10">
      <c r="A1228" s="140" t="s">
        <v>338</v>
      </c>
      <c r="B1228" s="140" t="s">
        <v>330</v>
      </c>
      <c r="C1228" s="171">
        <v>45714</v>
      </c>
      <c r="D1228" s="172" t="s">
        <v>18</v>
      </c>
      <c r="E1228" s="140" t="s">
        <v>19</v>
      </c>
      <c r="F1228" s="140" t="s">
        <v>33</v>
      </c>
      <c r="G1228" s="140" t="s">
        <v>21</v>
      </c>
      <c r="H1228" s="140" t="s">
        <v>53</v>
      </c>
      <c r="I1228" s="140" t="s">
        <v>21</v>
      </c>
      <c r="J1228" s="174"/>
    </row>
    <row r="1229" hidden="1" customHeight="1" spans="1:10">
      <c r="A1229" s="140" t="s">
        <v>338</v>
      </c>
      <c r="B1229" s="140" t="s">
        <v>330</v>
      </c>
      <c r="C1229" s="171">
        <v>45715</v>
      </c>
      <c r="D1229" s="172" t="s">
        <v>23</v>
      </c>
      <c r="E1229" s="140" t="s">
        <v>19</v>
      </c>
      <c r="F1229" s="140" t="s">
        <v>46</v>
      </c>
      <c r="G1229" s="140" t="s">
        <v>21</v>
      </c>
      <c r="H1229" s="140" t="s">
        <v>254</v>
      </c>
      <c r="I1229" s="140" t="s">
        <v>21</v>
      </c>
      <c r="J1229" s="174"/>
    </row>
    <row r="1230" hidden="1" customHeight="1" spans="1:10">
      <c r="A1230" s="140" t="s">
        <v>338</v>
      </c>
      <c r="B1230" s="140" t="s">
        <v>330</v>
      </c>
      <c r="C1230" s="171">
        <v>45716</v>
      </c>
      <c r="D1230" s="172" t="s">
        <v>25</v>
      </c>
      <c r="E1230" s="140" t="s">
        <v>19</v>
      </c>
      <c r="F1230" s="140" t="s">
        <v>157</v>
      </c>
      <c r="G1230" s="140" t="s">
        <v>21</v>
      </c>
      <c r="H1230" s="140" t="s">
        <v>340</v>
      </c>
      <c r="I1230" s="140" t="s">
        <v>21</v>
      </c>
      <c r="J1230" s="174"/>
    </row>
    <row r="1231" hidden="1" customHeight="1" spans="1:10">
      <c r="A1231" s="140" t="s">
        <v>341</v>
      </c>
      <c r="B1231" s="140" t="s">
        <v>330</v>
      </c>
      <c r="C1231" s="171">
        <v>45689</v>
      </c>
      <c r="D1231" s="172" t="s">
        <v>12</v>
      </c>
      <c r="E1231" s="173" t="s">
        <v>13</v>
      </c>
      <c r="F1231" s="140" t="s">
        <v>14</v>
      </c>
      <c r="G1231" s="140" t="s">
        <v>14</v>
      </c>
      <c r="H1231" s="140" t="s">
        <v>14</v>
      </c>
      <c r="I1231" s="140" t="s">
        <v>14</v>
      </c>
      <c r="J1231" s="174"/>
    </row>
    <row r="1232" hidden="1" customHeight="1" spans="1:10">
      <c r="A1232" s="140" t="s">
        <v>341</v>
      </c>
      <c r="B1232" s="140" t="s">
        <v>330</v>
      </c>
      <c r="C1232" s="171">
        <v>45690</v>
      </c>
      <c r="D1232" s="172" t="s">
        <v>15</v>
      </c>
      <c r="E1232" s="173" t="s">
        <v>13</v>
      </c>
      <c r="F1232" s="140" t="s">
        <v>14</v>
      </c>
      <c r="G1232" s="140" t="s">
        <v>14</v>
      </c>
      <c r="H1232" s="140" t="s">
        <v>14</v>
      </c>
      <c r="I1232" s="140" t="s">
        <v>14</v>
      </c>
      <c r="J1232" s="174"/>
    </row>
    <row r="1233" hidden="1" customHeight="1" spans="1:10">
      <c r="A1233" s="140" t="s">
        <v>341</v>
      </c>
      <c r="B1233" s="140" t="s">
        <v>330</v>
      </c>
      <c r="C1233" s="171">
        <v>45691</v>
      </c>
      <c r="D1233" s="172" t="s">
        <v>16</v>
      </c>
      <c r="E1233" s="173" t="s">
        <v>13</v>
      </c>
      <c r="F1233" s="140" t="s">
        <v>14</v>
      </c>
      <c r="G1233" s="140" t="s">
        <v>14</v>
      </c>
      <c r="H1233" s="140" t="s">
        <v>14</v>
      </c>
      <c r="I1233" s="140" t="s">
        <v>14</v>
      </c>
      <c r="J1233" s="174"/>
    </row>
    <row r="1234" hidden="1" customHeight="1" spans="1:10">
      <c r="A1234" s="140" t="s">
        <v>341</v>
      </c>
      <c r="B1234" s="140" t="s">
        <v>330</v>
      </c>
      <c r="C1234" s="171">
        <v>45692</v>
      </c>
      <c r="D1234" s="172" t="s">
        <v>17</v>
      </c>
      <c r="E1234" s="173" t="s">
        <v>13</v>
      </c>
      <c r="F1234" s="140" t="s">
        <v>14</v>
      </c>
      <c r="G1234" s="140" t="s">
        <v>14</v>
      </c>
      <c r="H1234" s="140" t="s">
        <v>14</v>
      </c>
      <c r="I1234" s="140" t="s">
        <v>14</v>
      </c>
      <c r="J1234" s="174"/>
    </row>
    <row r="1235" hidden="1" customHeight="1" spans="1:10">
      <c r="A1235" s="140" t="s">
        <v>341</v>
      </c>
      <c r="B1235" s="140" t="s">
        <v>330</v>
      </c>
      <c r="C1235" s="171">
        <v>45693</v>
      </c>
      <c r="D1235" s="172" t="s">
        <v>18</v>
      </c>
      <c r="E1235" s="140" t="s">
        <v>19</v>
      </c>
      <c r="F1235" s="140" t="s">
        <v>36</v>
      </c>
      <c r="G1235" s="140" t="s">
        <v>21</v>
      </c>
      <c r="H1235" s="140" t="s">
        <v>342</v>
      </c>
      <c r="I1235" s="140" t="s">
        <v>21</v>
      </c>
      <c r="J1235" s="174"/>
    </row>
    <row r="1236" hidden="1" customHeight="1" spans="1:10">
      <c r="A1236" s="140" t="s">
        <v>341</v>
      </c>
      <c r="B1236" s="140" t="s">
        <v>330</v>
      </c>
      <c r="C1236" s="171">
        <v>45694</v>
      </c>
      <c r="D1236" s="172" t="s">
        <v>23</v>
      </c>
      <c r="E1236" s="140" t="s">
        <v>19</v>
      </c>
      <c r="F1236" s="140" t="s">
        <v>33</v>
      </c>
      <c r="G1236" s="140" t="s">
        <v>21</v>
      </c>
      <c r="H1236" s="140" t="s">
        <v>54</v>
      </c>
      <c r="I1236" s="140" t="s">
        <v>21</v>
      </c>
      <c r="J1236" s="174"/>
    </row>
    <row r="1237" hidden="1" customHeight="1" spans="1:10">
      <c r="A1237" s="140" t="s">
        <v>341</v>
      </c>
      <c r="B1237" s="140" t="s">
        <v>330</v>
      </c>
      <c r="C1237" s="171">
        <v>45695</v>
      </c>
      <c r="D1237" s="172" t="s">
        <v>25</v>
      </c>
      <c r="E1237" s="140" t="s">
        <v>19</v>
      </c>
      <c r="F1237" s="140" t="s">
        <v>33</v>
      </c>
      <c r="G1237" s="140" t="s">
        <v>21</v>
      </c>
      <c r="H1237" s="140" t="s">
        <v>343</v>
      </c>
      <c r="I1237" s="140" t="s">
        <v>21</v>
      </c>
      <c r="J1237" s="174"/>
    </row>
    <row r="1238" hidden="1" customHeight="1" spans="1:10">
      <c r="A1238" s="140" t="s">
        <v>341</v>
      </c>
      <c r="B1238" s="140" t="s">
        <v>330</v>
      </c>
      <c r="C1238" s="171">
        <v>45696</v>
      </c>
      <c r="D1238" s="172" t="s">
        <v>27</v>
      </c>
      <c r="E1238" s="140" t="s">
        <v>19</v>
      </c>
      <c r="F1238" s="140" t="s">
        <v>146</v>
      </c>
      <c r="G1238" s="140" t="s">
        <v>21</v>
      </c>
      <c r="H1238" s="140" t="s">
        <v>92</v>
      </c>
      <c r="I1238" s="140" t="s">
        <v>21</v>
      </c>
      <c r="J1238" s="174"/>
    </row>
    <row r="1239" hidden="1" customHeight="1" spans="1:10">
      <c r="A1239" s="140" t="s">
        <v>341</v>
      </c>
      <c r="B1239" s="140" t="s">
        <v>330</v>
      </c>
      <c r="C1239" s="171">
        <v>45697</v>
      </c>
      <c r="D1239" s="172" t="s">
        <v>15</v>
      </c>
      <c r="E1239" s="173" t="s">
        <v>13</v>
      </c>
      <c r="F1239" s="140" t="s">
        <v>14</v>
      </c>
      <c r="G1239" s="140" t="s">
        <v>14</v>
      </c>
      <c r="H1239" s="140" t="s">
        <v>14</v>
      </c>
      <c r="I1239" s="140" t="s">
        <v>14</v>
      </c>
      <c r="J1239" s="174"/>
    </row>
    <row r="1240" hidden="1" customHeight="1" spans="1:10">
      <c r="A1240" s="140" t="s">
        <v>341</v>
      </c>
      <c r="B1240" s="140" t="s">
        <v>330</v>
      </c>
      <c r="C1240" s="171">
        <v>45698</v>
      </c>
      <c r="D1240" s="172" t="s">
        <v>16</v>
      </c>
      <c r="E1240" s="140" t="s">
        <v>19</v>
      </c>
      <c r="F1240" s="140" t="s">
        <v>46</v>
      </c>
      <c r="G1240" s="140" t="s">
        <v>21</v>
      </c>
      <c r="H1240" s="140" t="s">
        <v>34</v>
      </c>
      <c r="I1240" s="140" t="s">
        <v>21</v>
      </c>
      <c r="J1240" s="174"/>
    </row>
    <row r="1241" hidden="1" customHeight="1" spans="1:10">
      <c r="A1241" s="140" t="s">
        <v>341</v>
      </c>
      <c r="B1241" s="140" t="s">
        <v>330</v>
      </c>
      <c r="C1241" s="171">
        <v>45699</v>
      </c>
      <c r="D1241" s="172" t="s">
        <v>17</v>
      </c>
      <c r="E1241" s="140" t="s">
        <v>19</v>
      </c>
      <c r="F1241" s="140" t="s">
        <v>33</v>
      </c>
      <c r="G1241" s="140" t="s">
        <v>21</v>
      </c>
      <c r="H1241" s="140" t="s">
        <v>221</v>
      </c>
      <c r="I1241" s="140" t="s">
        <v>21</v>
      </c>
      <c r="J1241" s="174"/>
    </row>
    <row r="1242" hidden="1" customHeight="1" spans="1:10">
      <c r="A1242" s="140" t="s">
        <v>341</v>
      </c>
      <c r="B1242" s="140" t="s">
        <v>330</v>
      </c>
      <c r="C1242" s="171">
        <v>45700</v>
      </c>
      <c r="D1242" s="172" t="s">
        <v>18</v>
      </c>
      <c r="E1242" s="140" t="s">
        <v>19</v>
      </c>
      <c r="F1242" s="140" t="s">
        <v>30</v>
      </c>
      <c r="G1242" s="140" t="s">
        <v>21</v>
      </c>
      <c r="H1242" s="140" t="s">
        <v>344</v>
      </c>
      <c r="I1242" s="140" t="s">
        <v>21</v>
      </c>
      <c r="J1242" s="174"/>
    </row>
    <row r="1243" hidden="1" customHeight="1" spans="1:10">
      <c r="A1243" s="140" t="s">
        <v>341</v>
      </c>
      <c r="B1243" s="140" t="s">
        <v>330</v>
      </c>
      <c r="C1243" s="171">
        <v>45701</v>
      </c>
      <c r="D1243" s="172" t="s">
        <v>23</v>
      </c>
      <c r="E1243" s="140" t="s">
        <v>19</v>
      </c>
      <c r="F1243" s="140" t="s">
        <v>51</v>
      </c>
      <c r="G1243" s="140" t="s">
        <v>21</v>
      </c>
      <c r="H1243" s="140" t="s">
        <v>116</v>
      </c>
      <c r="I1243" s="140" t="s">
        <v>21</v>
      </c>
      <c r="J1243" s="174"/>
    </row>
    <row r="1244" hidden="1" customHeight="1" spans="1:10">
      <c r="A1244" s="140" t="s">
        <v>341</v>
      </c>
      <c r="B1244" s="140" t="s">
        <v>330</v>
      </c>
      <c r="C1244" s="171">
        <v>45702</v>
      </c>
      <c r="D1244" s="172" t="s">
        <v>25</v>
      </c>
      <c r="E1244" s="140" t="s">
        <v>19</v>
      </c>
      <c r="F1244" s="140" t="s">
        <v>51</v>
      </c>
      <c r="G1244" s="140" t="s">
        <v>21</v>
      </c>
      <c r="H1244" s="140" t="s">
        <v>184</v>
      </c>
      <c r="I1244" s="140" t="s">
        <v>21</v>
      </c>
      <c r="J1244" s="174"/>
    </row>
    <row r="1245" hidden="1" customHeight="1" spans="1:10">
      <c r="A1245" s="140" t="s">
        <v>341</v>
      </c>
      <c r="B1245" s="140" t="s">
        <v>330</v>
      </c>
      <c r="C1245" s="171">
        <v>45703</v>
      </c>
      <c r="D1245" s="172" t="s">
        <v>27</v>
      </c>
      <c r="E1245" s="173" t="s">
        <v>13</v>
      </c>
      <c r="F1245" s="140" t="s">
        <v>14</v>
      </c>
      <c r="G1245" s="140" t="s">
        <v>14</v>
      </c>
      <c r="H1245" s="140" t="s">
        <v>14</v>
      </c>
      <c r="I1245" s="140" t="s">
        <v>14</v>
      </c>
      <c r="J1245" s="174"/>
    </row>
    <row r="1246" hidden="1" customHeight="1" spans="1:10">
      <c r="A1246" s="140" t="s">
        <v>341</v>
      </c>
      <c r="B1246" s="140" t="s">
        <v>330</v>
      </c>
      <c r="C1246" s="171">
        <v>45704</v>
      </c>
      <c r="D1246" s="172" t="s">
        <v>15</v>
      </c>
      <c r="E1246" s="173" t="s">
        <v>13</v>
      </c>
      <c r="F1246" s="140" t="s">
        <v>14</v>
      </c>
      <c r="G1246" s="140" t="s">
        <v>14</v>
      </c>
      <c r="H1246" s="140" t="s">
        <v>14</v>
      </c>
      <c r="I1246" s="140" t="s">
        <v>14</v>
      </c>
      <c r="J1246" s="174"/>
    </row>
    <row r="1247" hidden="1" customHeight="1" spans="1:10">
      <c r="A1247" s="140" t="s">
        <v>341</v>
      </c>
      <c r="B1247" s="140" t="s">
        <v>330</v>
      </c>
      <c r="C1247" s="171">
        <v>45705</v>
      </c>
      <c r="D1247" s="172" t="s">
        <v>16</v>
      </c>
      <c r="E1247" s="140" t="s">
        <v>19</v>
      </c>
      <c r="F1247" s="140" t="s">
        <v>157</v>
      </c>
      <c r="G1247" s="140" t="s">
        <v>21</v>
      </c>
      <c r="H1247" s="140" t="s">
        <v>116</v>
      </c>
      <c r="I1247" s="140" t="s">
        <v>21</v>
      </c>
      <c r="J1247" s="174"/>
    </row>
    <row r="1248" hidden="1" customHeight="1" spans="1:10">
      <c r="A1248" s="140" t="s">
        <v>341</v>
      </c>
      <c r="B1248" s="140" t="s">
        <v>330</v>
      </c>
      <c r="C1248" s="171">
        <v>45706</v>
      </c>
      <c r="D1248" s="172" t="s">
        <v>17</v>
      </c>
      <c r="E1248" s="140" t="s">
        <v>19</v>
      </c>
      <c r="F1248" s="140" t="s">
        <v>51</v>
      </c>
      <c r="G1248" s="140" t="s">
        <v>21</v>
      </c>
      <c r="H1248" s="140" t="s">
        <v>42</v>
      </c>
      <c r="I1248" s="140" t="s">
        <v>21</v>
      </c>
      <c r="J1248" s="174"/>
    </row>
    <row r="1249" customHeight="1" spans="1:10">
      <c r="A1249" s="140" t="s">
        <v>341</v>
      </c>
      <c r="B1249" s="140" t="s">
        <v>330</v>
      </c>
      <c r="C1249" s="171">
        <v>45707</v>
      </c>
      <c r="D1249" s="172" t="s">
        <v>18</v>
      </c>
      <c r="E1249" s="140" t="s">
        <v>19</v>
      </c>
      <c r="F1249" s="140" t="s">
        <v>14</v>
      </c>
      <c r="G1249" s="176" t="s">
        <v>68</v>
      </c>
      <c r="H1249" s="140" t="s">
        <v>345</v>
      </c>
      <c r="I1249" s="140" t="s">
        <v>21</v>
      </c>
      <c r="J1249" s="174" t="s">
        <v>69</v>
      </c>
    </row>
    <row r="1250" hidden="1" customHeight="1" spans="1:10">
      <c r="A1250" s="140" t="s">
        <v>341</v>
      </c>
      <c r="B1250" s="140" t="s">
        <v>330</v>
      </c>
      <c r="C1250" s="171">
        <v>45708</v>
      </c>
      <c r="D1250" s="172" t="s">
        <v>23</v>
      </c>
      <c r="E1250" s="140" t="s">
        <v>19</v>
      </c>
      <c r="F1250" s="140" t="s">
        <v>157</v>
      </c>
      <c r="G1250" s="140" t="s">
        <v>21</v>
      </c>
      <c r="H1250" s="140" t="s">
        <v>45</v>
      </c>
      <c r="I1250" s="140" t="s">
        <v>21</v>
      </c>
      <c r="J1250" s="174"/>
    </row>
    <row r="1251" hidden="1" customHeight="1" spans="1:10">
      <c r="A1251" s="140" t="s">
        <v>341</v>
      </c>
      <c r="B1251" s="140" t="s">
        <v>330</v>
      </c>
      <c r="C1251" s="171">
        <v>45709</v>
      </c>
      <c r="D1251" s="172" t="s">
        <v>25</v>
      </c>
      <c r="E1251" s="140" t="s">
        <v>19</v>
      </c>
      <c r="F1251" s="140" t="s">
        <v>36</v>
      </c>
      <c r="G1251" s="140" t="s">
        <v>21</v>
      </c>
      <c r="H1251" s="140" t="s">
        <v>346</v>
      </c>
      <c r="I1251" s="140" t="s">
        <v>21</v>
      </c>
      <c r="J1251" s="174"/>
    </row>
    <row r="1252" hidden="1" customHeight="1" spans="1:10">
      <c r="A1252" s="140" t="s">
        <v>341</v>
      </c>
      <c r="B1252" s="140" t="s">
        <v>330</v>
      </c>
      <c r="C1252" s="171">
        <v>45710</v>
      </c>
      <c r="D1252" s="172" t="s">
        <v>27</v>
      </c>
      <c r="E1252" s="173" t="s">
        <v>13</v>
      </c>
      <c r="F1252" s="140" t="s">
        <v>14</v>
      </c>
      <c r="G1252" s="140" t="s">
        <v>14</v>
      </c>
      <c r="H1252" s="140" t="s">
        <v>14</v>
      </c>
      <c r="I1252" s="140" t="s">
        <v>14</v>
      </c>
      <c r="J1252" s="174"/>
    </row>
    <row r="1253" hidden="1" customHeight="1" spans="1:10">
      <c r="A1253" s="140" t="s">
        <v>341</v>
      </c>
      <c r="B1253" s="140" t="s">
        <v>330</v>
      </c>
      <c r="C1253" s="171">
        <v>45711</v>
      </c>
      <c r="D1253" s="172" t="s">
        <v>15</v>
      </c>
      <c r="E1253" s="173" t="s">
        <v>13</v>
      </c>
      <c r="F1253" s="140" t="s">
        <v>14</v>
      </c>
      <c r="G1253" s="140" t="s">
        <v>14</v>
      </c>
      <c r="H1253" s="140" t="s">
        <v>14</v>
      </c>
      <c r="I1253" s="140" t="s">
        <v>14</v>
      </c>
      <c r="J1253" s="174"/>
    </row>
    <row r="1254" hidden="1" customHeight="1" spans="1:10">
      <c r="A1254" s="140" t="s">
        <v>341</v>
      </c>
      <c r="B1254" s="140" t="s">
        <v>330</v>
      </c>
      <c r="C1254" s="171">
        <v>45712</v>
      </c>
      <c r="D1254" s="172" t="s">
        <v>16</v>
      </c>
      <c r="E1254" s="140" t="s">
        <v>19</v>
      </c>
      <c r="F1254" s="140" t="s">
        <v>28</v>
      </c>
      <c r="G1254" s="140" t="s">
        <v>21</v>
      </c>
      <c r="H1254" s="140" t="s">
        <v>254</v>
      </c>
      <c r="I1254" s="140" t="s">
        <v>21</v>
      </c>
      <c r="J1254" s="174"/>
    </row>
    <row r="1255" hidden="1" customHeight="1" spans="1:10">
      <c r="A1255" s="140" t="s">
        <v>341</v>
      </c>
      <c r="B1255" s="140" t="s">
        <v>330</v>
      </c>
      <c r="C1255" s="171">
        <v>45713</v>
      </c>
      <c r="D1255" s="172" t="s">
        <v>17</v>
      </c>
      <c r="E1255" s="140" t="s">
        <v>19</v>
      </c>
      <c r="F1255" s="140" t="s">
        <v>36</v>
      </c>
      <c r="G1255" s="140" t="s">
        <v>21</v>
      </c>
      <c r="H1255" s="140" t="s">
        <v>232</v>
      </c>
      <c r="I1255" s="140" t="s">
        <v>21</v>
      </c>
      <c r="J1255" s="174"/>
    </row>
    <row r="1256" hidden="1" customHeight="1" spans="1:10">
      <c r="A1256" s="140" t="s">
        <v>341</v>
      </c>
      <c r="B1256" s="140" t="s">
        <v>330</v>
      </c>
      <c r="C1256" s="171">
        <v>45714</v>
      </c>
      <c r="D1256" s="172" t="s">
        <v>18</v>
      </c>
      <c r="E1256" s="140" t="s">
        <v>19</v>
      </c>
      <c r="F1256" s="140" t="s">
        <v>30</v>
      </c>
      <c r="G1256" s="140" t="s">
        <v>21</v>
      </c>
      <c r="H1256" s="140" t="s">
        <v>196</v>
      </c>
      <c r="I1256" s="140" t="s">
        <v>21</v>
      </c>
      <c r="J1256" s="174"/>
    </row>
    <row r="1257" hidden="1" customHeight="1" spans="1:10">
      <c r="A1257" s="140" t="s">
        <v>341</v>
      </c>
      <c r="B1257" s="140" t="s">
        <v>330</v>
      </c>
      <c r="C1257" s="171">
        <v>45715</v>
      </c>
      <c r="D1257" s="172" t="s">
        <v>23</v>
      </c>
      <c r="E1257" s="140" t="s">
        <v>19</v>
      </c>
      <c r="F1257" s="140" t="s">
        <v>157</v>
      </c>
      <c r="G1257" s="140" t="s">
        <v>21</v>
      </c>
      <c r="H1257" s="140" t="s">
        <v>347</v>
      </c>
      <c r="I1257" s="140" t="s">
        <v>21</v>
      </c>
      <c r="J1257" s="174"/>
    </row>
    <row r="1258" hidden="1" customHeight="1" spans="1:10">
      <c r="A1258" s="140" t="s">
        <v>341</v>
      </c>
      <c r="B1258" s="140" t="s">
        <v>330</v>
      </c>
      <c r="C1258" s="171">
        <v>45716</v>
      </c>
      <c r="D1258" s="172" t="s">
        <v>25</v>
      </c>
      <c r="E1258" s="140" t="s">
        <v>19</v>
      </c>
      <c r="F1258" s="140" t="s">
        <v>157</v>
      </c>
      <c r="G1258" s="140" t="s">
        <v>21</v>
      </c>
      <c r="H1258" s="140" t="s">
        <v>106</v>
      </c>
      <c r="I1258" s="140" t="s">
        <v>21</v>
      </c>
      <c r="J1258" s="174"/>
    </row>
    <row r="1259" hidden="1" customHeight="1" spans="1:10">
      <c r="A1259" s="140" t="s">
        <v>348</v>
      </c>
      <c r="B1259" s="140" t="s">
        <v>349</v>
      </c>
      <c r="C1259" s="171">
        <v>45689</v>
      </c>
      <c r="D1259" s="172" t="s">
        <v>12</v>
      </c>
      <c r="E1259" s="173" t="s">
        <v>13</v>
      </c>
      <c r="F1259" s="140" t="s">
        <v>14</v>
      </c>
      <c r="G1259" s="140" t="s">
        <v>14</v>
      </c>
      <c r="H1259" s="140" t="s">
        <v>14</v>
      </c>
      <c r="I1259" s="140" t="s">
        <v>14</v>
      </c>
      <c r="J1259" s="174"/>
    </row>
    <row r="1260" hidden="1" customHeight="1" spans="1:10">
      <c r="A1260" s="140" t="s">
        <v>348</v>
      </c>
      <c r="B1260" s="140" t="s">
        <v>349</v>
      </c>
      <c r="C1260" s="171">
        <v>45690</v>
      </c>
      <c r="D1260" s="172" t="s">
        <v>15</v>
      </c>
      <c r="E1260" s="173" t="s">
        <v>13</v>
      </c>
      <c r="F1260" s="140" t="s">
        <v>14</v>
      </c>
      <c r="G1260" s="140" t="s">
        <v>14</v>
      </c>
      <c r="H1260" s="140" t="s">
        <v>14</v>
      </c>
      <c r="I1260" s="140" t="s">
        <v>14</v>
      </c>
      <c r="J1260" s="174"/>
    </row>
    <row r="1261" hidden="1" customHeight="1" spans="1:10">
      <c r="A1261" s="140" t="s">
        <v>348</v>
      </c>
      <c r="B1261" s="140" t="s">
        <v>349</v>
      </c>
      <c r="C1261" s="171">
        <v>45691</v>
      </c>
      <c r="D1261" s="172" t="s">
        <v>16</v>
      </c>
      <c r="E1261" s="173" t="s">
        <v>13</v>
      </c>
      <c r="F1261" s="140" t="s">
        <v>14</v>
      </c>
      <c r="G1261" s="140" t="s">
        <v>14</v>
      </c>
      <c r="H1261" s="140" t="s">
        <v>14</v>
      </c>
      <c r="I1261" s="140" t="s">
        <v>14</v>
      </c>
      <c r="J1261" s="174"/>
    </row>
    <row r="1262" hidden="1" customHeight="1" spans="1:10">
      <c r="A1262" s="140" t="s">
        <v>348</v>
      </c>
      <c r="B1262" s="140" t="s">
        <v>349</v>
      </c>
      <c r="C1262" s="171">
        <v>45692</v>
      </c>
      <c r="D1262" s="172" t="s">
        <v>17</v>
      </c>
      <c r="E1262" s="173" t="s">
        <v>13</v>
      </c>
      <c r="F1262" s="140" t="s">
        <v>14</v>
      </c>
      <c r="G1262" s="140" t="s">
        <v>14</v>
      </c>
      <c r="H1262" s="140" t="s">
        <v>14</v>
      </c>
      <c r="I1262" s="140" t="s">
        <v>14</v>
      </c>
      <c r="J1262" s="174"/>
    </row>
    <row r="1263" hidden="1" customHeight="1" spans="1:10">
      <c r="A1263" s="140" t="s">
        <v>348</v>
      </c>
      <c r="B1263" s="140" t="s">
        <v>349</v>
      </c>
      <c r="C1263" s="171">
        <v>45693</v>
      </c>
      <c r="D1263" s="172" t="s">
        <v>18</v>
      </c>
      <c r="E1263" s="140" t="s">
        <v>19</v>
      </c>
      <c r="F1263" s="140" t="s">
        <v>135</v>
      </c>
      <c r="G1263" s="140" t="s">
        <v>21</v>
      </c>
      <c r="H1263" s="140" t="s">
        <v>240</v>
      </c>
      <c r="I1263" s="140" t="s">
        <v>21</v>
      </c>
      <c r="J1263" s="174"/>
    </row>
    <row r="1264" hidden="1" customHeight="1" spans="1:10">
      <c r="A1264" s="140" t="s">
        <v>348</v>
      </c>
      <c r="B1264" s="140" t="s">
        <v>349</v>
      </c>
      <c r="C1264" s="171">
        <v>45694</v>
      </c>
      <c r="D1264" s="172" t="s">
        <v>23</v>
      </c>
      <c r="E1264" s="140" t="s">
        <v>19</v>
      </c>
      <c r="F1264" s="140" t="s">
        <v>177</v>
      </c>
      <c r="G1264" s="140" t="s">
        <v>21</v>
      </c>
      <c r="H1264" s="140" t="s">
        <v>32</v>
      </c>
      <c r="I1264" s="140" t="s">
        <v>21</v>
      </c>
      <c r="J1264" s="174"/>
    </row>
    <row r="1265" hidden="1" customHeight="1" spans="1:10">
      <c r="A1265" s="140" t="s">
        <v>348</v>
      </c>
      <c r="B1265" s="140" t="s">
        <v>349</v>
      </c>
      <c r="C1265" s="171">
        <v>45695</v>
      </c>
      <c r="D1265" s="172" t="s">
        <v>25</v>
      </c>
      <c r="E1265" s="140" t="s">
        <v>19</v>
      </c>
      <c r="F1265" s="140" t="s">
        <v>107</v>
      </c>
      <c r="G1265" s="140" t="s">
        <v>21</v>
      </c>
      <c r="H1265" s="140" t="s">
        <v>151</v>
      </c>
      <c r="I1265" s="140" t="s">
        <v>21</v>
      </c>
      <c r="J1265" s="174"/>
    </row>
    <row r="1266" hidden="1" customHeight="1" spans="1:10">
      <c r="A1266" s="140" t="s">
        <v>348</v>
      </c>
      <c r="B1266" s="140" t="s">
        <v>349</v>
      </c>
      <c r="C1266" s="171">
        <v>45696</v>
      </c>
      <c r="D1266" s="172" t="s">
        <v>27</v>
      </c>
      <c r="E1266" s="140" t="s">
        <v>19</v>
      </c>
      <c r="F1266" s="140" t="s">
        <v>177</v>
      </c>
      <c r="G1266" s="140" t="s">
        <v>21</v>
      </c>
      <c r="H1266" s="140" t="s">
        <v>167</v>
      </c>
      <c r="I1266" s="140" t="s">
        <v>21</v>
      </c>
      <c r="J1266" s="174"/>
    </row>
    <row r="1267" hidden="1" customHeight="1" spans="1:10">
      <c r="A1267" s="140" t="s">
        <v>348</v>
      </c>
      <c r="B1267" s="140" t="s">
        <v>349</v>
      </c>
      <c r="C1267" s="171">
        <v>45697</v>
      </c>
      <c r="D1267" s="172" t="s">
        <v>15</v>
      </c>
      <c r="E1267" s="173" t="s">
        <v>13</v>
      </c>
      <c r="F1267" s="140" t="s">
        <v>14</v>
      </c>
      <c r="G1267" s="140" t="s">
        <v>14</v>
      </c>
      <c r="H1267" s="140" t="s">
        <v>14</v>
      </c>
      <c r="I1267" s="140" t="s">
        <v>14</v>
      </c>
      <c r="J1267" s="174"/>
    </row>
    <row r="1268" hidden="1" customHeight="1" spans="1:10">
      <c r="A1268" s="140" t="s">
        <v>348</v>
      </c>
      <c r="B1268" s="140" t="s">
        <v>349</v>
      </c>
      <c r="C1268" s="171">
        <v>45698</v>
      </c>
      <c r="D1268" s="172" t="s">
        <v>16</v>
      </c>
      <c r="E1268" s="140" t="s">
        <v>19</v>
      </c>
      <c r="F1268" s="140" t="s">
        <v>154</v>
      </c>
      <c r="G1268" s="140" t="s">
        <v>21</v>
      </c>
      <c r="H1268" s="140" t="s">
        <v>172</v>
      </c>
      <c r="I1268" s="140" t="s">
        <v>21</v>
      </c>
      <c r="J1268" s="174"/>
    </row>
    <row r="1269" hidden="1" customHeight="1" spans="1:10">
      <c r="A1269" s="140" t="s">
        <v>348</v>
      </c>
      <c r="B1269" s="140" t="s">
        <v>349</v>
      </c>
      <c r="C1269" s="171">
        <v>45699</v>
      </c>
      <c r="D1269" s="172" t="s">
        <v>17</v>
      </c>
      <c r="E1269" s="140" t="s">
        <v>19</v>
      </c>
      <c r="F1269" s="140" t="s">
        <v>157</v>
      </c>
      <c r="G1269" s="140" t="s">
        <v>21</v>
      </c>
      <c r="H1269" s="140" t="s">
        <v>210</v>
      </c>
      <c r="I1269" s="140" t="s">
        <v>21</v>
      </c>
      <c r="J1269" s="174"/>
    </row>
    <row r="1270" hidden="1" customHeight="1" spans="1:10">
      <c r="A1270" s="140" t="s">
        <v>348</v>
      </c>
      <c r="B1270" s="140" t="s">
        <v>349</v>
      </c>
      <c r="C1270" s="171">
        <v>45700</v>
      </c>
      <c r="D1270" s="172" t="s">
        <v>18</v>
      </c>
      <c r="E1270" s="140" t="s">
        <v>19</v>
      </c>
      <c r="F1270" s="140" t="s">
        <v>28</v>
      </c>
      <c r="G1270" s="140" t="s">
        <v>21</v>
      </c>
      <c r="H1270" s="140" t="s">
        <v>210</v>
      </c>
      <c r="I1270" s="140" t="s">
        <v>21</v>
      </c>
      <c r="J1270" s="174"/>
    </row>
    <row r="1271" hidden="1" customHeight="1" spans="1:10">
      <c r="A1271" s="140" t="s">
        <v>348</v>
      </c>
      <c r="B1271" s="140" t="s">
        <v>349</v>
      </c>
      <c r="C1271" s="171">
        <v>45701</v>
      </c>
      <c r="D1271" s="172" t="s">
        <v>23</v>
      </c>
      <c r="E1271" s="140" t="s">
        <v>19</v>
      </c>
      <c r="F1271" s="140" t="s">
        <v>94</v>
      </c>
      <c r="G1271" s="140" t="s">
        <v>21</v>
      </c>
      <c r="H1271" s="140" t="s">
        <v>252</v>
      </c>
      <c r="I1271" s="140" t="s">
        <v>21</v>
      </c>
      <c r="J1271" s="174"/>
    </row>
    <row r="1272" hidden="1" customHeight="1" spans="1:10">
      <c r="A1272" s="140" t="s">
        <v>348</v>
      </c>
      <c r="B1272" s="140" t="s">
        <v>349</v>
      </c>
      <c r="C1272" s="171">
        <v>45702</v>
      </c>
      <c r="D1272" s="172" t="s">
        <v>25</v>
      </c>
      <c r="E1272" s="140" t="s">
        <v>19</v>
      </c>
      <c r="F1272" s="140" t="s">
        <v>107</v>
      </c>
      <c r="G1272" s="140" t="s">
        <v>21</v>
      </c>
      <c r="H1272" s="140" t="s">
        <v>174</v>
      </c>
      <c r="I1272" s="140" t="s">
        <v>21</v>
      </c>
      <c r="J1272" s="174"/>
    </row>
    <row r="1273" hidden="1" customHeight="1" spans="1:10">
      <c r="A1273" s="140" t="s">
        <v>348</v>
      </c>
      <c r="B1273" s="140" t="s">
        <v>349</v>
      </c>
      <c r="C1273" s="171">
        <v>45703</v>
      </c>
      <c r="D1273" s="172" t="s">
        <v>27</v>
      </c>
      <c r="E1273" s="173" t="s">
        <v>13</v>
      </c>
      <c r="F1273" s="140" t="s">
        <v>14</v>
      </c>
      <c r="G1273" s="140" t="s">
        <v>14</v>
      </c>
      <c r="H1273" s="140" t="s">
        <v>14</v>
      </c>
      <c r="I1273" s="140" t="s">
        <v>14</v>
      </c>
      <c r="J1273" s="174"/>
    </row>
    <row r="1274" hidden="1" customHeight="1" spans="1:10">
      <c r="A1274" s="140" t="s">
        <v>348</v>
      </c>
      <c r="B1274" s="140" t="s">
        <v>349</v>
      </c>
      <c r="C1274" s="171">
        <v>45704</v>
      </c>
      <c r="D1274" s="172" t="s">
        <v>15</v>
      </c>
      <c r="E1274" s="173" t="s">
        <v>13</v>
      </c>
      <c r="F1274" s="140" t="s">
        <v>14</v>
      </c>
      <c r="G1274" s="140" t="s">
        <v>14</v>
      </c>
      <c r="H1274" s="140" t="s">
        <v>14</v>
      </c>
      <c r="I1274" s="140" t="s">
        <v>14</v>
      </c>
      <c r="J1274" s="174"/>
    </row>
    <row r="1275" hidden="1" customHeight="1" spans="1:10">
      <c r="A1275" s="140" t="s">
        <v>348</v>
      </c>
      <c r="B1275" s="140" t="s">
        <v>349</v>
      </c>
      <c r="C1275" s="171">
        <v>45705</v>
      </c>
      <c r="D1275" s="172" t="s">
        <v>16</v>
      </c>
      <c r="E1275" s="140" t="s">
        <v>19</v>
      </c>
      <c r="F1275" s="140" t="s">
        <v>139</v>
      </c>
      <c r="G1275" s="140" t="s">
        <v>21</v>
      </c>
      <c r="H1275" s="140" t="s">
        <v>170</v>
      </c>
      <c r="I1275" s="140" t="s">
        <v>21</v>
      </c>
      <c r="J1275" s="174"/>
    </row>
    <row r="1276" hidden="1" customHeight="1" spans="1:10">
      <c r="A1276" s="140" t="s">
        <v>348</v>
      </c>
      <c r="B1276" s="140" t="s">
        <v>349</v>
      </c>
      <c r="C1276" s="171">
        <v>45706</v>
      </c>
      <c r="D1276" s="172" t="s">
        <v>17</v>
      </c>
      <c r="E1276" s="140" t="s">
        <v>19</v>
      </c>
      <c r="F1276" s="140" t="s">
        <v>139</v>
      </c>
      <c r="G1276" s="140" t="s">
        <v>21</v>
      </c>
      <c r="H1276" s="140" t="s">
        <v>191</v>
      </c>
      <c r="I1276" s="140" t="s">
        <v>21</v>
      </c>
      <c r="J1276" s="174"/>
    </row>
    <row r="1277" hidden="1" customHeight="1" spans="1:10">
      <c r="A1277" s="140" t="s">
        <v>348</v>
      </c>
      <c r="B1277" s="140" t="s">
        <v>349</v>
      </c>
      <c r="C1277" s="171">
        <v>45707</v>
      </c>
      <c r="D1277" s="172" t="s">
        <v>18</v>
      </c>
      <c r="E1277" s="140" t="s">
        <v>19</v>
      </c>
      <c r="F1277" s="140" t="s">
        <v>150</v>
      </c>
      <c r="G1277" s="140" t="s">
        <v>21</v>
      </c>
      <c r="H1277" s="140" t="s">
        <v>53</v>
      </c>
      <c r="I1277" s="140" t="s">
        <v>21</v>
      </c>
      <c r="J1277" s="174"/>
    </row>
    <row r="1278" hidden="1" customHeight="1" spans="1:10">
      <c r="A1278" s="140" t="s">
        <v>348</v>
      </c>
      <c r="B1278" s="140" t="s">
        <v>349</v>
      </c>
      <c r="C1278" s="171">
        <v>45708</v>
      </c>
      <c r="D1278" s="172" t="s">
        <v>23</v>
      </c>
      <c r="E1278" s="140" t="s">
        <v>19</v>
      </c>
      <c r="F1278" s="140" t="s">
        <v>154</v>
      </c>
      <c r="G1278" s="140" t="s">
        <v>21</v>
      </c>
      <c r="H1278" s="140" t="s">
        <v>215</v>
      </c>
      <c r="I1278" s="140" t="s">
        <v>21</v>
      </c>
      <c r="J1278" s="174"/>
    </row>
    <row r="1279" hidden="1" customHeight="1" spans="1:10">
      <c r="A1279" s="140" t="s">
        <v>348</v>
      </c>
      <c r="B1279" s="140" t="s">
        <v>349</v>
      </c>
      <c r="C1279" s="171">
        <v>45709</v>
      </c>
      <c r="D1279" s="172" t="s">
        <v>25</v>
      </c>
      <c r="E1279" s="140" t="s">
        <v>19</v>
      </c>
      <c r="F1279" s="140" t="s">
        <v>110</v>
      </c>
      <c r="G1279" s="140" t="s">
        <v>21</v>
      </c>
      <c r="H1279" s="140" t="s">
        <v>92</v>
      </c>
      <c r="I1279" s="140" t="s">
        <v>21</v>
      </c>
      <c r="J1279" s="174"/>
    </row>
    <row r="1280" hidden="1" customHeight="1" spans="1:10">
      <c r="A1280" s="140" t="s">
        <v>348</v>
      </c>
      <c r="B1280" s="140" t="s">
        <v>349</v>
      </c>
      <c r="C1280" s="171">
        <v>45710</v>
      </c>
      <c r="D1280" s="172" t="s">
        <v>27</v>
      </c>
      <c r="E1280" s="173" t="s">
        <v>13</v>
      </c>
      <c r="F1280" s="140" t="s">
        <v>14</v>
      </c>
      <c r="G1280" s="140" t="s">
        <v>14</v>
      </c>
      <c r="H1280" s="140" t="s">
        <v>14</v>
      </c>
      <c r="I1280" s="140" t="s">
        <v>14</v>
      </c>
      <c r="J1280" s="174"/>
    </row>
    <row r="1281" hidden="1" customHeight="1" spans="1:10">
      <c r="A1281" s="140" t="s">
        <v>348</v>
      </c>
      <c r="B1281" s="140" t="s">
        <v>349</v>
      </c>
      <c r="C1281" s="171">
        <v>45711</v>
      </c>
      <c r="D1281" s="172" t="s">
        <v>15</v>
      </c>
      <c r="E1281" s="173" t="s">
        <v>13</v>
      </c>
      <c r="F1281" s="140" t="s">
        <v>14</v>
      </c>
      <c r="G1281" s="140" t="s">
        <v>14</v>
      </c>
      <c r="H1281" s="140" t="s">
        <v>14</v>
      </c>
      <c r="I1281" s="140" t="s">
        <v>14</v>
      </c>
      <c r="J1281" s="174"/>
    </row>
    <row r="1282" hidden="1" customHeight="1" spans="1:10">
      <c r="A1282" s="140" t="s">
        <v>348</v>
      </c>
      <c r="B1282" s="140" t="s">
        <v>349</v>
      </c>
      <c r="C1282" s="171">
        <v>45712</v>
      </c>
      <c r="D1282" s="172" t="s">
        <v>16</v>
      </c>
      <c r="E1282" s="140" t="s">
        <v>19</v>
      </c>
      <c r="F1282" s="140" t="s">
        <v>49</v>
      </c>
      <c r="G1282" s="140" t="s">
        <v>21</v>
      </c>
      <c r="H1282" s="140" t="s">
        <v>92</v>
      </c>
      <c r="I1282" s="140" t="s">
        <v>21</v>
      </c>
      <c r="J1282" s="174"/>
    </row>
    <row r="1283" hidden="1" customHeight="1" spans="1:10">
      <c r="A1283" s="140" t="s">
        <v>348</v>
      </c>
      <c r="B1283" s="140" t="s">
        <v>349</v>
      </c>
      <c r="C1283" s="171">
        <v>45713</v>
      </c>
      <c r="D1283" s="172" t="s">
        <v>17</v>
      </c>
      <c r="E1283" s="140" t="s">
        <v>19</v>
      </c>
      <c r="F1283" s="140" t="s">
        <v>49</v>
      </c>
      <c r="G1283" s="140" t="s">
        <v>21</v>
      </c>
      <c r="H1283" s="140" t="s">
        <v>80</v>
      </c>
      <c r="I1283" s="140" t="s">
        <v>21</v>
      </c>
      <c r="J1283" s="174"/>
    </row>
    <row r="1284" hidden="1" customHeight="1" spans="1:10">
      <c r="A1284" s="140" t="s">
        <v>348</v>
      </c>
      <c r="B1284" s="140" t="s">
        <v>349</v>
      </c>
      <c r="C1284" s="171">
        <v>45714</v>
      </c>
      <c r="D1284" s="172" t="s">
        <v>18</v>
      </c>
      <c r="E1284" s="140" t="s">
        <v>19</v>
      </c>
      <c r="F1284" s="140" t="s">
        <v>28</v>
      </c>
      <c r="G1284" s="140" t="s">
        <v>21</v>
      </c>
      <c r="H1284" s="140" t="s">
        <v>212</v>
      </c>
      <c r="I1284" s="140" t="s">
        <v>21</v>
      </c>
      <c r="J1284" s="174"/>
    </row>
    <row r="1285" hidden="1" customHeight="1" spans="1:10">
      <c r="A1285" s="140" t="s">
        <v>348</v>
      </c>
      <c r="B1285" s="140" t="s">
        <v>349</v>
      </c>
      <c r="C1285" s="171">
        <v>45715</v>
      </c>
      <c r="D1285" s="172" t="s">
        <v>23</v>
      </c>
      <c r="E1285" s="140" t="s">
        <v>19</v>
      </c>
      <c r="F1285" s="140" t="s">
        <v>108</v>
      </c>
      <c r="G1285" s="140" t="s">
        <v>21</v>
      </c>
      <c r="H1285" s="140" t="s">
        <v>170</v>
      </c>
      <c r="I1285" s="140" t="s">
        <v>21</v>
      </c>
      <c r="J1285" s="174"/>
    </row>
    <row r="1286" hidden="1" customHeight="1" spans="1:10">
      <c r="A1286" s="140" t="s">
        <v>348</v>
      </c>
      <c r="B1286" s="140" t="s">
        <v>349</v>
      </c>
      <c r="C1286" s="171">
        <v>45716</v>
      </c>
      <c r="D1286" s="172" t="s">
        <v>25</v>
      </c>
      <c r="E1286" s="140" t="s">
        <v>19</v>
      </c>
      <c r="F1286" s="140" t="s">
        <v>94</v>
      </c>
      <c r="G1286" s="140" t="s">
        <v>21</v>
      </c>
      <c r="H1286" s="140" t="s">
        <v>189</v>
      </c>
      <c r="I1286" s="140" t="s">
        <v>21</v>
      </c>
      <c r="J1286" s="174"/>
    </row>
    <row r="1287" hidden="1" customHeight="1" spans="1:10">
      <c r="A1287" s="140" t="s">
        <v>350</v>
      </c>
      <c r="B1287" s="140" t="s">
        <v>149</v>
      </c>
      <c r="C1287" s="171">
        <v>45689</v>
      </c>
      <c r="D1287" s="172" t="s">
        <v>12</v>
      </c>
      <c r="E1287" s="173" t="s">
        <v>13</v>
      </c>
      <c r="F1287" s="140" t="s">
        <v>14</v>
      </c>
      <c r="G1287" s="140" t="s">
        <v>14</v>
      </c>
      <c r="H1287" s="140" t="s">
        <v>14</v>
      </c>
      <c r="I1287" s="140" t="s">
        <v>14</v>
      </c>
      <c r="J1287" s="174"/>
    </row>
    <row r="1288" hidden="1" customHeight="1" spans="1:10">
      <c r="A1288" s="140" t="s">
        <v>350</v>
      </c>
      <c r="B1288" s="140" t="s">
        <v>149</v>
      </c>
      <c r="C1288" s="171">
        <v>45690</v>
      </c>
      <c r="D1288" s="172" t="s">
        <v>15</v>
      </c>
      <c r="E1288" s="173" t="s">
        <v>13</v>
      </c>
      <c r="F1288" s="140" t="s">
        <v>14</v>
      </c>
      <c r="G1288" s="140" t="s">
        <v>14</v>
      </c>
      <c r="H1288" s="140" t="s">
        <v>14</v>
      </c>
      <c r="I1288" s="140" t="s">
        <v>14</v>
      </c>
      <c r="J1288" s="174"/>
    </row>
    <row r="1289" hidden="1" customHeight="1" spans="1:10">
      <c r="A1289" s="140" t="s">
        <v>350</v>
      </c>
      <c r="B1289" s="140" t="s">
        <v>149</v>
      </c>
      <c r="C1289" s="171">
        <v>45691</v>
      </c>
      <c r="D1289" s="172" t="s">
        <v>16</v>
      </c>
      <c r="E1289" s="173" t="s">
        <v>13</v>
      </c>
      <c r="F1289" s="140" t="s">
        <v>14</v>
      </c>
      <c r="G1289" s="140" t="s">
        <v>14</v>
      </c>
      <c r="H1289" s="140" t="s">
        <v>14</v>
      </c>
      <c r="I1289" s="140" t="s">
        <v>14</v>
      </c>
      <c r="J1289" s="174"/>
    </row>
    <row r="1290" hidden="1" customHeight="1" spans="1:10">
      <c r="A1290" s="140" t="s">
        <v>350</v>
      </c>
      <c r="B1290" s="140" t="s">
        <v>149</v>
      </c>
      <c r="C1290" s="171">
        <v>45692</v>
      </c>
      <c r="D1290" s="172" t="s">
        <v>17</v>
      </c>
      <c r="E1290" s="173" t="s">
        <v>13</v>
      </c>
      <c r="F1290" s="140" t="s">
        <v>14</v>
      </c>
      <c r="G1290" s="140" t="s">
        <v>14</v>
      </c>
      <c r="H1290" s="140" t="s">
        <v>14</v>
      </c>
      <c r="I1290" s="140" t="s">
        <v>14</v>
      </c>
      <c r="J1290" s="174"/>
    </row>
    <row r="1291" hidden="1" customHeight="1" spans="1:10">
      <c r="A1291" s="140" t="s">
        <v>350</v>
      </c>
      <c r="B1291" s="140" t="s">
        <v>149</v>
      </c>
      <c r="C1291" s="171">
        <v>45693</v>
      </c>
      <c r="D1291" s="172" t="s">
        <v>18</v>
      </c>
      <c r="E1291" s="140" t="s">
        <v>19</v>
      </c>
      <c r="F1291" s="140" t="s">
        <v>36</v>
      </c>
      <c r="G1291" s="140" t="s">
        <v>21</v>
      </c>
      <c r="H1291" s="140" t="s">
        <v>351</v>
      </c>
      <c r="I1291" s="140" t="s">
        <v>21</v>
      </c>
      <c r="J1291" s="174"/>
    </row>
    <row r="1292" hidden="1" customHeight="1" spans="1:10">
      <c r="A1292" s="140" t="s">
        <v>350</v>
      </c>
      <c r="B1292" s="140" t="s">
        <v>149</v>
      </c>
      <c r="C1292" s="171">
        <v>45694</v>
      </c>
      <c r="D1292" s="172" t="s">
        <v>23</v>
      </c>
      <c r="E1292" s="140" t="s">
        <v>19</v>
      </c>
      <c r="F1292" s="140" t="s">
        <v>36</v>
      </c>
      <c r="G1292" s="140" t="s">
        <v>21</v>
      </c>
      <c r="H1292" s="140" t="s">
        <v>54</v>
      </c>
      <c r="I1292" s="140" t="s">
        <v>21</v>
      </c>
      <c r="J1292" s="174"/>
    </row>
    <row r="1293" hidden="1" customHeight="1" spans="1:10">
      <c r="A1293" s="140" t="s">
        <v>350</v>
      </c>
      <c r="B1293" s="140" t="s">
        <v>149</v>
      </c>
      <c r="C1293" s="171">
        <v>45695</v>
      </c>
      <c r="D1293" s="172" t="s">
        <v>25</v>
      </c>
      <c r="E1293" s="140" t="s">
        <v>19</v>
      </c>
      <c r="F1293" s="140" t="s">
        <v>20</v>
      </c>
      <c r="G1293" s="140" t="s">
        <v>21</v>
      </c>
      <c r="H1293" s="140" t="s">
        <v>161</v>
      </c>
      <c r="I1293" s="140" t="s">
        <v>21</v>
      </c>
      <c r="J1293" s="174"/>
    </row>
    <row r="1294" hidden="1" customHeight="1" spans="1:10">
      <c r="A1294" s="140" t="s">
        <v>350</v>
      </c>
      <c r="B1294" s="140" t="s">
        <v>149</v>
      </c>
      <c r="C1294" s="171">
        <v>45696</v>
      </c>
      <c r="D1294" s="172" t="s">
        <v>27</v>
      </c>
      <c r="E1294" s="140" t="s">
        <v>19</v>
      </c>
      <c r="F1294" s="140" t="s">
        <v>33</v>
      </c>
      <c r="G1294" s="140" t="s">
        <v>21</v>
      </c>
      <c r="H1294" s="140" t="s">
        <v>130</v>
      </c>
      <c r="I1294" s="140" t="s">
        <v>21</v>
      </c>
      <c r="J1294" s="174"/>
    </row>
    <row r="1295" hidden="1" customHeight="1" spans="1:10">
      <c r="A1295" s="140" t="s">
        <v>350</v>
      </c>
      <c r="B1295" s="140" t="s">
        <v>149</v>
      </c>
      <c r="C1295" s="171">
        <v>45697</v>
      </c>
      <c r="D1295" s="172" t="s">
        <v>15</v>
      </c>
      <c r="E1295" s="173" t="s">
        <v>13</v>
      </c>
      <c r="F1295" s="140" t="s">
        <v>14</v>
      </c>
      <c r="G1295" s="140" t="s">
        <v>14</v>
      </c>
      <c r="H1295" s="140" t="s">
        <v>14</v>
      </c>
      <c r="I1295" s="140" t="s">
        <v>14</v>
      </c>
      <c r="J1295" s="174"/>
    </row>
    <row r="1296" hidden="1" customHeight="1" spans="1:10">
      <c r="A1296" s="140" t="s">
        <v>350</v>
      </c>
      <c r="B1296" s="140" t="s">
        <v>149</v>
      </c>
      <c r="C1296" s="171">
        <v>45698</v>
      </c>
      <c r="D1296" s="172" t="s">
        <v>16</v>
      </c>
      <c r="E1296" s="140" t="s">
        <v>19</v>
      </c>
      <c r="F1296" s="140" t="s">
        <v>20</v>
      </c>
      <c r="G1296" s="140" t="s">
        <v>21</v>
      </c>
      <c r="H1296" s="140" t="s">
        <v>24</v>
      </c>
      <c r="I1296" s="140" t="s">
        <v>21</v>
      </c>
      <c r="J1296" s="174"/>
    </row>
    <row r="1297" hidden="1" customHeight="1" spans="1:10">
      <c r="A1297" s="140" t="s">
        <v>350</v>
      </c>
      <c r="B1297" s="140" t="s">
        <v>149</v>
      </c>
      <c r="C1297" s="171">
        <v>45699</v>
      </c>
      <c r="D1297" s="172" t="s">
        <v>17</v>
      </c>
      <c r="E1297" s="140" t="s">
        <v>19</v>
      </c>
      <c r="F1297" s="140" t="s">
        <v>51</v>
      </c>
      <c r="G1297" s="140" t="s">
        <v>21</v>
      </c>
      <c r="H1297" s="140" t="s">
        <v>125</v>
      </c>
      <c r="I1297" s="140" t="s">
        <v>21</v>
      </c>
      <c r="J1297" s="174"/>
    </row>
    <row r="1298" hidden="1" customHeight="1" spans="1:10">
      <c r="A1298" s="140" t="s">
        <v>350</v>
      </c>
      <c r="B1298" s="140" t="s">
        <v>149</v>
      </c>
      <c r="C1298" s="171">
        <v>45700</v>
      </c>
      <c r="D1298" s="172" t="s">
        <v>18</v>
      </c>
      <c r="E1298" s="140" t="s">
        <v>19</v>
      </c>
      <c r="F1298" s="140" t="s">
        <v>90</v>
      </c>
      <c r="G1298" s="140" t="s">
        <v>21</v>
      </c>
      <c r="H1298" s="140" t="s">
        <v>252</v>
      </c>
      <c r="I1298" s="140" t="s">
        <v>21</v>
      </c>
      <c r="J1298" s="174"/>
    </row>
    <row r="1299" hidden="1" customHeight="1" spans="1:10">
      <c r="A1299" s="140" t="s">
        <v>350</v>
      </c>
      <c r="B1299" s="140" t="s">
        <v>149</v>
      </c>
      <c r="C1299" s="171">
        <v>45701</v>
      </c>
      <c r="D1299" s="172" t="s">
        <v>23</v>
      </c>
      <c r="E1299" s="140" t="s">
        <v>19</v>
      </c>
      <c r="F1299" s="140" t="s">
        <v>46</v>
      </c>
      <c r="G1299" s="140" t="s">
        <v>21</v>
      </c>
      <c r="H1299" s="140" t="s">
        <v>160</v>
      </c>
      <c r="I1299" s="140" t="s">
        <v>21</v>
      </c>
      <c r="J1299" s="174"/>
    </row>
    <row r="1300" hidden="1" customHeight="1" spans="1:10">
      <c r="A1300" s="140" t="s">
        <v>350</v>
      </c>
      <c r="B1300" s="140" t="s">
        <v>149</v>
      </c>
      <c r="C1300" s="171">
        <v>45702</v>
      </c>
      <c r="D1300" s="172" t="s">
        <v>25</v>
      </c>
      <c r="E1300" s="140" t="s">
        <v>19</v>
      </c>
      <c r="F1300" s="140" t="s">
        <v>209</v>
      </c>
      <c r="G1300" s="140" t="s">
        <v>21</v>
      </c>
      <c r="H1300" s="140" t="s">
        <v>114</v>
      </c>
      <c r="I1300" s="140" t="s">
        <v>21</v>
      </c>
      <c r="J1300" s="174"/>
    </row>
    <row r="1301" hidden="1" customHeight="1" spans="1:10">
      <c r="A1301" s="140" t="s">
        <v>350</v>
      </c>
      <c r="B1301" s="140" t="s">
        <v>149</v>
      </c>
      <c r="C1301" s="171">
        <v>45703</v>
      </c>
      <c r="D1301" s="172" t="s">
        <v>27</v>
      </c>
      <c r="E1301" s="173" t="s">
        <v>13</v>
      </c>
      <c r="F1301" s="140" t="s">
        <v>14</v>
      </c>
      <c r="G1301" s="140" t="s">
        <v>14</v>
      </c>
      <c r="H1301" s="140" t="s">
        <v>14</v>
      </c>
      <c r="I1301" s="140" t="s">
        <v>14</v>
      </c>
      <c r="J1301" s="174"/>
    </row>
    <row r="1302" hidden="1" customHeight="1" spans="1:10">
      <c r="A1302" s="140" t="s">
        <v>350</v>
      </c>
      <c r="B1302" s="140" t="s">
        <v>149</v>
      </c>
      <c r="C1302" s="171">
        <v>45704</v>
      </c>
      <c r="D1302" s="172" t="s">
        <v>15</v>
      </c>
      <c r="E1302" s="173" t="s">
        <v>13</v>
      </c>
      <c r="F1302" s="140" t="s">
        <v>14</v>
      </c>
      <c r="G1302" s="140" t="s">
        <v>14</v>
      </c>
      <c r="H1302" s="140" t="s">
        <v>14</v>
      </c>
      <c r="I1302" s="140" t="s">
        <v>14</v>
      </c>
      <c r="J1302" s="174"/>
    </row>
    <row r="1303" hidden="1" customHeight="1" spans="1:10">
      <c r="A1303" s="140" t="s">
        <v>350</v>
      </c>
      <c r="B1303" s="140" t="s">
        <v>149</v>
      </c>
      <c r="C1303" s="171">
        <v>45705</v>
      </c>
      <c r="D1303" s="172" t="s">
        <v>16</v>
      </c>
      <c r="E1303" s="140" t="s">
        <v>19</v>
      </c>
      <c r="F1303" s="140" t="s">
        <v>90</v>
      </c>
      <c r="G1303" s="140" t="s">
        <v>21</v>
      </c>
      <c r="H1303" s="140" t="s">
        <v>273</v>
      </c>
      <c r="I1303" s="140" t="s">
        <v>21</v>
      </c>
      <c r="J1303" s="174"/>
    </row>
    <row r="1304" hidden="1" customHeight="1" spans="1:10">
      <c r="A1304" s="140" t="s">
        <v>350</v>
      </c>
      <c r="B1304" s="140" t="s">
        <v>149</v>
      </c>
      <c r="C1304" s="171">
        <v>45706</v>
      </c>
      <c r="D1304" s="172" t="s">
        <v>17</v>
      </c>
      <c r="E1304" s="140" t="s">
        <v>19</v>
      </c>
      <c r="F1304" s="140" t="s">
        <v>46</v>
      </c>
      <c r="G1304" s="140" t="s">
        <v>21</v>
      </c>
      <c r="H1304" s="140" t="s">
        <v>29</v>
      </c>
      <c r="I1304" s="140" t="s">
        <v>21</v>
      </c>
      <c r="J1304" s="174"/>
    </row>
    <row r="1305" hidden="1" customHeight="1" spans="1:10">
      <c r="A1305" s="140" t="s">
        <v>350</v>
      </c>
      <c r="B1305" s="140" t="s">
        <v>149</v>
      </c>
      <c r="C1305" s="171">
        <v>45707</v>
      </c>
      <c r="D1305" s="172" t="s">
        <v>18</v>
      </c>
      <c r="E1305" s="140" t="s">
        <v>19</v>
      </c>
      <c r="F1305" s="140" t="s">
        <v>90</v>
      </c>
      <c r="G1305" s="140" t="s">
        <v>21</v>
      </c>
      <c r="H1305" s="140" t="s">
        <v>114</v>
      </c>
      <c r="I1305" s="140" t="s">
        <v>21</v>
      </c>
      <c r="J1305" s="174"/>
    </row>
    <row r="1306" hidden="1" customHeight="1" spans="1:10">
      <c r="A1306" s="140" t="s">
        <v>350</v>
      </c>
      <c r="B1306" s="140" t="s">
        <v>149</v>
      </c>
      <c r="C1306" s="171">
        <v>45708</v>
      </c>
      <c r="D1306" s="172" t="s">
        <v>23</v>
      </c>
      <c r="E1306" s="140" t="s">
        <v>19</v>
      </c>
      <c r="F1306" s="140" t="s">
        <v>43</v>
      </c>
      <c r="G1306" s="140" t="s">
        <v>21</v>
      </c>
      <c r="H1306" s="140" t="s">
        <v>163</v>
      </c>
      <c r="I1306" s="140" t="s">
        <v>21</v>
      </c>
      <c r="J1306" s="174"/>
    </row>
    <row r="1307" hidden="1" customHeight="1" spans="1:10">
      <c r="A1307" s="140" t="s">
        <v>350</v>
      </c>
      <c r="B1307" s="140" t="s">
        <v>149</v>
      </c>
      <c r="C1307" s="171">
        <v>45709</v>
      </c>
      <c r="D1307" s="172" t="s">
        <v>25</v>
      </c>
      <c r="E1307" s="140" t="s">
        <v>19</v>
      </c>
      <c r="F1307" s="140" t="s">
        <v>46</v>
      </c>
      <c r="G1307" s="140" t="s">
        <v>21</v>
      </c>
      <c r="H1307" s="140" t="s">
        <v>45</v>
      </c>
      <c r="I1307" s="140" t="s">
        <v>21</v>
      </c>
      <c r="J1307" s="174"/>
    </row>
    <row r="1308" hidden="1" customHeight="1" spans="1:10">
      <c r="A1308" s="140" t="s">
        <v>350</v>
      </c>
      <c r="B1308" s="140" t="s">
        <v>149</v>
      </c>
      <c r="C1308" s="171">
        <v>45710</v>
      </c>
      <c r="D1308" s="172" t="s">
        <v>27</v>
      </c>
      <c r="E1308" s="173" t="s">
        <v>13</v>
      </c>
      <c r="F1308" s="140" t="s">
        <v>14</v>
      </c>
      <c r="G1308" s="140" t="s">
        <v>14</v>
      </c>
      <c r="H1308" s="140" t="s">
        <v>14</v>
      </c>
      <c r="I1308" s="140" t="s">
        <v>14</v>
      </c>
      <c r="J1308" s="174"/>
    </row>
    <row r="1309" hidden="1" customHeight="1" spans="1:10">
      <c r="A1309" s="140" t="s">
        <v>350</v>
      </c>
      <c r="B1309" s="140" t="s">
        <v>149</v>
      </c>
      <c r="C1309" s="171">
        <v>45711</v>
      </c>
      <c r="D1309" s="172" t="s">
        <v>15</v>
      </c>
      <c r="E1309" s="173" t="s">
        <v>13</v>
      </c>
      <c r="F1309" s="140" t="s">
        <v>14</v>
      </c>
      <c r="G1309" s="140" t="s">
        <v>14</v>
      </c>
      <c r="H1309" s="140" t="s">
        <v>14</v>
      </c>
      <c r="I1309" s="140" t="s">
        <v>14</v>
      </c>
      <c r="J1309" s="174"/>
    </row>
    <row r="1310" hidden="1" customHeight="1" spans="1:10">
      <c r="A1310" s="140" t="s">
        <v>350</v>
      </c>
      <c r="B1310" s="140" t="s">
        <v>149</v>
      </c>
      <c r="C1310" s="171">
        <v>45712</v>
      </c>
      <c r="D1310" s="172" t="s">
        <v>16</v>
      </c>
      <c r="E1310" s="140" t="s">
        <v>19</v>
      </c>
      <c r="F1310" s="140" t="s">
        <v>90</v>
      </c>
      <c r="G1310" s="140" t="s">
        <v>21</v>
      </c>
      <c r="H1310" s="140" t="s">
        <v>116</v>
      </c>
      <c r="I1310" s="140" t="s">
        <v>21</v>
      </c>
      <c r="J1310" s="174"/>
    </row>
    <row r="1311" hidden="1" customHeight="1" spans="1:10">
      <c r="A1311" s="140" t="s">
        <v>350</v>
      </c>
      <c r="B1311" s="140" t="s">
        <v>149</v>
      </c>
      <c r="C1311" s="171">
        <v>45713</v>
      </c>
      <c r="D1311" s="172" t="s">
        <v>17</v>
      </c>
      <c r="E1311" s="140" t="s">
        <v>19</v>
      </c>
      <c r="F1311" s="140" t="s">
        <v>51</v>
      </c>
      <c r="G1311" s="140" t="s">
        <v>21</v>
      </c>
      <c r="H1311" s="140" t="s">
        <v>207</v>
      </c>
      <c r="I1311" s="140" t="s">
        <v>21</v>
      </c>
      <c r="J1311" s="174"/>
    </row>
    <row r="1312" customHeight="1" spans="1:10">
      <c r="A1312" s="140" t="s">
        <v>350</v>
      </c>
      <c r="B1312" s="140" t="s">
        <v>149</v>
      </c>
      <c r="C1312" s="171">
        <v>45714</v>
      </c>
      <c r="D1312" s="172" t="s">
        <v>18</v>
      </c>
      <c r="E1312" s="140" t="s">
        <v>19</v>
      </c>
      <c r="F1312" s="140" t="s">
        <v>14</v>
      </c>
      <c r="G1312" s="176" t="s">
        <v>68</v>
      </c>
      <c r="H1312" s="140" t="s">
        <v>245</v>
      </c>
      <c r="I1312" s="140" t="s">
        <v>21</v>
      </c>
      <c r="J1312" s="174" t="s">
        <v>69</v>
      </c>
    </row>
    <row r="1313" hidden="1" customHeight="1" spans="1:10">
      <c r="A1313" s="140" t="s">
        <v>350</v>
      </c>
      <c r="B1313" s="140" t="s">
        <v>149</v>
      </c>
      <c r="C1313" s="171">
        <v>45715</v>
      </c>
      <c r="D1313" s="172" t="s">
        <v>23</v>
      </c>
      <c r="E1313" s="140" t="s">
        <v>19</v>
      </c>
      <c r="F1313" s="140" t="s">
        <v>33</v>
      </c>
      <c r="G1313" s="140" t="s">
        <v>21</v>
      </c>
      <c r="H1313" s="140" t="s">
        <v>138</v>
      </c>
      <c r="I1313" s="140" t="s">
        <v>21</v>
      </c>
      <c r="J1313" s="174"/>
    </row>
    <row r="1314" hidden="1" customHeight="1" spans="1:10">
      <c r="A1314" s="140" t="s">
        <v>350</v>
      </c>
      <c r="B1314" s="140" t="s">
        <v>149</v>
      </c>
      <c r="C1314" s="171">
        <v>45716</v>
      </c>
      <c r="D1314" s="172" t="s">
        <v>25</v>
      </c>
      <c r="E1314" s="140" t="s">
        <v>19</v>
      </c>
      <c r="F1314" s="140" t="s">
        <v>33</v>
      </c>
      <c r="G1314" s="140" t="s">
        <v>21</v>
      </c>
      <c r="H1314" s="140" t="s">
        <v>352</v>
      </c>
      <c r="I1314" s="140" t="s">
        <v>21</v>
      </c>
      <c r="J1314" s="174"/>
    </row>
    <row r="1315" hidden="1" customHeight="1" spans="1:10">
      <c r="A1315" s="140" t="s">
        <v>353</v>
      </c>
      <c r="B1315" s="140" t="s">
        <v>354</v>
      </c>
      <c r="C1315" s="171">
        <v>45689</v>
      </c>
      <c r="D1315" s="172" t="s">
        <v>12</v>
      </c>
      <c r="E1315" s="173" t="s">
        <v>13</v>
      </c>
      <c r="F1315" s="140" t="s">
        <v>14</v>
      </c>
      <c r="G1315" s="140" t="s">
        <v>14</v>
      </c>
      <c r="H1315" s="140" t="s">
        <v>14</v>
      </c>
      <c r="I1315" s="140" t="s">
        <v>14</v>
      </c>
      <c r="J1315" s="174"/>
    </row>
    <row r="1316" hidden="1" customHeight="1" spans="1:10">
      <c r="A1316" s="140" t="s">
        <v>353</v>
      </c>
      <c r="B1316" s="140" t="s">
        <v>354</v>
      </c>
      <c r="C1316" s="171">
        <v>45690</v>
      </c>
      <c r="D1316" s="172" t="s">
        <v>15</v>
      </c>
      <c r="E1316" s="173" t="s">
        <v>13</v>
      </c>
      <c r="F1316" s="140" t="s">
        <v>14</v>
      </c>
      <c r="G1316" s="140" t="s">
        <v>14</v>
      </c>
      <c r="H1316" s="140" t="s">
        <v>14</v>
      </c>
      <c r="I1316" s="140" t="s">
        <v>14</v>
      </c>
      <c r="J1316" s="174"/>
    </row>
    <row r="1317" hidden="1" customHeight="1" spans="1:10">
      <c r="A1317" s="140" t="s">
        <v>353</v>
      </c>
      <c r="B1317" s="140" t="s">
        <v>354</v>
      </c>
      <c r="C1317" s="171">
        <v>45691</v>
      </c>
      <c r="D1317" s="172" t="s">
        <v>16</v>
      </c>
      <c r="E1317" s="173" t="s">
        <v>13</v>
      </c>
      <c r="F1317" s="140" t="s">
        <v>14</v>
      </c>
      <c r="G1317" s="140" t="s">
        <v>14</v>
      </c>
      <c r="H1317" s="140" t="s">
        <v>14</v>
      </c>
      <c r="I1317" s="140" t="s">
        <v>14</v>
      </c>
      <c r="J1317" s="174"/>
    </row>
    <row r="1318" hidden="1" customHeight="1" spans="1:10">
      <c r="A1318" s="140" t="s">
        <v>353</v>
      </c>
      <c r="B1318" s="140" t="s">
        <v>354</v>
      </c>
      <c r="C1318" s="171">
        <v>45692</v>
      </c>
      <c r="D1318" s="172" t="s">
        <v>17</v>
      </c>
      <c r="E1318" s="173" t="s">
        <v>13</v>
      </c>
      <c r="F1318" s="140" t="s">
        <v>14</v>
      </c>
      <c r="G1318" s="140" t="s">
        <v>14</v>
      </c>
      <c r="H1318" s="140" t="s">
        <v>14</v>
      </c>
      <c r="I1318" s="140" t="s">
        <v>14</v>
      </c>
      <c r="J1318" s="174"/>
    </row>
    <row r="1319" customHeight="1" spans="1:10">
      <c r="A1319" s="140" t="s">
        <v>353</v>
      </c>
      <c r="B1319" s="140" t="s">
        <v>354</v>
      </c>
      <c r="C1319" s="171">
        <v>45693</v>
      </c>
      <c r="D1319" s="172" t="s">
        <v>18</v>
      </c>
      <c r="E1319" s="140" t="s">
        <v>19</v>
      </c>
      <c r="F1319" s="140" t="s">
        <v>14</v>
      </c>
      <c r="G1319" s="176" t="s">
        <v>68</v>
      </c>
      <c r="H1319" s="140" t="s">
        <v>14</v>
      </c>
      <c r="I1319" s="176" t="s">
        <v>68</v>
      </c>
      <c r="J1319" s="174" t="s">
        <v>234</v>
      </c>
    </row>
    <row r="1320" customHeight="1" spans="1:10">
      <c r="A1320" s="140" t="s">
        <v>353</v>
      </c>
      <c r="B1320" s="140" t="s">
        <v>354</v>
      </c>
      <c r="C1320" s="171">
        <v>45694</v>
      </c>
      <c r="D1320" s="172" t="s">
        <v>23</v>
      </c>
      <c r="E1320" s="140" t="s">
        <v>19</v>
      </c>
      <c r="F1320" s="140" t="s">
        <v>14</v>
      </c>
      <c r="G1320" s="176" t="s">
        <v>68</v>
      </c>
      <c r="H1320" s="140" t="s">
        <v>14</v>
      </c>
      <c r="I1320" s="176" t="s">
        <v>68</v>
      </c>
      <c r="J1320" s="174" t="s">
        <v>234</v>
      </c>
    </row>
    <row r="1321" hidden="1" customHeight="1" spans="1:10">
      <c r="A1321" s="140" t="s">
        <v>353</v>
      </c>
      <c r="B1321" s="140" t="s">
        <v>354</v>
      </c>
      <c r="C1321" s="171">
        <v>45695</v>
      </c>
      <c r="D1321" s="172" t="s">
        <v>25</v>
      </c>
      <c r="E1321" s="140" t="s">
        <v>19</v>
      </c>
      <c r="F1321" s="140" t="s">
        <v>117</v>
      </c>
      <c r="G1321" s="140" t="s">
        <v>21</v>
      </c>
      <c r="H1321" s="140" t="s">
        <v>92</v>
      </c>
      <c r="I1321" s="140" t="s">
        <v>21</v>
      </c>
      <c r="J1321" s="174"/>
    </row>
    <row r="1322" hidden="1" customHeight="1" spans="1:10">
      <c r="A1322" s="140" t="s">
        <v>353</v>
      </c>
      <c r="B1322" s="140" t="s">
        <v>354</v>
      </c>
      <c r="C1322" s="171">
        <v>45696</v>
      </c>
      <c r="D1322" s="172" t="s">
        <v>27</v>
      </c>
      <c r="E1322" s="140" t="s">
        <v>19</v>
      </c>
      <c r="F1322" s="140" t="s">
        <v>193</v>
      </c>
      <c r="G1322" s="140" t="s">
        <v>21</v>
      </c>
      <c r="H1322" s="140" t="s">
        <v>79</v>
      </c>
      <c r="I1322" s="140" t="s">
        <v>21</v>
      </c>
      <c r="J1322" s="174"/>
    </row>
    <row r="1323" hidden="1" customHeight="1" spans="1:10">
      <c r="A1323" s="140" t="s">
        <v>353</v>
      </c>
      <c r="B1323" s="140" t="s">
        <v>354</v>
      </c>
      <c r="C1323" s="171">
        <v>45697</v>
      </c>
      <c r="D1323" s="172" t="s">
        <v>15</v>
      </c>
      <c r="E1323" s="173" t="s">
        <v>13</v>
      </c>
      <c r="F1323" s="140" t="s">
        <v>14</v>
      </c>
      <c r="G1323" s="140" t="s">
        <v>14</v>
      </c>
      <c r="H1323" s="140" t="s">
        <v>14</v>
      </c>
      <c r="I1323" s="140" t="s">
        <v>14</v>
      </c>
      <c r="J1323" s="174"/>
    </row>
    <row r="1324" hidden="1" customHeight="1" spans="1:10">
      <c r="A1324" s="140" t="s">
        <v>353</v>
      </c>
      <c r="B1324" s="140" t="s">
        <v>354</v>
      </c>
      <c r="C1324" s="171">
        <v>45698</v>
      </c>
      <c r="D1324" s="172" t="s">
        <v>16</v>
      </c>
      <c r="E1324" s="140" t="s">
        <v>19</v>
      </c>
      <c r="F1324" s="140" t="s">
        <v>157</v>
      </c>
      <c r="G1324" s="140" t="s">
        <v>21</v>
      </c>
      <c r="H1324" s="140" t="s">
        <v>78</v>
      </c>
      <c r="I1324" s="140" t="s">
        <v>21</v>
      </c>
      <c r="J1324" s="174"/>
    </row>
    <row r="1325" hidden="1" customHeight="1" spans="1:10">
      <c r="A1325" s="140" t="s">
        <v>353</v>
      </c>
      <c r="B1325" s="140" t="s">
        <v>354</v>
      </c>
      <c r="C1325" s="171">
        <v>45699</v>
      </c>
      <c r="D1325" s="172" t="s">
        <v>17</v>
      </c>
      <c r="E1325" s="140" t="s">
        <v>19</v>
      </c>
      <c r="F1325" s="140" t="s">
        <v>33</v>
      </c>
      <c r="G1325" s="140" t="s">
        <v>21</v>
      </c>
      <c r="H1325" s="140" t="s">
        <v>213</v>
      </c>
      <c r="I1325" s="140" t="s">
        <v>21</v>
      </c>
      <c r="J1325" s="174"/>
    </row>
    <row r="1326" hidden="1" customHeight="1" spans="1:10">
      <c r="A1326" s="140" t="s">
        <v>353</v>
      </c>
      <c r="B1326" s="140" t="s">
        <v>354</v>
      </c>
      <c r="C1326" s="171">
        <v>45700</v>
      </c>
      <c r="D1326" s="172" t="s">
        <v>18</v>
      </c>
      <c r="E1326" s="140" t="s">
        <v>19</v>
      </c>
      <c r="F1326" s="140" t="s">
        <v>157</v>
      </c>
      <c r="G1326" s="140" t="s">
        <v>21</v>
      </c>
      <c r="H1326" s="140" t="s">
        <v>92</v>
      </c>
      <c r="I1326" s="140" t="s">
        <v>21</v>
      </c>
      <c r="J1326" s="174"/>
    </row>
    <row r="1327" hidden="1" customHeight="1" spans="1:10">
      <c r="A1327" s="140" t="s">
        <v>353</v>
      </c>
      <c r="B1327" s="140" t="s">
        <v>354</v>
      </c>
      <c r="C1327" s="171">
        <v>45701</v>
      </c>
      <c r="D1327" s="172" t="s">
        <v>23</v>
      </c>
      <c r="E1327" s="140" t="s">
        <v>19</v>
      </c>
      <c r="F1327" s="140" t="s">
        <v>150</v>
      </c>
      <c r="G1327" s="140" t="s">
        <v>21</v>
      </c>
      <c r="H1327" s="140" t="s">
        <v>78</v>
      </c>
      <c r="I1327" s="140" t="s">
        <v>21</v>
      </c>
      <c r="J1327" s="174"/>
    </row>
    <row r="1328" customHeight="1" spans="1:10">
      <c r="A1328" s="140" t="s">
        <v>353</v>
      </c>
      <c r="B1328" s="140" t="s">
        <v>354</v>
      </c>
      <c r="C1328" s="171">
        <v>45702</v>
      </c>
      <c r="D1328" s="172" t="s">
        <v>25</v>
      </c>
      <c r="E1328" s="140" t="s">
        <v>19</v>
      </c>
      <c r="F1328" s="140" t="s">
        <v>14</v>
      </c>
      <c r="G1328" s="176" t="s">
        <v>68</v>
      </c>
      <c r="H1328" s="140" t="s">
        <v>200</v>
      </c>
      <c r="I1328" s="140" t="s">
        <v>21</v>
      </c>
      <c r="J1328" s="174" t="s">
        <v>69</v>
      </c>
    </row>
    <row r="1329" hidden="1" customHeight="1" spans="1:10">
      <c r="A1329" s="140" t="s">
        <v>353</v>
      </c>
      <c r="B1329" s="140" t="s">
        <v>354</v>
      </c>
      <c r="C1329" s="171">
        <v>45703</v>
      </c>
      <c r="D1329" s="172" t="s">
        <v>27</v>
      </c>
      <c r="E1329" s="173" t="s">
        <v>13</v>
      </c>
      <c r="F1329" s="140" t="s">
        <v>14</v>
      </c>
      <c r="G1329" s="140" t="s">
        <v>14</v>
      </c>
      <c r="H1329" s="140" t="s">
        <v>14</v>
      </c>
      <c r="I1329" s="140" t="s">
        <v>14</v>
      </c>
      <c r="J1329" s="174"/>
    </row>
    <row r="1330" hidden="1" customHeight="1" spans="1:10">
      <c r="A1330" s="140" t="s">
        <v>353</v>
      </c>
      <c r="B1330" s="140" t="s">
        <v>354</v>
      </c>
      <c r="C1330" s="171">
        <v>45704</v>
      </c>
      <c r="D1330" s="172" t="s">
        <v>15</v>
      </c>
      <c r="E1330" s="173" t="s">
        <v>13</v>
      </c>
      <c r="F1330" s="140" t="s">
        <v>14</v>
      </c>
      <c r="G1330" s="140" t="s">
        <v>14</v>
      </c>
      <c r="H1330" s="140" t="s">
        <v>14</v>
      </c>
      <c r="I1330" s="140" t="s">
        <v>14</v>
      </c>
      <c r="J1330" s="174"/>
    </row>
    <row r="1331" customHeight="1" spans="1:10">
      <c r="A1331" s="140" t="s">
        <v>353</v>
      </c>
      <c r="B1331" s="140" t="s">
        <v>354</v>
      </c>
      <c r="C1331" s="171">
        <v>45705</v>
      </c>
      <c r="D1331" s="172" t="s">
        <v>16</v>
      </c>
      <c r="E1331" s="140" t="s">
        <v>19</v>
      </c>
      <c r="F1331" s="140" t="s">
        <v>14</v>
      </c>
      <c r="G1331" s="176" t="s">
        <v>68</v>
      </c>
      <c r="H1331" s="140" t="s">
        <v>73</v>
      </c>
      <c r="I1331" s="140" t="s">
        <v>21</v>
      </c>
      <c r="J1331" s="174" t="s">
        <v>69</v>
      </c>
    </row>
    <row r="1332" hidden="1" customHeight="1" spans="1:10">
      <c r="A1332" s="140" t="s">
        <v>353</v>
      </c>
      <c r="B1332" s="140" t="s">
        <v>354</v>
      </c>
      <c r="C1332" s="171">
        <v>45706</v>
      </c>
      <c r="D1332" s="172" t="s">
        <v>17</v>
      </c>
      <c r="E1332" s="140" t="s">
        <v>19</v>
      </c>
      <c r="F1332" s="140" t="s">
        <v>43</v>
      </c>
      <c r="G1332" s="140" t="s">
        <v>21</v>
      </c>
      <c r="H1332" s="140" t="s">
        <v>42</v>
      </c>
      <c r="I1332" s="140" t="s">
        <v>21</v>
      </c>
      <c r="J1332" s="174"/>
    </row>
    <row r="1333" hidden="1" customHeight="1" spans="1:10">
      <c r="A1333" s="140" t="s">
        <v>353</v>
      </c>
      <c r="B1333" s="140" t="s">
        <v>354</v>
      </c>
      <c r="C1333" s="171">
        <v>45707</v>
      </c>
      <c r="D1333" s="172" t="s">
        <v>18</v>
      </c>
      <c r="E1333" s="140" t="s">
        <v>19</v>
      </c>
      <c r="F1333" s="140" t="s">
        <v>36</v>
      </c>
      <c r="G1333" s="140" t="s">
        <v>21</v>
      </c>
      <c r="H1333" s="140" t="s">
        <v>274</v>
      </c>
      <c r="I1333" s="140" t="s">
        <v>21</v>
      </c>
      <c r="J1333" s="174"/>
    </row>
    <row r="1334" customHeight="1" spans="1:10">
      <c r="A1334" s="140" t="s">
        <v>353</v>
      </c>
      <c r="B1334" s="140" t="s">
        <v>354</v>
      </c>
      <c r="C1334" s="171">
        <v>45708</v>
      </c>
      <c r="D1334" s="172" t="s">
        <v>23</v>
      </c>
      <c r="E1334" s="140" t="s">
        <v>19</v>
      </c>
      <c r="F1334" s="140" t="s">
        <v>355</v>
      </c>
      <c r="G1334" s="177" t="s">
        <v>103</v>
      </c>
      <c r="H1334" s="140" t="s">
        <v>45</v>
      </c>
      <c r="I1334" s="140" t="s">
        <v>21</v>
      </c>
      <c r="J1334" s="174" t="s">
        <v>69</v>
      </c>
    </row>
    <row r="1335" hidden="1" customHeight="1" spans="1:10">
      <c r="A1335" s="140" t="s">
        <v>353</v>
      </c>
      <c r="B1335" s="140" t="s">
        <v>354</v>
      </c>
      <c r="C1335" s="171">
        <v>45709</v>
      </c>
      <c r="D1335" s="172" t="s">
        <v>25</v>
      </c>
      <c r="E1335" s="140" t="s">
        <v>19</v>
      </c>
      <c r="F1335" s="140" t="s">
        <v>40</v>
      </c>
      <c r="G1335" s="140" t="s">
        <v>21</v>
      </c>
      <c r="H1335" s="140" t="s">
        <v>249</v>
      </c>
      <c r="I1335" s="140" t="s">
        <v>21</v>
      </c>
      <c r="J1335" s="174"/>
    </row>
    <row r="1336" hidden="1" customHeight="1" spans="1:10">
      <c r="A1336" s="140" t="s">
        <v>353</v>
      </c>
      <c r="B1336" s="140" t="s">
        <v>354</v>
      </c>
      <c r="C1336" s="171">
        <v>45710</v>
      </c>
      <c r="D1336" s="172" t="s">
        <v>27</v>
      </c>
      <c r="E1336" s="173" t="s">
        <v>13</v>
      </c>
      <c r="F1336" s="140" t="s">
        <v>14</v>
      </c>
      <c r="G1336" s="140" t="s">
        <v>14</v>
      </c>
      <c r="H1336" s="140" t="s">
        <v>14</v>
      </c>
      <c r="I1336" s="140" t="s">
        <v>14</v>
      </c>
      <c r="J1336" s="174"/>
    </row>
    <row r="1337" hidden="1" customHeight="1" spans="1:10">
      <c r="A1337" s="140" t="s">
        <v>353</v>
      </c>
      <c r="B1337" s="140" t="s">
        <v>354</v>
      </c>
      <c r="C1337" s="171">
        <v>45711</v>
      </c>
      <c r="D1337" s="172" t="s">
        <v>15</v>
      </c>
      <c r="E1337" s="173" t="s">
        <v>13</v>
      </c>
      <c r="F1337" s="140" t="s">
        <v>14</v>
      </c>
      <c r="G1337" s="140" t="s">
        <v>14</v>
      </c>
      <c r="H1337" s="140" t="s">
        <v>14</v>
      </c>
      <c r="I1337" s="140" t="s">
        <v>14</v>
      </c>
      <c r="J1337" s="174"/>
    </row>
    <row r="1338" hidden="1" customHeight="1" spans="1:10">
      <c r="A1338" s="140" t="s">
        <v>353</v>
      </c>
      <c r="B1338" s="140" t="s">
        <v>354</v>
      </c>
      <c r="C1338" s="171">
        <v>45712</v>
      </c>
      <c r="D1338" s="172" t="s">
        <v>16</v>
      </c>
      <c r="E1338" s="140" t="s">
        <v>19</v>
      </c>
      <c r="F1338" s="140" t="s">
        <v>193</v>
      </c>
      <c r="G1338" s="140" t="s">
        <v>21</v>
      </c>
      <c r="H1338" s="140" t="s">
        <v>168</v>
      </c>
      <c r="I1338" s="140" t="s">
        <v>21</v>
      </c>
      <c r="J1338" s="174"/>
    </row>
    <row r="1339" hidden="1" customHeight="1" spans="1:10">
      <c r="A1339" s="140" t="s">
        <v>353</v>
      </c>
      <c r="B1339" s="140" t="s">
        <v>354</v>
      </c>
      <c r="C1339" s="171">
        <v>45713</v>
      </c>
      <c r="D1339" s="172" t="s">
        <v>17</v>
      </c>
      <c r="E1339" s="140" t="s">
        <v>19</v>
      </c>
      <c r="F1339" s="140" t="s">
        <v>46</v>
      </c>
      <c r="G1339" s="140" t="s">
        <v>21</v>
      </c>
      <c r="H1339" s="140" t="s">
        <v>265</v>
      </c>
      <c r="I1339" s="140" t="s">
        <v>21</v>
      </c>
      <c r="J1339" s="174"/>
    </row>
    <row r="1340" hidden="1" customHeight="1" spans="1:10">
      <c r="A1340" s="140" t="s">
        <v>353</v>
      </c>
      <c r="B1340" s="140" t="s">
        <v>354</v>
      </c>
      <c r="C1340" s="171">
        <v>45714</v>
      </c>
      <c r="D1340" s="172" t="s">
        <v>18</v>
      </c>
      <c r="E1340" s="140" t="s">
        <v>19</v>
      </c>
      <c r="F1340" s="140" t="s">
        <v>33</v>
      </c>
      <c r="G1340" s="140" t="s">
        <v>21</v>
      </c>
      <c r="H1340" s="140" t="s">
        <v>238</v>
      </c>
      <c r="I1340" s="140" t="s">
        <v>21</v>
      </c>
      <c r="J1340" s="174"/>
    </row>
    <row r="1341" hidden="1" customHeight="1" spans="1:10">
      <c r="A1341" s="140" t="s">
        <v>353</v>
      </c>
      <c r="B1341" s="140" t="s">
        <v>354</v>
      </c>
      <c r="C1341" s="171">
        <v>45715</v>
      </c>
      <c r="D1341" s="172" t="s">
        <v>23</v>
      </c>
      <c r="E1341" s="140" t="s">
        <v>19</v>
      </c>
      <c r="F1341" s="140" t="s">
        <v>30</v>
      </c>
      <c r="G1341" s="140" t="s">
        <v>21</v>
      </c>
      <c r="H1341" s="140" t="s">
        <v>273</v>
      </c>
      <c r="I1341" s="140" t="s">
        <v>21</v>
      </c>
      <c r="J1341" s="174"/>
    </row>
    <row r="1342" hidden="1" customHeight="1" spans="1:10">
      <c r="A1342" s="140" t="s">
        <v>353</v>
      </c>
      <c r="B1342" s="140" t="s">
        <v>354</v>
      </c>
      <c r="C1342" s="171">
        <v>45716</v>
      </c>
      <c r="D1342" s="172" t="s">
        <v>25</v>
      </c>
      <c r="E1342" s="140" t="s">
        <v>19</v>
      </c>
      <c r="F1342" s="140" t="s">
        <v>157</v>
      </c>
      <c r="G1342" s="140" t="s">
        <v>21</v>
      </c>
      <c r="H1342" s="140" t="s">
        <v>225</v>
      </c>
      <c r="I1342" s="140" t="s">
        <v>21</v>
      </c>
      <c r="J1342" s="174"/>
    </row>
    <row r="1343" hidden="1" customHeight="1" spans="1:10">
      <c r="A1343" s="140" t="s">
        <v>356</v>
      </c>
      <c r="B1343" s="140" t="s">
        <v>354</v>
      </c>
      <c r="C1343" s="171">
        <v>45689</v>
      </c>
      <c r="D1343" s="172" t="s">
        <v>12</v>
      </c>
      <c r="E1343" s="173" t="s">
        <v>13</v>
      </c>
      <c r="F1343" s="140" t="s">
        <v>14</v>
      </c>
      <c r="G1343" s="140" t="s">
        <v>14</v>
      </c>
      <c r="H1343" s="140" t="s">
        <v>14</v>
      </c>
      <c r="I1343" s="140" t="s">
        <v>14</v>
      </c>
      <c r="J1343" s="174"/>
    </row>
    <row r="1344" hidden="1" customHeight="1" spans="1:10">
      <c r="A1344" s="140" t="s">
        <v>356</v>
      </c>
      <c r="B1344" s="140" t="s">
        <v>354</v>
      </c>
      <c r="C1344" s="171">
        <v>45690</v>
      </c>
      <c r="D1344" s="172" t="s">
        <v>15</v>
      </c>
      <c r="E1344" s="173" t="s">
        <v>13</v>
      </c>
      <c r="F1344" s="140" t="s">
        <v>14</v>
      </c>
      <c r="G1344" s="140" t="s">
        <v>14</v>
      </c>
      <c r="H1344" s="140" t="s">
        <v>14</v>
      </c>
      <c r="I1344" s="140" t="s">
        <v>14</v>
      </c>
      <c r="J1344" s="174"/>
    </row>
    <row r="1345" hidden="1" customHeight="1" spans="1:10">
      <c r="A1345" s="140" t="s">
        <v>356</v>
      </c>
      <c r="B1345" s="140" t="s">
        <v>354</v>
      </c>
      <c r="C1345" s="171">
        <v>45691</v>
      </c>
      <c r="D1345" s="172" t="s">
        <v>16</v>
      </c>
      <c r="E1345" s="173" t="s">
        <v>13</v>
      </c>
      <c r="F1345" s="140" t="s">
        <v>14</v>
      </c>
      <c r="G1345" s="140" t="s">
        <v>14</v>
      </c>
      <c r="H1345" s="140" t="s">
        <v>14</v>
      </c>
      <c r="I1345" s="140" t="s">
        <v>14</v>
      </c>
      <c r="J1345" s="174"/>
    </row>
    <row r="1346" hidden="1" customHeight="1" spans="1:10">
      <c r="A1346" s="140" t="s">
        <v>356</v>
      </c>
      <c r="B1346" s="140" t="s">
        <v>354</v>
      </c>
      <c r="C1346" s="171">
        <v>45692</v>
      </c>
      <c r="D1346" s="172" t="s">
        <v>17</v>
      </c>
      <c r="E1346" s="173" t="s">
        <v>13</v>
      </c>
      <c r="F1346" s="140" t="s">
        <v>14</v>
      </c>
      <c r="G1346" s="140" t="s">
        <v>14</v>
      </c>
      <c r="H1346" s="140" t="s">
        <v>14</v>
      </c>
      <c r="I1346" s="140" t="s">
        <v>14</v>
      </c>
      <c r="J1346" s="174"/>
    </row>
    <row r="1347" hidden="1" customHeight="1" spans="1:10">
      <c r="A1347" s="140" t="s">
        <v>356</v>
      </c>
      <c r="B1347" s="140" t="s">
        <v>354</v>
      </c>
      <c r="C1347" s="171">
        <v>45693</v>
      </c>
      <c r="D1347" s="172" t="s">
        <v>18</v>
      </c>
      <c r="E1347" s="140" t="s">
        <v>19</v>
      </c>
      <c r="F1347" s="140" t="s">
        <v>154</v>
      </c>
      <c r="G1347" s="140" t="s">
        <v>21</v>
      </c>
      <c r="H1347" s="140" t="s">
        <v>206</v>
      </c>
      <c r="I1347" s="140" t="s">
        <v>21</v>
      </c>
      <c r="J1347" s="174"/>
    </row>
    <row r="1348" hidden="1" customHeight="1" spans="1:10">
      <c r="A1348" s="140" t="s">
        <v>356</v>
      </c>
      <c r="B1348" s="140" t="s">
        <v>354</v>
      </c>
      <c r="C1348" s="171">
        <v>45694</v>
      </c>
      <c r="D1348" s="172" t="s">
        <v>23</v>
      </c>
      <c r="E1348" s="140" t="s">
        <v>19</v>
      </c>
      <c r="F1348" s="140" t="s">
        <v>154</v>
      </c>
      <c r="G1348" s="140" t="s">
        <v>21</v>
      </c>
      <c r="H1348" s="140" t="s">
        <v>45</v>
      </c>
      <c r="I1348" s="140" t="s">
        <v>21</v>
      </c>
      <c r="J1348" s="174"/>
    </row>
    <row r="1349" hidden="1" customHeight="1" spans="1:10">
      <c r="A1349" s="140" t="s">
        <v>356</v>
      </c>
      <c r="B1349" s="140" t="s">
        <v>354</v>
      </c>
      <c r="C1349" s="171">
        <v>45695</v>
      </c>
      <c r="D1349" s="172" t="s">
        <v>25</v>
      </c>
      <c r="E1349" s="140" t="s">
        <v>19</v>
      </c>
      <c r="F1349" s="140" t="s">
        <v>157</v>
      </c>
      <c r="G1349" s="140" t="s">
        <v>21</v>
      </c>
      <c r="H1349" s="140" t="s">
        <v>212</v>
      </c>
      <c r="I1349" s="140" t="s">
        <v>21</v>
      </c>
      <c r="J1349" s="174"/>
    </row>
    <row r="1350" hidden="1" customHeight="1" spans="1:10">
      <c r="A1350" s="140" t="s">
        <v>356</v>
      </c>
      <c r="B1350" s="140" t="s">
        <v>354</v>
      </c>
      <c r="C1350" s="171">
        <v>45696</v>
      </c>
      <c r="D1350" s="172" t="s">
        <v>27</v>
      </c>
      <c r="E1350" s="140" t="s">
        <v>19</v>
      </c>
      <c r="F1350" s="140" t="s">
        <v>146</v>
      </c>
      <c r="G1350" s="140" t="s">
        <v>21</v>
      </c>
      <c r="H1350" s="140" t="s">
        <v>206</v>
      </c>
      <c r="I1350" s="140" t="s">
        <v>21</v>
      </c>
      <c r="J1350" s="174"/>
    </row>
    <row r="1351" hidden="1" customHeight="1" spans="1:10">
      <c r="A1351" s="140" t="s">
        <v>356</v>
      </c>
      <c r="B1351" s="140" t="s">
        <v>354</v>
      </c>
      <c r="C1351" s="171">
        <v>45697</v>
      </c>
      <c r="D1351" s="172" t="s">
        <v>15</v>
      </c>
      <c r="E1351" s="173" t="s">
        <v>13</v>
      </c>
      <c r="F1351" s="140" t="s">
        <v>14</v>
      </c>
      <c r="G1351" s="140" t="s">
        <v>14</v>
      </c>
      <c r="H1351" s="140" t="s">
        <v>14</v>
      </c>
      <c r="I1351" s="140" t="s">
        <v>14</v>
      </c>
      <c r="J1351" s="174"/>
    </row>
    <row r="1352" hidden="1" customHeight="1" spans="1:10">
      <c r="A1352" s="140" t="s">
        <v>356</v>
      </c>
      <c r="B1352" s="140" t="s">
        <v>354</v>
      </c>
      <c r="C1352" s="171">
        <v>45698</v>
      </c>
      <c r="D1352" s="172" t="s">
        <v>16</v>
      </c>
      <c r="E1352" s="140" t="s">
        <v>19</v>
      </c>
      <c r="F1352" s="140" t="s">
        <v>51</v>
      </c>
      <c r="G1352" s="140" t="s">
        <v>21</v>
      </c>
      <c r="H1352" s="140" t="s">
        <v>50</v>
      </c>
      <c r="I1352" s="140" t="s">
        <v>21</v>
      </c>
      <c r="J1352" s="174"/>
    </row>
    <row r="1353" hidden="1" customHeight="1" spans="1:10">
      <c r="A1353" s="140" t="s">
        <v>356</v>
      </c>
      <c r="B1353" s="140" t="s">
        <v>354</v>
      </c>
      <c r="C1353" s="171">
        <v>45699</v>
      </c>
      <c r="D1353" s="172" t="s">
        <v>17</v>
      </c>
      <c r="E1353" s="140" t="s">
        <v>19</v>
      </c>
      <c r="F1353" s="140" t="s">
        <v>193</v>
      </c>
      <c r="G1353" s="140" t="s">
        <v>21</v>
      </c>
      <c r="H1353" s="140" t="s">
        <v>206</v>
      </c>
      <c r="I1353" s="140" t="s">
        <v>21</v>
      </c>
      <c r="J1353" s="174"/>
    </row>
    <row r="1354" hidden="1" customHeight="1" spans="1:10">
      <c r="A1354" s="140" t="s">
        <v>356</v>
      </c>
      <c r="B1354" s="140" t="s">
        <v>354</v>
      </c>
      <c r="C1354" s="171">
        <v>45700</v>
      </c>
      <c r="D1354" s="172" t="s">
        <v>18</v>
      </c>
      <c r="E1354" s="140" t="s">
        <v>19</v>
      </c>
      <c r="F1354" s="140" t="s">
        <v>28</v>
      </c>
      <c r="G1354" s="140" t="s">
        <v>21</v>
      </c>
      <c r="H1354" s="140" t="s">
        <v>151</v>
      </c>
      <c r="I1354" s="140" t="s">
        <v>21</v>
      </c>
      <c r="J1354" s="174"/>
    </row>
    <row r="1355" customHeight="1" spans="1:10">
      <c r="A1355" s="140" t="s">
        <v>356</v>
      </c>
      <c r="B1355" s="140" t="s">
        <v>354</v>
      </c>
      <c r="C1355" s="171">
        <v>45701</v>
      </c>
      <c r="D1355" s="172" t="s">
        <v>23</v>
      </c>
      <c r="E1355" s="140" t="s">
        <v>19</v>
      </c>
      <c r="F1355" s="140" t="s">
        <v>288</v>
      </c>
      <c r="G1355" s="177" t="s">
        <v>103</v>
      </c>
      <c r="H1355" s="140" t="s">
        <v>45</v>
      </c>
      <c r="I1355" s="140" t="s">
        <v>21</v>
      </c>
      <c r="J1355" s="174" t="s">
        <v>69</v>
      </c>
    </row>
    <row r="1356" hidden="1" customHeight="1" spans="1:10">
      <c r="A1356" s="140" t="s">
        <v>356</v>
      </c>
      <c r="B1356" s="140" t="s">
        <v>354</v>
      </c>
      <c r="C1356" s="171">
        <v>45702</v>
      </c>
      <c r="D1356" s="172" t="s">
        <v>25</v>
      </c>
      <c r="E1356" s="140" t="s">
        <v>19</v>
      </c>
      <c r="F1356" s="140" t="s">
        <v>30</v>
      </c>
      <c r="G1356" s="140" t="s">
        <v>21</v>
      </c>
      <c r="H1356" s="140" t="s">
        <v>212</v>
      </c>
      <c r="I1356" s="140" t="s">
        <v>21</v>
      </c>
      <c r="J1356" s="174"/>
    </row>
    <row r="1357" hidden="1" customHeight="1" spans="1:10">
      <c r="A1357" s="140" t="s">
        <v>356</v>
      </c>
      <c r="B1357" s="140" t="s">
        <v>354</v>
      </c>
      <c r="C1357" s="171">
        <v>45703</v>
      </c>
      <c r="D1357" s="172" t="s">
        <v>27</v>
      </c>
      <c r="E1357" s="173" t="s">
        <v>13</v>
      </c>
      <c r="F1357" s="140" t="s">
        <v>14</v>
      </c>
      <c r="G1357" s="140" t="s">
        <v>14</v>
      </c>
      <c r="H1357" s="140" t="s">
        <v>14</v>
      </c>
      <c r="I1357" s="140" t="s">
        <v>14</v>
      </c>
      <c r="J1357" s="174"/>
    </row>
    <row r="1358" hidden="1" customHeight="1" spans="1:10">
      <c r="A1358" s="140" t="s">
        <v>356</v>
      </c>
      <c r="B1358" s="140" t="s">
        <v>354</v>
      </c>
      <c r="C1358" s="171">
        <v>45704</v>
      </c>
      <c r="D1358" s="172" t="s">
        <v>15</v>
      </c>
      <c r="E1358" s="173" t="s">
        <v>13</v>
      </c>
      <c r="F1358" s="140" t="s">
        <v>14</v>
      </c>
      <c r="G1358" s="140" t="s">
        <v>14</v>
      </c>
      <c r="H1358" s="140" t="s">
        <v>14</v>
      </c>
      <c r="I1358" s="140" t="s">
        <v>14</v>
      </c>
      <c r="J1358" s="174"/>
    </row>
    <row r="1359" hidden="1" customHeight="1" spans="1:10">
      <c r="A1359" s="140" t="s">
        <v>356</v>
      </c>
      <c r="B1359" s="140" t="s">
        <v>354</v>
      </c>
      <c r="C1359" s="171">
        <v>45705</v>
      </c>
      <c r="D1359" s="172" t="s">
        <v>16</v>
      </c>
      <c r="E1359" s="140" t="s">
        <v>19</v>
      </c>
      <c r="F1359" s="140" t="s">
        <v>28</v>
      </c>
      <c r="G1359" s="140" t="s">
        <v>21</v>
      </c>
      <c r="H1359" s="140" t="s">
        <v>35</v>
      </c>
      <c r="I1359" s="140" t="s">
        <v>21</v>
      </c>
      <c r="J1359" s="174"/>
    </row>
    <row r="1360" hidden="1" customHeight="1" spans="1:10">
      <c r="A1360" s="140" t="s">
        <v>356</v>
      </c>
      <c r="B1360" s="140" t="s">
        <v>354</v>
      </c>
      <c r="C1360" s="171">
        <v>45706</v>
      </c>
      <c r="D1360" s="172" t="s">
        <v>17</v>
      </c>
      <c r="E1360" s="140" t="s">
        <v>19</v>
      </c>
      <c r="F1360" s="140" t="s">
        <v>157</v>
      </c>
      <c r="G1360" s="140" t="s">
        <v>21</v>
      </c>
      <c r="H1360" s="140" t="s">
        <v>53</v>
      </c>
      <c r="I1360" s="140" t="s">
        <v>21</v>
      </c>
      <c r="J1360" s="174"/>
    </row>
    <row r="1361" hidden="1" customHeight="1" spans="1:10">
      <c r="A1361" s="140" t="s">
        <v>356</v>
      </c>
      <c r="B1361" s="140" t="s">
        <v>354</v>
      </c>
      <c r="C1361" s="171">
        <v>45707</v>
      </c>
      <c r="D1361" s="172" t="s">
        <v>18</v>
      </c>
      <c r="E1361" s="140" t="s">
        <v>19</v>
      </c>
      <c r="F1361" s="140" t="s">
        <v>157</v>
      </c>
      <c r="G1361" s="140" t="s">
        <v>21</v>
      </c>
      <c r="H1361" s="140" t="s">
        <v>202</v>
      </c>
      <c r="I1361" s="140" t="s">
        <v>21</v>
      </c>
      <c r="J1361" s="174"/>
    </row>
    <row r="1362" customHeight="1" spans="1:10">
      <c r="A1362" s="140" t="s">
        <v>356</v>
      </c>
      <c r="B1362" s="140" t="s">
        <v>354</v>
      </c>
      <c r="C1362" s="171">
        <v>45708</v>
      </c>
      <c r="D1362" s="172" t="s">
        <v>23</v>
      </c>
      <c r="E1362" s="140" t="s">
        <v>19</v>
      </c>
      <c r="F1362" s="140" t="s">
        <v>14</v>
      </c>
      <c r="G1362" s="176" t="s">
        <v>68</v>
      </c>
      <c r="H1362" s="140" t="s">
        <v>78</v>
      </c>
      <c r="I1362" s="140" t="s">
        <v>21</v>
      </c>
      <c r="J1362" s="174" t="s">
        <v>136</v>
      </c>
    </row>
    <row r="1363" customHeight="1" spans="1:10">
      <c r="A1363" s="140" t="s">
        <v>356</v>
      </c>
      <c r="B1363" s="140" t="s">
        <v>354</v>
      </c>
      <c r="C1363" s="171">
        <v>45709</v>
      </c>
      <c r="D1363" s="172" t="s">
        <v>25</v>
      </c>
      <c r="E1363" s="140" t="s">
        <v>19</v>
      </c>
      <c r="F1363" s="140" t="s">
        <v>357</v>
      </c>
      <c r="G1363" s="177" t="s">
        <v>103</v>
      </c>
      <c r="H1363" s="140" t="s">
        <v>200</v>
      </c>
      <c r="I1363" s="140" t="s">
        <v>21</v>
      </c>
      <c r="J1363" s="174" t="s">
        <v>69</v>
      </c>
    </row>
    <row r="1364" hidden="1" customHeight="1" spans="1:10">
      <c r="A1364" s="140" t="s">
        <v>356</v>
      </c>
      <c r="B1364" s="140" t="s">
        <v>354</v>
      </c>
      <c r="C1364" s="171">
        <v>45710</v>
      </c>
      <c r="D1364" s="172" t="s">
        <v>27</v>
      </c>
      <c r="E1364" s="173" t="s">
        <v>13</v>
      </c>
      <c r="F1364" s="140" t="s">
        <v>14</v>
      </c>
      <c r="G1364" s="140" t="s">
        <v>14</v>
      </c>
      <c r="H1364" s="140" t="s">
        <v>14</v>
      </c>
      <c r="I1364" s="140" t="s">
        <v>14</v>
      </c>
      <c r="J1364" s="174"/>
    </row>
    <row r="1365" hidden="1" customHeight="1" spans="1:10">
      <c r="A1365" s="140" t="s">
        <v>356</v>
      </c>
      <c r="B1365" s="140" t="s">
        <v>354</v>
      </c>
      <c r="C1365" s="171">
        <v>45711</v>
      </c>
      <c r="D1365" s="172" t="s">
        <v>15</v>
      </c>
      <c r="E1365" s="173" t="s">
        <v>13</v>
      </c>
      <c r="F1365" s="140" t="s">
        <v>14</v>
      </c>
      <c r="G1365" s="140" t="s">
        <v>14</v>
      </c>
      <c r="H1365" s="140" t="s">
        <v>14</v>
      </c>
      <c r="I1365" s="140" t="s">
        <v>14</v>
      </c>
      <c r="J1365" s="174"/>
    </row>
    <row r="1366" hidden="1" customHeight="1" spans="1:10">
      <c r="A1366" s="140" t="s">
        <v>356</v>
      </c>
      <c r="B1366" s="140" t="s">
        <v>354</v>
      </c>
      <c r="C1366" s="171">
        <v>45712</v>
      </c>
      <c r="D1366" s="172" t="s">
        <v>16</v>
      </c>
      <c r="E1366" s="140" t="s">
        <v>19</v>
      </c>
      <c r="F1366" s="140" t="s">
        <v>30</v>
      </c>
      <c r="G1366" s="140" t="s">
        <v>21</v>
      </c>
      <c r="H1366" s="140" t="s">
        <v>50</v>
      </c>
      <c r="I1366" s="140" t="s">
        <v>21</v>
      </c>
      <c r="J1366" s="174"/>
    </row>
    <row r="1367" hidden="1" customHeight="1" spans="1:10">
      <c r="A1367" s="140" t="s">
        <v>356</v>
      </c>
      <c r="B1367" s="140" t="s">
        <v>354</v>
      </c>
      <c r="C1367" s="171">
        <v>45713</v>
      </c>
      <c r="D1367" s="172" t="s">
        <v>17</v>
      </c>
      <c r="E1367" s="140" t="s">
        <v>19</v>
      </c>
      <c r="F1367" s="140" t="s">
        <v>51</v>
      </c>
      <c r="G1367" s="140" t="s">
        <v>21</v>
      </c>
      <c r="H1367" s="140" t="s">
        <v>240</v>
      </c>
      <c r="I1367" s="140" t="s">
        <v>21</v>
      </c>
      <c r="J1367" s="174"/>
    </row>
    <row r="1368" hidden="1" customHeight="1" spans="1:10">
      <c r="A1368" s="140" t="s">
        <v>356</v>
      </c>
      <c r="B1368" s="140" t="s">
        <v>354</v>
      </c>
      <c r="C1368" s="171">
        <v>45714</v>
      </c>
      <c r="D1368" s="172" t="s">
        <v>18</v>
      </c>
      <c r="E1368" s="140" t="s">
        <v>19</v>
      </c>
      <c r="F1368" s="140" t="s">
        <v>157</v>
      </c>
      <c r="G1368" s="140" t="s">
        <v>21</v>
      </c>
      <c r="H1368" s="140" t="s">
        <v>252</v>
      </c>
      <c r="I1368" s="140" t="s">
        <v>21</v>
      </c>
      <c r="J1368" s="174"/>
    </row>
    <row r="1369" hidden="1" customHeight="1" spans="1:10">
      <c r="A1369" s="140" t="s">
        <v>356</v>
      </c>
      <c r="B1369" s="140" t="s">
        <v>354</v>
      </c>
      <c r="C1369" s="171">
        <v>45715</v>
      </c>
      <c r="D1369" s="172" t="s">
        <v>23</v>
      </c>
      <c r="E1369" s="140" t="s">
        <v>19</v>
      </c>
      <c r="F1369" s="140" t="s">
        <v>46</v>
      </c>
      <c r="G1369" s="140" t="s">
        <v>21</v>
      </c>
      <c r="H1369" s="140" t="s">
        <v>50</v>
      </c>
      <c r="I1369" s="140" t="s">
        <v>21</v>
      </c>
      <c r="J1369" s="174"/>
    </row>
    <row r="1370" hidden="1" customHeight="1" spans="1:10">
      <c r="A1370" s="140" t="s">
        <v>356</v>
      </c>
      <c r="B1370" s="140" t="s">
        <v>354</v>
      </c>
      <c r="C1370" s="171">
        <v>45716</v>
      </c>
      <c r="D1370" s="172" t="s">
        <v>25</v>
      </c>
      <c r="E1370" s="140" t="s">
        <v>19</v>
      </c>
      <c r="F1370" s="140" t="s">
        <v>157</v>
      </c>
      <c r="G1370" s="140" t="s">
        <v>21</v>
      </c>
      <c r="H1370" s="140" t="s">
        <v>161</v>
      </c>
      <c r="I1370" s="140" t="s">
        <v>21</v>
      </c>
      <c r="J1370" s="174"/>
    </row>
    <row r="1371" hidden="1" customHeight="1" spans="1:10">
      <c r="A1371" s="140" t="s">
        <v>358</v>
      </c>
      <c r="B1371" s="140" t="s">
        <v>354</v>
      </c>
      <c r="C1371" s="171">
        <v>45689</v>
      </c>
      <c r="D1371" s="172" t="s">
        <v>12</v>
      </c>
      <c r="E1371" s="173" t="s">
        <v>13</v>
      </c>
      <c r="F1371" s="140" t="s">
        <v>14</v>
      </c>
      <c r="G1371" s="140" t="s">
        <v>14</v>
      </c>
      <c r="H1371" s="140" t="s">
        <v>14</v>
      </c>
      <c r="I1371" s="140" t="s">
        <v>14</v>
      </c>
      <c r="J1371" s="174"/>
    </row>
    <row r="1372" hidden="1" customHeight="1" spans="1:10">
      <c r="A1372" s="140" t="s">
        <v>358</v>
      </c>
      <c r="B1372" s="140" t="s">
        <v>354</v>
      </c>
      <c r="C1372" s="171">
        <v>45690</v>
      </c>
      <c r="D1372" s="172" t="s">
        <v>15</v>
      </c>
      <c r="E1372" s="173" t="s">
        <v>13</v>
      </c>
      <c r="F1372" s="140" t="s">
        <v>14</v>
      </c>
      <c r="G1372" s="140" t="s">
        <v>14</v>
      </c>
      <c r="H1372" s="140" t="s">
        <v>14</v>
      </c>
      <c r="I1372" s="140" t="s">
        <v>14</v>
      </c>
      <c r="J1372" s="174"/>
    </row>
    <row r="1373" hidden="1" customHeight="1" spans="1:10">
      <c r="A1373" s="140" t="s">
        <v>358</v>
      </c>
      <c r="B1373" s="140" t="s">
        <v>354</v>
      </c>
      <c r="C1373" s="171">
        <v>45691</v>
      </c>
      <c r="D1373" s="172" t="s">
        <v>16</v>
      </c>
      <c r="E1373" s="173" t="s">
        <v>13</v>
      </c>
      <c r="F1373" s="140" t="s">
        <v>14</v>
      </c>
      <c r="G1373" s="140" t="s">
        <v>14</v>
      </c>
      <c r="H1373" s="140" t="s">
        <v>14</v>
      </c>
      <c r="I1373" s="140" t="s">
        <v>14</v>
      </c>
      <c r="J1373" s="174"/>
    </row>
    <row r="1374" hidden="1" customHeight="1" spans="1:10">
      <c r="A1374" s="140" t="s">
        <v>358</v>
      </c>
      <c r="B1374" s="140" t="s">
        <v>354</v>
      </c>
      <c r="C1374" s="171">
        <v>45692</v>
      </c>
      <c r="D1374" s="172" t="s">
        <v>17</v>
      </c>
      <c r="E1374" s="173" t="s">
        <v>13</v>
      </c>
      <c r="F1374" s="140" t="s">
        <v>14</v>
      </c>
      <c r="G1374" s="140" t="s">
        <v>14</v>
      </c>
      <c r="H1374" s="140" t="s">
        <v>14</v>
      </c>
      <c r="I1374" s="140" t="s">
        <v>14</v>
      </c>
      <c r="J1374" s="174"/>
    </row>
    <row r="1375" hidden="1" customHeight="1" spans="1:10">
      <c r="A1375" s="140" t="s">
        <v>358</v>
      </c>
      <c r="B1375" s="140" t="s">
        <v>354</v>
      </c>
      <c r="C1375" s="171">
        <v>45693</v>
      </c>
      <c r="D1375" s="172" t="s">
        <v>18</v>
      </c>
      <c r="E1375" s="140" t="s">
        <v>19</v>
      </c>
      <c r="F1375" s="140" t="s">
        <v>195</v>
      </c>
      <c r="G1375" s="140" t="s">
        <v>21</v>
      </c>
      <c r="H1375" s="140" t="s">
        <v>213</v>
      </c>
      <c r="I1375" s="140" t="s">
        <v>21</v>
      </c>
      <c r="J1375" s="174"/>
    </row>
    <row r="1376" hidden="1" customHeight="1" spans="1:10">
      <c r="A1376" s="140" t="s">
        <v>358</v>
      </c>
      <c r="B1376" s="140" t="s">
        <v>354</v>
      </c>
      <c r="C1376" s="171">
        <v>45694</v>
      </c>
      <c r="D1376" s="172" t="s">
        <v>23</v>
      </c>
      <c r="E1376" s="140" t="s">
        <v>19</v>
      </c>
      <c r="F1376" s="140" t="s">
        <v>322</v>
      </c>
      <c r="G1376" s="140" t="s">
        <v>21</v>
      </c>
      <c r="H1376" s="140" t="s">
        <v>50</v>
      </c>
      <c r="I1376" s="140" t="s">
        <v>21</v>
      </c>
      <c r="J1376" s="174"/>
    </row>
    <row r="1377" hidden="1" customHeight="1" spans="1:10">
      <c r="A1377" s="140" t="s">
        <v>358</v>
      </c>
      <c r="B1377" s="140" t="s">
        <v>354</v>
      </c>
      <c r="C1377" s="171">
        <v>45695</v>
      </c>
      <c r="D1377" s="172" t="s">
        <v>25</v>
      </c>
      <c r="E1377" s="140" t="s">
        <v>19</v>
      </c>
      <c r="F1377" s="140" t="s">
        <v>359</v>
      </c>
      <c r="G1377" s="140" t="s">
        <v>21</v>
      </c>
      <c r="H1377" s="140" t="s">
        <v>213</v>
      </c>
      <c r="I1377" s="140" t="s">
        <v>21</v>
      </c>
      <c r="J1377" s="174"/>
    </row>
    <row r="1378" hidden="1" customHeight="1" spans="1:10">
      <c r="A1378" s="140" t="s">
        <v>358</v>
      </c>
      <c r="B1378" s="140" t="s">
        <v>354</v>
      </c>
      <c r="C1378" s="171">
        <v>45696</v>
      </c>
      <c r="D1378" s="172" t="s">
        <v>27</v>
      </c>
      <c r="E1378" s="140" t="s">
        <v>19</v>
      </c>
      <c r="F1378" s="140" t="s">
        <v>133</v>
      </c>
      <c r="G1378" s="140" t="s">
        <v>21</v>
      </c>
      <c r="H1378" s="140" t="s">
        <v>178</v>
      </c>
      <c r="I1378" s="140" t="s">
        <v>21</v>
      </c>
      <c r="J1378" s="174"/>
    </row>
    <row r="1379" hidden="1" customHeight="1" spans="1:10">
      <c r="A1379" s="140" t="s">
        <v>358</v>
      </c>
      <c r="B1379" s="140" t="s">
        <v>354</v>
      </c>
      <c r="C1379" s="171">
        <v>45697</v>
      </c>
      <c r="D1379" s="172" t="s">
        <v>15</v>
      </c>
      <c r="E1379" s="173" t="s">
        <v>13</v>
      </c>
      <c r="F1379" s="140" t="s">
        <v>14</v>
      </c>
      <c r="G1379" s="140" t="s">
        <v>14</v>
      </c>
      <c r="H1379" s="140" t="s">
        <v>14</v>
      </c>
      <c r="I1379" s="140" t="s">
        <v>14</v>
      </c>
      <c r="J1379" s="174"/>
    </row>
    <row r="1380" hidden="1" customHeight="1" spans="1:10">
      <c r="A1380" s="140" t="s">
        <v>358</v>
      </c>
      <c r="B1380" s="140" t="s">
        <v>354</v>
      </c>
      <c r="C1380" s="171">
        <v>45698</v>
      </c>
      <c r="D1380" s="172" t="s">
        <v>16</v>
      </c>
      <c r="E1380" s="140" t="s">
        <v>19</v>
      </c>
      <c r="F1380" s="140" t="s">
        <v>360</v>
      </c>
      <c r="G1380" s="140" t="s">
        <v>21</v>
      </c>
      <c r="H1380" s="140" t="s">
        <v>50</v>
      </c>
      <c r="I1380" s="140" t="s">
        <v>21</v>
      </c>
      <c r="J1380" s="174"/>
    </row>
    <row r="1381" hidden="1" customHeight="1" spans="1:10">
      <c r="A1381" s="140" t="s">
        <v>358</v>
      </c>
      <c r="B1381" s="140" t="s">
        <v>354</v>
      </c>
      <c r="C1381" s="171">
        <v>45699</v>
      </c>
      <c r="D1381" s="172" t="s">
        <v>17</v>
      </c>
      <c r="E1381" s="140" t="s">
        <v>19</v>
      </c>
      <c r="F1381" s="140" t="s">
        <v>131</v>
      </c>
      <c r="G1381" s="140" t="s">
        <v>21</v>
      </c>
      <c r="H1381" s="140" t="s">
        <v>210</v>
      </c>
      <c r="I1381" s="140" t="s">
        <v>21</v>
      </c>
      <c r="J1381" s="174"/>
    </row>
    <row r="1382" hidden="1" customHeight="1" spans="1:10">
      <c r="A1382" s="140" t="s">
        <v>358</v>
      </c>
      <c r="B1382" s="140" t="s">
        <v>354</v>
      </c>
      <c r="C1382" s="171">
        <v>45700</v>
      </c>
      <c r="D1382" s="172" t="s">
        <v>18</v>
      </c>
      <c r="E1382" s="140" t="s">
        <v>19</v>
      </c>
      <c r="F1382" s="140" t="s">
        <v>171</v>
      </c>
      <c r="G1382" s="140" t="s">
        <v>21</v>
      </c>
      <c r="H1382" s="140" t="s">
        <v>240</v>
      </c>
      <c r="I1382" s="140" t="s">
        <v>21</v>
      </c>
      <c r="J1382" s="174"/>
    </row>
    <row r="1383" hidden="1" customHeight="1" spans="1:10">
      <c r="A1383" s="140" t="s">
        <v>358</v>
      </c>
      <c r="B1383" s="140" t="s">
        <v>354</v>
      </c>
      <c r="C1383" s="171">
        <v>45701</v>
      </c>
      <c r="D1383" s="172" t="s">
        <v>23</v>
      </c>
      <c r="E1383" s="140" t="s">
        <v>19</v>
      </c>
      <c r="F1383" s="140" t="s">
        <v>63</v>
      </c>
      <c r="G1383" s="140" t="s">
        <v>21</v>
      </c>
      <c r="H1383" s="140" t="s">
        <v>50</v>
      </c>
      <c r="I1383" s="140" t="s">
        <v>21</v>
      </c>
      <c r="J1383" s="174"/>
    </row>
    <row r="1384" hidden="1" customHeight="1" spans="1:10">
      <c r="A1384" s="140" t="s">
        <v>358</v>
      </c>
      <c r="B1384" s="140" t="s">
        <v>354</v>
      </c>
      <c r="C1384" s="171">
        <v>45702</v>
      </c>
      <c r="D1384" s="172" t="s">
        <v>25</v>
      </c>
      <c r="E1384" s="140" t="s">
        <v>19</v>
      </c>
      <c r="F1384" s="140" t="s">
        <v>107</v>
      </c>
      <c r="G1384" s="140" t="s">
        <v>21</v>
      </c>
      <c r="H1384" s="140" t="s">
        <v>213</v>
      </c>
      <c r="I1384" s="140" t="s">
        <v>21</v>
      </c>
      <c r="J1384" s="174"/>
    </row>
    <row r="1385" hidden="1" customHeight="1" spans="1:10">
      <c r="A1385" s="140" t="s">
        <v>358</v>
      </c>
      <c r="B1385" s="140" t="s">
        <v>354</v>
      </c>
      <c r="C1385" s="171">
        <v>45703</v>
      </c>
      <c r="D1385" s="172" t="s">
        <v>27</v>
      </c>
      <c r="E1385" s="173" t="s">
        <v>13</v>
      </c>
      <c r="F1385" s="140" t="s">
        <v>14</v>
      </c>
      <c r="G1385" s="140" t="s">
        <v>14</v>
      </c>
      <c r="H1385" s="140" t="s">
        <v>14</v>
      </c>
      <c r="I1385" s="140" t="s">
        <v>14</v>
      </c>
      <c r="J1385" s="174"/>
    </row>
    <row r="1386" hidden="1" customHeight="1" spans="1:10">
      <c r="A1386" s="140" t="s">
        <v>358</v>
      </c>
      <c r="B1386" s="140" t="s">
        <v>354</v>
      </c>
      <c r="C1386" s="171">
        <v>45704</v>
      </c>
      <c r="D1386" s="172" t="s">
        <v>15</v>
      </c>
      <c r="E1386" s="173" t="s">
        <v>13</v>
      </c>
      <c r="F1386" s="140" t="s">
        <v>14</v>
      </c>
      <c r="G1386" s="140" t="s">
        <v>14</v>
      </c>
      <c r="H1386" s="140" t="s">
        <v>14</v>
      </c>
      <c r="I1386" s="140" t="s">
        <v>14</v>
      </c>
      <c r="J1386" s="174"/>
    </row>
    <row r="1387" customHeight="1" spans="1:10">
      <c r="A1387" s="140" t="s">
        <v>358</v>
      </c>
      <c r="B1387" s="140" t="s">
        <v>354</v>
      </c>
      <c r="C1387" s="171">
        <v>45705</v>
      </c>
      <c r="D1387" s="172" t="s">
        <v>16</v>
      </c>
      <c r="E1387" s="140" t="s">
        <v>19</v>
      </c>
      <c r="F1387" s="140" t="s">
        <v>84</v>
      </c>
      <c r="G1387" s="140" t="s">
        <v>21</v>
      </c>
      <c r="H1387" s="140" t="s">
        <v>14</v>
      </c>
      <c r="I1387" s="176" t="s">
        <v>68</v>
      </c>
      <c r="J1387" s="174" t="s">
        <v>69</v>
      </c>
    </row>
    <row r="1388" hidden="1" customHeight="1" spans="1:10">
      <c r="A1388" s="140" t="s">
        <v>358</v>
      </c>
      <c r="B1388" s="140" t="s">
        <v>354</v>
      </c>
      <c r="C1388" s="171">
        <v>45706</v>
      </c>
      <c r="D1388" s="172" t="s">
        <v>17</v>
      </c>
      <c r="E1388" s="140" t="s">
        <v>19</v>
      </c>
      <c r="F1388" s="140" t="s">
        <v>171</v>
      </c>
      <c r="G1388" s="140" t="s">
        <v>21</v>
      </c>
      <c r="H1388" s="140" t="s">
        <v>215</v>
      </c>
      <c r="I1388" s="140" t="s">
        <v>21</v>
      </c>
      <c r="J1388" s="174"/>
    </row>
    <row r="1389" hidden="1" customHeight="1" spans="1:10">
      <c r="A1389" s="140" t="s">
        <v>358</v>
      </c>
      <c r="B1389" s="140" t="s">
        <v>354</v>
      </c>
      <c r="C1389" s="171">
        <v>45707</v>
      </c>
      <c r="D1389" s="172" t="s">
        <v>18</v>
      </c>
      <c r="E1389" s="140" t="s">
        <v>19</v>
      </c>
      <c r="F1389" s="140" t="s">
        <v>84</v>
      </c>
      <c r="G1389" s="140" t="s">
        <v>21</v>
      </c>
      <c r="H1389" s="140" t="s">
        <v>213</v>
      </c>
      <c r="I1389" s="140" t="s">
        <v>21</v>
      </c>
      <c r="J1389" s="174"/>
    </row>
    <row r="1390" hidden="1" customHeight="1" spans="1:10">
      <c r="A1390" s="140" t="s">
        <v>358</v>
      </c>
      <c r="B1390" s="140" t="s">
        <v>354</v>
      </c>
      <c r="C1390" s="171">
        <v>45708</v>
      </c>
      <c r="D1390" s="172" t="s">
        <v>23</v>
      </c>
      <c r="E1390" s="140" t="s">
        <v>19</v>
      </c>
      <c r="F1390" s="140" t="s">
        <v>179</v>
      </c>
      <c r="G1390" s="140" t="s">
        <v>21</v>
      </c>
      <c r="H1390" s="140" t="s">
        <v>50</v>
      </c>
      <c r="I1390" s="140" t="s">
        <v>21</v>
      </c>
      <c r="J1390" s="174"/>
    </row>
    <row r="1391" hidden="1" customHeight="1" spans="1:10">
      <c r="A1391" s="140" t="s">
        <v>358</v>
      </c>
      <c r="B1391" s="140" t="s">
        <v>354</v>
      </c>
      <c r="C1391" s="171">
        <v>45709</v>
      </c>
      <c r="D1391" s="172" t="s">
        <v>25</v>
      </c>
      <c r="E1391" s="140" t="s">
        <v>19</v>
      </c>
      <c r="F1391" s="140" t="s">
        <v>131</v>
      </c>
      <c r="G1391" s="140" t="s">
        <v>21</v>
      </c>
      <c r="H1391" s="140" t="s">
        <v>213</v>
      </c>
      <c r="I1391" s="140" t="s">
        <v>21</v>
      </c>
      <c r="J1391" s="174"/>
    </row>
    <row r="1392" hidden="1" customHeight="1" spans="1:10">
      <c r="A1392" s="140" t="s">
        <v>358</v>
      </c>
      <c r="B1392" s="140" t="s">
        <v>354</v>
      </c>
      <c r="C1392" s="171">
        <v>45710</v>
      </c>
      <c r="D1392" s="172" t="s">
        <v>27</v>
      </c>
      <c r="E1392" s="173" t="s">
        <v>13</v>
      </c>
      <c r="F1392" s="140" t="s">
        <v>14</v>
      </c>
      <c r="G1392" s="140" t="s">
        <v>14</v>
      </c>
      <c r="H1392" s="140" t="s">
        <v>14</v>
      </c>
      <c r="I1392" s="140" t="s">
        <v>14</v>
      </c>
      <c r="J1392" s="174"/>
    </row>
    <row r="1393" hidden="1" customHeight="1" spans="1:10">
      <c r="A1393" s="140" t="s">
        <v>358</v>
      </c>
      <c r="B1393" s="140" t="s">
        <v>354</v>
      </c>
      <c r="C1393" s="171">
        <v>45711</v>
      </c>
      <c r="D1393" s="172" t="s">
        <v>15</v>
      </c>
      <c r="E1393" s="173" t="s">
        <v>13</v>
      </c>
      <c r="F1393" s="140" t="s">
        <v>14</v>
      </c>
      <c r="G1393" s="140" t="s">
        <v>14</v>
      </c>
      <c r="H1393" s="140" t="s">
        <v>14</v>
      </c>
      <c r="I1393" s="140" t="s">
        <v>14</v>
      </c>
      <c r="J1393" s="174"/>
    </row>
    <row r="1394" hidden="1" customHeight="1" spans="1:10">
      <c r="A1394" s="140" t="s">
        <v>358</v>
      </c>
      <c r="B1394" s="140" t="s">
        <v>354</v>
      </c>
      <c r="C1394" s="171">
        <v>45712</v>
      </c>
      <c r="D1394" s="172" t="s">
        <v>16</v>
      </c>
      <c r="E1394" s="140" t="s">
        <v>19</v>
      </c>
      <c r="F1394" s="140" t="s">
        <v>131</v>
      </c>
      <c r="G1394" s="140" t="s">
        <v>21</v>
      </c>
      <c r="H1394" s="140" t="s">
        <v>50</v>
      </c>
      <c r="I1394" s="140" t="s">
        <v>21</v>
      </c>
      <c r="J1394" s="174"/>
    </row>
    <row r="1395" hidden="1" customHeight="1" spans="1:10">
      <c r="A1395" s="140" t="s">
        <v>358</v>
      </c>
      <c r="B1395" s="140" t="s">
        <v>354</v>
      </c>
      <c r="C1395" s="171">
        <v>45713</v>
      </c>
      <c r="D1395" s="172" t="s">
        <v>17</v>
      </c>
      <c r="E1395" s="140" t="s">
        <v>19</v>
      </c>
      <c r="F1395" s="140" t="s">
        <v>177</v>
      </c>
      <c r="G1395" s="140" t="s">
        <v>21</v>
      </c>
      <c r="H1395" s="140" t="s">
        <v>213</v>
      </c>
      <c r="I1395" s="140" t="s">
        <v>21</v>
      </c>
      <c r="J1395" s="174"/>
    </row>
    <row r="1396" hidden="1" customHeight="1" spans="1:10">
      <c r="A1396" s="140" t="s">
        <v>358</v>
      </c>
      <c r="B1396" s="140" t="s">
        <v>354</v>
      </c>
      <c r="C1396" s="171">
        <v>45714</v>
      </c>
      <c r="D1396" s="172" t="s">
        <v>18</v>
      </c>
      <c r="E1396" s="140" t="s">
        <v>19</v>
      </c>
      <c r="F1396" s="140" t="s">
        <v>150</v>
      </c>
      <c r="G1396" s="140" t="s">
        <v>21</v>
      </c>
      <c r="H1396" s="140" t="s">
        <v>213</v>
      </c>
      <c r="I1396" s="140" t="s">
        <v>21</v>
      </c>
      <c r="J1396" s="174"/>
    </row>
    <row r="1397" hidden="1" customHeight="1" spans="1:10">
      <c r="A1397" s="140" t="s">
        <v>358</v>
      </c>
      <c r="B1397" s="140" t="s">
        <v>354</v>
      </c>
      <c r="C1397" s="171">
        <v>45715</v>
      </c>
      <c r="D1397" s="172" t="s">
        <v>23</v>
      </c>
      <c r="E1397" s="140" t="s">
        <v>19</v>
      </c>
      <c r="F1397" s="140" t="s">
        <v>173</v>
      </c>
      <c r="G1397" s="140" t="s">
        <v>21</v>
      </c>
      <c r="H1397" s="140" t="s">
        <v>50</v>
      </c>
      <c r="I1397" s="140" t="s">
        <v>21</v>
      </c>
      <c r="J1397" s="174"/>
    </row>
    <row r="1398" hidden="1" customHeight="1" spans="1:10">
      <c r="A1398" s="140" t="s">
        <v>358</v>
      </c>
      <c r="B1398" s="140" t="s">
        <v>354</v>
      </c>
      <c r="C1398" s="171">
        <v>45716</v>
      </c>
      <c r="D1398" s="172" t="s">
        <v>25</v>
      </c>
      <c r="E1398" s="140" t="s">
        <v>19</v>
      </c>
      <c r="F1398" s="140" t="s">
        <v>183</v>
      </c>
      <c r="G1398" s="140" t="s">
        <v>21</v>
      </c>
      <c r="H1398" s="140" t="s">
        <v>361</v>
      </c>
      <c r="I1398" s="140" t="s">
        <v>21</v>
      </c>
      <c r="J1398" s="174"/>
    </row>
    <row r="1399" hidden="1" customHeight="1" spans="1:10">
      <c r="A1399" s="140" t="s">
        <v>362</v>
      </c>
      <c r="B1399" s="140" t="s">
        <v>363</v>
      </c>
      <c r="C1399" s="171">
        <v>45689</v>
      </c>
      <c r="D1399" s="172" t="s">
        <v>12</v>
      </c>
      <c r="E1399" s="173" t="s">
        <v>13</v>
      </c>
      <c r="F1399" s="140" t="s">
        <v>14</v>
      </c>
      <c r="G1399" s="140" t="s">
        <v>14</v>
      </c>
      <c r="H1399" s="140" t="s">
        <v>14</v>
      </c>
      <c r="I1399" s="140" t="s">
        <v>14</v>
      </c>
      <c r="J1399" s="174"/>
    </row>
    <row r="1400" hidden="1" customHeight="1" spans="1:10">
      <c r="A1400" s="140" t="s">
        <v>362</v>
      </c>
      <c r="B1400" s="140" t="s">
        <v>363</v>
      </c>
      <c r="C1400" s="171">
        <v>45690</v>
      </c>
      <c r="D1400" s="172" t="s">
        <v>15</v>
      </c>
      <c r="E1400" s="173" t="s">
        <v>13</v>
      </c>
      <c r="F1400" s="140" t="s">
        <v>14</v>
      </c>
      <c r="G1400" s="140" t="s">
        <v>14</v>
      </c>
      <c r="H1400" s="140" t="s">
        <v>14</v>
      </c>
      <c r="I1400" s="140" t="s">
        <v>14</v>
      </c>
      <c r="J1400" s="174"/>
    </row>
    <row r="1401" hidden="1" customHeight="1" spans="1:10">
      <c r="A1401" s="140" t="s">
        <v>362</v>
      </c>
      <c r="B1401" s="140" t="s">
        <v>363</v>
      </c>
      <c r="C1401" s="171">
        <v>45691</v>
      </c>
      <c r="D1401" s="172" t="s">
        <v>16</v>
      </c>
      <c r="E1401" s="173" t="s">
        <v>13</v>
      </c>
      <c r="F1401" s="140" t="s">
        <v>14</v>
      </c>
      <c r="G1401" s="140" t="s">
        <v>14</v>
      </c>
      <c r="H1401" s="140" t="s">
        <v>14</v>
      </c>
      <c r="I1401" s="140" t="s">
        <v>14</v>
      </c>
      <c r="J1401" s="174"/>
    </row>
    <row r="1402" hidden="1" customHeight="1" spans="1:10">
      <c r="A1402" s="140" t="s">
        <v>362</v>
      </c>
      <c r="B1402" s="140" t="s">
        <v>363</v>
      </c>
      <c r="C1402" s="171">
        <v>45692</v>
      </c>
      <c r="D1402" s="172" t="s">
        <v>17</v>
      </c>
      <c r="E1402" s="173" t="s">
        <v>13</v>
      </c>
      <c r="F1402" s="140" t="s">
        <v>14</v>
      </c>
      <c r="G1402" s="140" t="s">
        <v>14</v>
      </c>
      <c r="H1402" s="140" t="s">
        <v>14</v>
      </c>
      <c r="I1402" s="140" t="s">
        <v>14</v>
      </c>
      <c r="J1402" s="174"/>
    </row>
    <row r="1403" hidden="1" customHeight="1" spans="1:10">
      <c r="A1403" s="140" t="s">
        <v>362</v>
      </c>
      <c r="B1403" s="140" t="s">
        <v>363</v>
      </c>
      <c r="C1403" s="171">
        <v>45693</v>
      </c>
      <c r="D1403" s="172" t="s">
        <v>18</v>
      </c>
      <c r="E1403" s="140" t="s">
        <v>19</v>
      </c>
      <c r="F1403" s="140" t="s">
        <v>195</v>
      </c>
      <c r="G1403" s="140" t="s">
        <v>21</v>
      </c>
      <c r="H1403" s="140" t="s">
        <v>175</v>
      </c>
      <c r="I1403" s="140" t="s">
        <v>21</v>
      </c>
      <c r="J1403" s="174"/>
    </row>
    <row r="1404" hidden="1" customHeight="1" spans="1:10">
      <c r="A1404" s="140" t="s">
        <v>362</v>
      </c>
      <c r="B1404" s="140" t="s">
        <v>363</v>
      </c>
      <c r="C1404" s="171">
        <v>45694</v>
      </c>
      <c r="D1404" s="172" t="s">
        <v>23</v>
      </c>
      <c r="E1404" s="140" t="s">
        <v>19</v>
      </c>
      <c r="F1404" s="140" t="s">
        <v>117</v>
      </c>
      <c r="G1404" s="140" t="s">
        <v>21</v>
      </c>
      <c r="H1404" s="140" t="s">
        <v>54</v>
      </c>
      <c r="I1404" s="140" t="s">
        <v>21</v>
      </c>
      <c r="J1404" s="174"/>
    </row>
    <row r="1405" hidden="1" customHeight="1" spans="1:10">
      <c r="A1405" s="140" t="s">
        <v>362</v>
      </c>
      <c r="B1405" s="140" t="s">
        <v>363</v>
      </c>
      <c r="C1405" s="171">
        <v>45695</v>
      </c>
      <c r="D1405" s="172" t="s">
        <v>25</v>
      </c>
      <c r="E1405" s="140" t="s">
        <v>19</v>
      </c>
      <c r="F1405" s="140" t="s">
        <v>193</v>
      </c>
      <c r="G1405" s="140" t="s">
        <v>21</v>
      </c>
      <c r="H1405" s="140" t="s">
        <v>172</v>
      </c>
      <c r="I1405" s="140" t="s">
        <v>21</v>
      </c>
      <c r="J1405" s="174"/>
    </row>
    <row r="1406" hidden="1" customHeight="1" spans="1:10">
      <c r="A1406" s="140" t="s">
        <v>362</v>
      </c>
      <c r="B1406" s="140" t="s">
        <v>363</v>
      </c>
      <c r="C1406" s="171">
        <v>45696</v>
      </c>
      <c r="D1406" s="172" t="s">
        <v>27</v>
      </c>
      <c r="E1406" s="140" t="s">
        <v>19</v>
      </c>
      <c r="F1406" s="140" t="s">
        <v>108</v>
      </c>
      <c r="G1406" s="140" t="s">
        <v>21</v>
      </c>
      <c r="H1406" s="140" t="s">
        <v>184</v>
      </c>
      <c r="I1406" s="140" t="s">
        <v>21</v>
      </c>
      <c r="J1406" s="174"/>
    </row>
    <row r="1407" hidden="1" customHeight="1" spans="1:10">
      <c r="A1407" s="140" t="s">
        <v>362</v>
      </c>
      <c r="B1407" s="140" t="s">
        <v>363</v>
      </c>
      <c r="C1407" s="171">
        <v>45697</v>
      </c>
      <c r="D1407" s="172" t="s">
        <v>15</v>
      </c>
      <c r="E1407" s="173" t="s">
        <v>13</v>
      </c>
      <c r="F1407" s="140" t="s">
        <v>14</v>
      </c>
      <c r="G1407" s="140" t="s">
        <v>14</v>
      </c>
      <c r="H1407" s="140" t="s">
        <v>14</v>
      </c>
      <c r="I1407" s="140" t="s">
        <v>14</v>
      </c>
      <c r="J1407" s="174"/>
    </row>
    <row r="1408" hidden="1" customHeight="1" spans="1:10">
      <c r="A1408" s="140" t="s">
        <v>362</v>
      </c>
      <c r="B1408" s="140" t="s">
        <v>363</v>
      </c>
      <c r="C1408" s="171">
        <v>45698</v>
      </c>
      <c r="D1408" s="172" t="s">
        <v>16</v>
      </c>
      <c r="E1408" s="140" t="s">
        <v>19</v>
      </c>
      <c r="F1408" s="140" t="s">
        <v>139</v>
      </c>
      <c r="G1408" s="140" t="s">
        <v>21</v>
      </c>
      <c r="H1408" s="140" t="s">
        <v>160</v>
      </c>
      <c r="I1408" s="140" t="s">
        <v>21</v>
      </c>
      <c r="J1408" s="174"/>
    </row>
    <row r="1409" hidden="1" customHeight="1" spans="1:10">
      <c r="A1409" s="140" t="s">
        <v>362</v>
      </c>
      <c r="B1409" s="140" t="s">
        <v>363</v>
      </c>
      <c r="C1409" s="171">
        <v>45699</v>
      </c>
      <c r="D1409" s="172" t="s">
        <v>17</v>
      </c>
      <c r="E1409" s="140" t="s">
        <v>19</v>
      </c>
      <c r="F1409" s="140" t="s">
        <v>137</v>
      </c>
      <c r="G1409" s="140" t="s">
        <v>21</v>
      </c>
      <c r="H1409" s="140" t="s">
        <v>155</v>
      </c>
      <c r="I1409" s="140" t="s">
        <v>21</v>
      </c>
      <c r="J1409" s="174"/>
    </row>
    <row r="1410" hidden="1" customHeight="1" spans="1:10">
      <c r="A1410" s="140" t="s">
        <v>362</v>
      </c>
      <c r="B1410" s="140" t="s">
        <v>363</v>
      </c>
      <c r="C1410" s="171">
        <v>45700</v>
      </c>
      <c r="D1410" s="172" t="s">
        <v>18</v>
      </c>
      <c r="E1410" s="140" t="s">
        <v>19</v>
      </c>
      <c r="F1410" s="140" t="s">
        <v>135</v>
      </c>
      <c r="G1410" s="140" t="s">
        <v>21</v>
      </c>
      <c r="H1410" s="140" t="s">
        <v>238</v>
      </c>
      <c r="I1410" s="140" t="s">
        <v>21</v>
      </c>
      <c r="J1410" s="174"/>
    </row>
    <row r="1411" hidden="1" customHeight="1" spans="1:10">
      <c r="A1411" s="140" t="s">
        <v>362</v>
      </c>
      <c r="B1411" s="140" t="s">
        <v>363</v>
      </c>
      <c r="C1411" s="171">
        <v>45701</v>
      </c>
      <c r="D1411" s="172" t="s">
        <v>23</v>
      </c>
      <c r="E1411" s="140" t="s">
        <v>19</v>
      </c>
      <c r="F1411" s="140" t="s">
        <v>150</v>
      </c>
      <c r="G1411" s="140" t="s">
        <v>21</v>
      </c>
      <c r="H1411" s="140" t="s">
        <v>190</v>
      </c>
      <c r="I1411" s="140" t="s">
        <v>21</v>
      </c>
      <c r="J1411" s="174"/>
    </row>
    <row r="1412" hidden="1" customHeight="1" spans="1:10">
      <c r="A1412" s="140" t="s">
        <v>362</v>
      </c>
      <c r="B1412" s="140" t="s">
        <v>363</v>
      </c>
      <c r="C1412" s="171">
        <v>45702</v>
      </c>
      <c r="D1412" s="172" t="s">
        <v>25</v>
      </c>
      <c r="E1412" s="140" t="s">
        <v>19</v>
      </c>
      <c r="F1412" s="140" t="s">
        <v>143</v>
      </c>
      <c r="G1412" s="140" t="s">
        <v>21</v>
      </c>
      <c r="H1412" s="140" t="s">
        <v>92</v>
      </c>
      <c r="I1412" s="140" t="s">
        <v>21</v>
      </c>
      <c r="J1412" s="174"/>
    </row>
    <row r="1413" hidden="1" customHeight="1" spans="1:10">
      <c r="A1413" s="140" t="s">
        <v>362</v>
      </c>
      <c r="B1413" s="140" t="s">
        <v>363</v>
      </c>
      <c r="C1413" s="171">
        <v>45703</v>
      </c>
      <c r="D1413" s="172" t="s">
        <v>27</v>
      </c>
      <c r="E1413" s="173" t="s">
        <v>13</v>
      </c>
      <c r="F1413" s="140" t="s">
        <v>14</v>
      </c>
      <c r="G1413" s="140" t="s">
        <v>14</v>
      </c>
      <c r="H1413" s="140" t="s">
        <v>14</v>
      </c>
      <c r="I1413" s="140" t="s">
        <v>14</v>
      </c>
      <c r="J1413" s="174"/>
    </row>
    <row r="1414" hidden="1" customHeight="1" spans="1:10">
      <c r="A1414" s="140" t="s">
        <v>362</v>
      </c>
      <c r="B1414" s="140" t="s">
        <v>363</v>
      </c>
      <c r="C1414" s="171">
        <v>45704</v>
      </c>
      <c r="D1414" s="172" t="s">
        <v>15</v>
      </c>
      <c r="E1414" s="173" t="s">
        <v>13</v>
      </c>
      <c r="F1414" s="140" t="s">
        <v>14</v>
      </c>
      <c r="G1414" s="140" t="s">
        <v>14</v>
      </c>
      <c r="H1414" s="140" t="s">
        <v>14</v>
      </c>
      <c r="I1414" s="140" t="s">
        <v>14</v>
      </c>
      <c r="J1414" s="174"/>
    </row>
    <row r="1415" customHeight="1" spans="1:10">
      <c r="A1415" s="140" t="s">
        <v>362</v>
      </c>
      <c r="B1415" s="140" t="s">
        <v>363</v>
      </c>
      <c r="C1415" s="171">
        <v>45705</v>
      </c>
      <c r="D1415" s="172" t="s">
        <v>16</v>
      </c>
      <c r="E1415" s="140" t="s">
        <v>19</v>
      </c>
      <c r="F1415" s="140" t="s">
        <v>117</v>
      </c>
      <c r="G1415" s="140" t="s">
        <v>21</v>
      </c>
      <c r="H1415" s="140" t="s">
        <v>14</v>
      </c>
      <c r="I1415" s="176" t="s">
        <v>68</v>
      </c>
      <c r="J1415" s="174" t="s">
        <v>69</v>
      </c>
    </row>
    <row r="1416" hidden="1" customHeight="1" spans="1:10">
      <c r="A1416" s="140" t="s">
        <v>362</v>
      </c>
      <c r="B1416" s="140" t="s">
        <v>363</v>
      </c>
      <c r="C1416" s="171">
        <v>45706</v>
      </c>
      <c r="D1416" s="172" t="s">
        <v>17</v>
      </c>
      <c r="E1416" s="140" t="s">
        <v>19</v>
      </c>
      <c r="F1416" s="140" t="s">
        <v>117</v>
      </c>
      <c r="G1416" s="140" t="s">
        <v>21</v>
      </c>
      <c r="H1416" s="140" t="s">
        <v>92</v>
      </c>
      <c r="I1416" s="140" t="s">
        <v>21</v>
      </c>
      <c r="J1416" s="174"/>
    </row>
    <row r="1417" hidden="1" customHeight="1" spans="1:10">
      <c r="A1417" s="140" t="s">
        <v>362</v>
      </c>
      <c r="B1417" s="140" t="s">
        <v>363</v>
      </c>
      <c r="C1417" s="171">
        <v>45707</v>
      </c>
      <c r="D1417" s="172" t="s">
        <v>18</v>
      </c>
      <c r="E1417" s="140" t="s">
        <v>19</v>
      </c>
      <c r="F1417" s="140" t="s">
        <v>40</v>
      </c>
      <c r="G1417" s="140" t="s">
        <v>21</v>
      </c>
      <c r="H1417" s="140" t="s">
        <v>215</v>
      </c>
      <c r="I1417" s="140" t="s">
        <v>21</v>
      </c>
      <c r="J1417" s="174"/>
    </row>
    <row r="1418" hidden="1" customHeight="1" spans="1:10">
      <c r="A1418" s="140" t="s">
        <v>362</v>
      </c>
      <c r="B1418" s="140" t="s">
        <v>363</v>
      </c>
      <c r="C1418" s="171">
        <v>45708</v>
      </c>
      <c r="D1418" s="172" t="s">
        <v>23</v>
      </c>
      <c r="E1418" s="140" t="s">
        <v>19</v>
      </c>
      <c r="F1418" s="140" t="s">
        <v>117</v>
      </c>
      <c r="G1418" s="140" t="s">
        <v>21</v>
      </c>
      <c r="H1418" s="140" t="s">
        <v>364</v>
      </c>
      <c r="I1418" s="140" t="s">
        <v>21</v>
      </c>
      <c r="J1418" s="174"/>
    </row>
    <row r="1419" hidden="1" customHeight="1" spans="1:10">
      <c r="A1419" s="140" t="s">
        <v>362</v>
      </c>
      <c r="B1419" s="140" t="s">
        <v>363</v>
      </c>
      <c r="C1419" s="171">
        <v>45709</v>
      </c>
      <c r="D1419" s="172" t="s">
        <v>25</v>
      </c>
      <c r="E1419" s="140" t="s">
        <v>19</v>
      </c>
      <c r="F1419" s="140" t="s">
        <v>94</v>
      </c>
      <c r="G1419" s="140" t="s">
        <v>21</v>
      </c>
      <c r="H1419" s="140" t="s">
        <v>167</v>
      </c>
      <c r="I1419" s="140" t="s">
        <v>21</v>
      </c>
      <c r="J1419" s="174"/>
    </row>
    <row r="1420" hidden="1" customHeight="1" spans="1:10">
      <c r="A1420" s="140" t="s">
        <v>362</v>
      </c>
      <c r="B1420" s="140" t="s">
        <v>363</v>
      </c>
      <c r="C1420" s="171">
        <v>45710</v>
      </c>
      <c r="D1420" s="172" t="s">
        <v>27</v>
      </c>
      <c r="E1420" s="173" t="s">
        <v>13</v>
      </c>
      <c r="F1420" s="140" t="s">
        <v>14</v>
      </c>
      <c r="G1420" s="140" t="s">
        <v>14</v>
      </c>
      <c r="H1420" s="140" t="s">
        <v>14</v>
      </c>
      <c r="I1420" s="140" t="s">
        <v>14</v>
      </c>
      <c r="J1420" s="174"/>
    </row>
    <row r="1421" hidden="1" customHeight="1" spans="1:10">
      <c r="A1421" s="140" t="s">
        <v>362</v>
      </c>
      <c r="B1421" s="140" t="s">
        <v>363</v>
      </c>
      <c r="C1421" s="171">
        <v>45711</v>
      </c>
      <c r="D1421" s="172" t="s">
        <v>15</v>
      </c>
      <c r="E1421" s="173" t="s">
        <v>13</v>
      </c>
      <c r="F1421" s="140" t="s">
        <v>14</v>
      </c>
      <c r="G1421" s="140" t="s">
        <v>14</v>
      </c>
      <c r="H1421" s="140" t="s">
        <v>14</v>
      </c>
      <c r="I1421" s="140" t="s">
        <v>14</v>
      </c>
      <c r="J1421" s="174"/>
    </row>
    <row r="1422" hidden="1" customHeight="1" spans="1:10">
      <c r="A1422" s="140" t="s">
        <v>362</v>
      </c>
      <c r="B1422" s="140" t="s">
        <v>363</v>
      </c>
      <c r="C1422" s="171">
        <v>45712</v>
      </c>
      <c r="D1422" s="172" t="s">
        <v>16</v>
      </c>
      <c r="E1422" s="140" t="s">
        <v>19</v>
      </c>
      <c r="F1422" s="140" t="s">
        <v>110</v>
      </c>
      <c r="G1422" s="140" t="s">
        <v>21</v>
      </c>
      <c r="H1422" s="140" t="s">
        <v>168</v>
      </c>
      <c r="I1422" s="140" t="s">
        <v>21</v>
      </c>
      <c r="J1422" s="174"/>
    </row>
    <row r="1423" hidden="1" customHeight="1" spans="1:10">
      <c r="A1423" s="140" t="s">
        <v>362</v>
      </c>
      <c r="B1423" s="140" t="s">
        <v>363</v>
      </c>
      <c r="C1423" s="171">
        <v>45713</v>
      </c>
      <c r="D1423" s="172" t="s">
        <v>17</v>
      </c>
      <c r="E1423" s="140" t="s">
        <v>19</v>
      </c>
      <c r="F1423" s="140" t="s">
        <v>143</v>
      </c>
      <c r="G1423" s="140" t="s">
        <v>21</v>
      </c>
      <c r="H1423" s="140" t="s">
        <v>152</v>
      </c>
      <c r="I1423" s="140" t="s">
        <v>21</v>
      </c>
      <c r="J1423" s="174"/>
    </row>
    <row r="1424" hidden="1" customHeight="1" spans="1:10">
      <c r="A1424" s="140" t="s">
        <v>362</v>
      </c>
      <c r="B1424" s="140" t="s">
        <v>363</v>
      </c>
      <c r="C1424" s="171">
        <v>45714</v>
      </c>
      <c r="D1424" s="172" t="s">
        <v>18</v>
      </c>
      <c r="E1424" s="140" t="s">
        <v>19</v>
      </c>
      <c r="F1424" s="140" t="s">
        <v>195</v>
      </c>
      <c r="G1424" s="140" t="s">
        <v>21</v>
      </c>
      <c r="H1424" s="140" t="s">
        <v>41</v>
      </c>
      <c r="I1424" s="140" t="s">
        <v>21</v>
      </c>
      <c r="J1424" s="174"/>
    </row>
    <row r="1425" hidden="1" customHeight="1" spans="1:10">
      <c r="A1425" s="140" t="s">
        <v>362</v>
      </c>
      <c r="B1425" s="140" t="s">
        <v>363</v>
      </c>
      <c r="C1425" s="171">
        <v>45715</v>
      </c>
      <c r="D1425" s="172" t="s">
        <v>23</v>
      </c>
      <c r="E1425" s="140" t="s">
        <v>19</v>
      </c>
      <c r="F1425" s="140" t="s">
        <v>94</v>
      </c>
      <c r="G1425" s="140" t="s">
        <v>21</v>
      </c>
      <c r="H1425" s="140" t="s">
        <v>321</v>
      </c>
      <c r="I1425" s="140" t="s">
        <v>21</v>
      </c>
      <c r="J1425" s="174"/>
    </row>
    <row r="1426" hidden="1" customHeight="1" spans="1:10">
      <c r="A1426" s="140" t="s">
        <v>362</v>
      </c>
      <c r="B1426" s="140" t="s">
        <v>363</v>
      </c>
      <c r="C1426" s="171">
        <v>45716</v>
      </c>
      <c r="D1426" s="172" t="s">
        <v>25</v>
      </c>
      <c r="E1426" s="140" t="s">
        <v>19</v>
      </c>
      <c r="F1426" s="140" t="s">
        <v>143</v>
      </c>
      <c r="G1426" s="140" t="s">
        <v>21</v>
      </c>
      <c r="H1426" s="140" t="s">
        <v>159</v>
      </c>
      <c r="I1426" s="140" t="s">
        <v>21</v>
      </c>
      <c r="J1426" s="174"/>
    </row>
    <row r="1427" hidden="1" customHeight="1" spans="1:10">
      <c r="A1427" s="140" t="s">
        <v>365</v>
      </c>
      <c r="B1427" s="140" t="s">
        <v>149</v>
      </c>
      <c r="C1427" s="171">
        <v>45689</v>
      </c>
      <c r="D1427" s="172" t="s">
        <v>12</v>
      </c>
      <c r="E1427" s="173" t="s">
        <v>13</v>
      </c>
      <c r="F1427" s="140" t="s">
        <v>14</v>
      </c>
      <c r="G1427" s="140" t="s">
        <v>14</v>
      </c>
      <c r="H1427" s="140" t="s">
        <v>14</v>
      </c>
      <c r="I1427" s="140" t="s">
        <v>14</v>
      </c>
      <c r="J1427" s="174"/>
    </row>
    <row r="1428" hidden="1" customHeight="1" spans="1:10">
      <c r="A1428" s="140" t="s">
        <v>365</v>
      </c>
      <c r="B1428" s="140" t="s">
        <v>149</v>
      </c>
      <c r="C1428" s="171">
        <v>45690</v>
      </c>
      <c r="D1428" s="172" t="s">
        <v>15</v>
      </c>
      <c r="E1428" s="173" t="s">
        <v>13</v>
      </c>
      <c r="F1428" s="140" t="s">
        <v>14</v>
      </c>
      <c r="G1428" s="140" t="s">
        <v>14</v>
      </c>
      <c r="H1428" s="140" t="s">
        <v>14</v>
      </c>
      <c r="I1428" s="140" t="s">
        <v>14</v>
      </c>
      <c r="J1428" s="174"/>
    </row>
    <row r="1429" hidden="1" customHeight="1" spans="1:10">
      <c r="A1429" s="140" t="s">
        <v>365</v>
      </c>
      <c r="B1429" s="140" t="s">
        <v>149</v>
      </c>
      <c r="C1429" s="171">
        <v>45691</v>
      </c>
      <c r="D1429" s="172" t="s">
        <v>16</v>
      </c>
      <c r="E1429" s="173" t="s">
        <v>13</v>
      </c>
      <c r="F1429" s="140" t="s">
        <v>14</v>
      </c>
      <c r="G1429" s="140" t="s">
        <v>14</v>
      </c>
      <c r="H1429" s="140" t="s">
        <v>14</v>
      </c>
      <c r="I1429" s="140" t="s">
        <v>14</v>
      </c>
      <c r="J1429" s="174"/>
    </row>
    <row r="1430" hidden="1" customHeight="1" spans="1:10">
      <c r="A1430" s="140" t="s">
        <v>365</v>
      </c>
      <c r="B1430" s="140" t="s">
        <v>149</v>
      </c>
      <c r="C1430" s="171">
        <v>45692</v>
      </c>
      <c r="D1430" s="172" t="s">
        <v>17</v>
      </c>
      <c r="E1430" s="173" t="s">
        <v>13</v>
      </c>
      <c r="F1430" s="140" t="s">
        <v>14</v>
      </c>
      <c r="G1430" s="140" t="s">
        <v>14</v>
      </c>
      <c r="H1430" s="140" t="s">
        <v>14</v>
      </c>
      <c r="I1430" s="140" t="s">
        <v>14</v>
      </c>
      <c r="J1430" s="174"/>
    </row>
    <row r="1431" hidden="1" customHeight="1" spans="1:10">
      <c r="A1431" s="140" t="s">
        <v>365</v>
      </c>
      <c r="B1431" s="140" t="s">
        <v>149</v>
      </c>
      <c r="C1431" s="171">
        <v>45693</v>
      </c>
      <c r="D1431" s="172" t="s">
        <v>18</v>
      </c>
      <c r="E1431" s="140" t="s">
        <v>19</v>
      </c>
      <c r="F1431" s="140" t="s">
        <v>30</v>
      </c>
      <c r="G1431" s="140" t="s">
        <v>21</v>
      </c>
      <c r="H1431" s="140" t="s">
        <v>272</v>
      </c>
      <c r="I1431" s="140" t="s">
        <v>21</v>
      </c>
      <c r="J1431" s="174"/>
    </row>
    <row r="1432" hidden="1" customHeight="1" spans="1:10">
      <c r="A1432" s="140" t="s">
        <v>365</v>
      </c>
      <c r="B1432" s="140" t="s">
        <v>149</v>
      </c>
      <c r="C1432" s="171">
        <v>45694</v>
      </c>
      <c r="D1432" s="172" t="s">
        <v>23</v>
      </c>
      <c r="E1432" s="140" t="s">
        <v>19</v>
      </c>
      <c r="F1432" s="140" t="s">
        <v>110</v>
      </c>
      <c r="G1432" s="140" t="s">
        <v>21</v>
      </c>
      <c r="H1432" s="140" t="s">
        <v>54</v>
      </c>
      <c r="I1432" s="140" t="s">
        <v>21</v>
      </c>
      <c r="J1432" s="174"/>
    </row>
    <row r="1433" hidden="1" customHeight="1" spans="1:10">
      <c r="A1433" s="140" t="s">
        <v>365</v>
      </c>
      <c r="B1433" s="140" t="s">
        <v>149</v>
      </c>
      <c r="C1433" s="171">
        <v>45695</v>
      </c>
      <c r="D1433" s="172" t="s">
        <v>25</v>
      </c>
      <c r="E1433" s="140" t="s">
        <v>19</v>
      </c>
      <c r="F1433" s="140" t="s">
        <v>154</v>
      </c>
      <c r="G1433" s="140" t="s">
        <v>21</v>
      </c>
      <c r="H1433" s="140" t="s">
        <v>361</v>
      </c>
      <c r="I1433" s="140" t="s">
        <v>21</v>
      </c>
      <c r="J1433" s="174"/>
    </row>
    <row r="1434" hidden="1" customHeight="1" spans="1:10">
      <c r="A1434" s="140" t="s">
        <v>365</v>
      </c>
      <c r="B1434" s="140" t="s">
        <v>149</v>
      </c>
      <c r="C1434" s="171">
        <v>45696</v>
      </c>
      <c r="D1434" s="172" t="s">
        <v>27</v>
      </c>
      <c r="E1434" s="140" t="s">
        <v>19</v>
      </c>
      <c r="F1434" s="140" t="s">
        <v>117</v>
      </c>
      <c r="G1434" s="140" t="s">
        <v>21</v>
      </c>
      <c r="H1434" s="140" t="s">
        <v>161</v>
      </c>
      <c r="I1434" s="140" t="s">
        <v>21</v>
      </c>
      <c r="J1434" s="174"/>
    </row>
    <row r="1435" hidden="1" customHeight="1" spans="1:10">
      <c r="A1435" s="140" t="s">
        <v>365</v>
      </c>
      <c r="B1435" s="140" t="s">
        <v>149</v>
      </c>
      <c r="C1435" s="171">
        <v>45697</v>
      </c>
      <c r="D1435" s="172" t="s">
        <v>15</v>
      </c>
      <c r="E1435" s="173" t="s">
        <v>13</v>
      </c>
      <c r="F1435" s="140" t="s">
        <v>14</v>
      </c>
      <c r="G1435" s="140" t="s">
        <v>14</v>
      </c>
      <c r="H1435" s="140" t="s">
        <v>14</v>
      </c>
      <c r="I1435" s="140" t="s">
        <v>14</v>
      </c>
      <c r="J1435" s="174"/>
    </row>
    <row r="1436" hidden="1" customHeight="1" spans="1:10">
      <c r="A1436" s="140" t="s">
        <v>365</v>
      </c>
      <c r="B1436" s="140" t="s">
        <v>149</v>
      </c>
      <c r="C1436" s="171">
        <v>45698</v>
      </c>
      <c r="D1436" s="172" t="s">
        <v>16</v>
      </c>
      <c r="E1436" s="140" t="s">
        <v>19</v>
      </c>
      <c r="F1436" s="140" t="s">
        <v>98</v>
      </c>
      <c r="G1436" s="140" t="s">
        <v>21</v>
      </c>
      <c r="H1436" s="140" t="s">
        <v>95</v>
      </c>
      <c r="I1436" s="140" t="s">
        <v>21</v>
      </c>
      <c r="J1436" s="174"/>
    </row>
    <row r="1437" hidden="1" customHeight="1" spans="1:10">
      <c r="A1437" s="140" t="s">
        <v>365</v>
      </c>
      <c r="B1437" s="140" t="s">
        <v>149</v>
      </c>
      <c r="C1437" s="171">
        <v>45699</v>
      </c>
      <c r="D1437" s="172" t="s">
        <v>17</v>
      </c>
      <c r="E1437" s="140" t="s">
        <v>19</v>
      </c>
      <c r="F1437" s="140" t="s">
        <v>137</v>
      </c>
      <c r="G1437" s="140" t="s">
        <v>21</v>
      </c>
      <c r="H1437" s="140" t="s">
        <v>89</v>
      </c>
      <c r="I1437" s="140" t="s">
        <v>21</v>
      </c>
      <c r="J1437" s="174"/>
    </row>
    <row r="1438" hidden="1" customHeight="1" spans="1:10">
      <c r="A1438" s="140" t="s">
        <v>365</v>
      </c>
      <c r="B1438" s="140" t="s">
        <v>149</v>
      </c>
      <c r="C1438" s="171">
        <v>45700</v>
      </c>
      <c r="D1438" s="172" t="s">
        <v>18</v>
      </c>
      <c r="E1438" s="140" t="s">
        <v>19</v>
      </c>
      <c r="F1438" s="140" t="s">
        <v>135</v>
      </c>
      <c r="G1438" s="140" t="s">
        <v>21</v>
      </c>
      <c r="H1438" s="140" t="s">
        <v>66</v>
      </c>
      <c r="I1438" s="140" t="s">
        <v>21</v>
      </c>
      <c r="J1438" s="174"/>
    </row>
    <row r="1439" hidden="1" customHeight="1" spans="1:10">
      <c r="A1439" s="140" t="s">
        <v>365</v>
      </c>
      <c r="B1439" s="140" t="s">
        <v>149</v>
      </c>
      <c r="C1439" s="171">
        <v>45701</v>
      </c>
      <c r="D1439" s="172" t="s">
        <v>23</v>
      </c>
      <c r="E1439" s="140" t="s">
        <v>19</v>
      </c>
      <c r="F1439" s="140" t="s">
        <v>94</v>
      </c>
      <c r="G1439" s="140" t="s">
        <v>21</v>
      </c>
      <c r="H1439" s="140" t="s">
        <v>364</v>
      </c>
      <c r="I1439" s="140" t="s">
        <v>21</v>
      </c>
      <c r="J1439" s="174"/>
    </row>
    <row r="1440" hidden="1" customHeight="1" spans="1:10">
      <c r="A1440" s="140" t="s">
        <v>365</v>
      </c>
      <c r="B1440" s="140" t="s">
        <v>149</v>
      </c>
      <c r="C1440" s="171">
        <v>45702</v>
      </c>
      <c r="D1440" s="172" t="s">
        <v>25</v>
      </c>
      <c r="E1440" s="140" t="s">
        <v>19</v>
      </c>
      <c r="F1440" s="140" t="s">
        <v>98</v>
      </c>
      <c r="G1440" s="140" t="s">
        <v>21</v>
      </c>
      <c r="H1440" s="140" t="s">
        <v>225</v>
      </c>
      <c r="I1440" s="140" t="s">
        <v>21</v>
      </c>
      <c r="J1440" s="174"/>
    </row>
    <row r="1441" hidden="1" customHeight="1" spans="1:10">
      <c r="A1441" s="140" t="s">
        <v>365</v>
      </c>
      <c r="B1441" s="140" t="s">
        <v>149</v>
      </c>
      <c r="C1441" s="171">
        <v>45703</v>
      </c>
      <c r="D1441" s="172" t="s">
        <v>27</v>
      </c>
      <c r="E1441" s="173" t="s">
        <v>13</v>
      </c>
      <c r="F1441" s="140" t="s">
        <v>14</v>
      </c>
      <c r="G1441" s="140" t="s">
        <v>14</v>
      </c>
      <c r="H1441" s="140" t="s">
        <v>14</v>
      </c>
      <c r="I1441" s="140" t="s">
        <v>14</v>
      </c>
      <c r="J1441" s="174"/>
    </row>
    <row r="1442" hidden="1" customHeight="1" spans="1:10">
      <c r="A1442" s="140" t="s">
        <v>365</v>
      </c>
      <c r="B1442" s="140" t="s">
        <v>149</v>
      </c>
      <c r="C1442" s="171">
        <v>45704</v>
      </c>
      <c r="D1442" s="172" t="s">
        <v>15</v>
      </c>
      <c r="E1442" s="173" t="s">
        <v>13</v>
      </c>
      <c r="F1442" s="140" t="s">
        <v>14</v>
      </c>
      <c r="G1442" s="140" t="s">
        <v>14</v>
      </c>
      <c r="H1442" s="140" t="s">
        <v>14</v>
      </c>
      <c r="I1442" s="140" t="s">
        <v>14</v>
      </c>
      <c r="J1442" s="174"/>
    </row>
    <row r="1443" hidden="1" customHeight="1" spans="1:10">
      <c r="A1443" s="140" t="s">
        <v>365</v>
      </c>
      <c r="B1443" s="140" t="s">
        <v>149</v>
      </c>
      <c r="C1443" s="171">
        <v>45705</v>
      </c>
      <c r="D1443" s="172" t="s">
        <v>16</v>
      </c>
      <c r="E1443" s="140" t="s">
        <v>19</v>
      </c>
      <c r="F1443" s="140" t="s">
        <v>150</v>
      </c>
      <c r="G1443" s="140" t="s">
        <v>21</v>
      </c>
      <c r="H1443" s="140" t="s">
        <v>243</v>
      </c>
      <c r="I1443" s="140" t="s">
        <v>21</v>
      </c>
      <c r="J1443" s="174"/>
    </row>
    <row r="1444" hidden="1" customHeight="1" spans="1:10">
      <c r="A1444" s="140" t="s">
        <v>365</v>
      </c>
      <c r="B1444" s="140" t="s">
        <v>149</v>
      </c>
      <c r="C1444" s="171">
        <v>45706</v>
      </c>
      <c r="D1444" s="172" t="s">
        <v>17</v>
      </c>
      <c r="E1444" s="140" t="s">
        <v>19</v>
      </c>
      <c r="F1444" s="140" t="s">
        <v>157</v>
      </c>
      <c r="G1444" s="140" t="s">
        <v>21</v>
      </c>
      <c r="H1444" s="140" t="s">
        <v>265</v>
      </c>
      <c r="I1444" s="140" t="s">
        <v>21</v>
      </c>
      <c r="J1444" s="174"/>
    </row>
    <row r="1445" hidden="1" customHeight="1" spans="1:10">
      <c r="A1445" s="140" t="s">
        <v>365</v>
      </c>
      <c r="B1445" s="140" t="s">
        <v>149</v>
      </c>
      <c r="C1445" s="171">
        <v>45707</v>
      </c>
      <c r="D1445" s="172" t="s">
        <v>18</v>
      </c>
      <c r="E1445" s="140" t="s">
        <v>19</v>
      </c>
      <c r="F1445" s="140" t="s">
        <v>154</v>
      </c>
      <c r="G1445" s="140" t="s">
        <v>21</v>
      </c>
      <c r="H1445" s="140" t="s">
        <v>366</v>
      </c>
      <c r="I1445" s="140" t="s">
        <v>21</v>
      </c>
      <c r="J1445" s="174"/>
    </row>
    <row r="1446" hidden="1" customHeight="1" spans="1:10">
      <c r="A1446" s="140" t="s">
        <v>365</v>
      </c>
      <c r="B1446" s="140" t="s">
        <v>149</v>
      </c>
      <c r="C1446" s="171">
        <v>45708</v>
      </c>
      <c r="D1446" s="172" t="s">
        <v>23</v>
      </c>
      <c r="E1446" s="140" t="s">
        <v>19</v>
      </c>
      <c r="F1446" s="140" t="s">
        <v>188</v>
      </c>
      <c r="G1446" s="140" t="s">
        <v>21</v>
      </c>
      <c r="H1446" s="140" t="s">
        <v>54</v>
      </c>
      <c r="I1446" s="140" t="s">
        <v>21</v>
      </c>
      <c r="J1446" s="174"/>
    </row>
    <row r="1447" hidden="1" customHeight="1" spans="1:10">
      <c r="A1447" s="140" t="s">
        <v>365</v>
      </c>
      <c r="B1447" s="140" t="s">
        <v>149</v>
      </c>
      <c r="C1447" s="171">
        <v>45709</v>
      </c>
      <c r="D1447" s="172" t="s">
        <v>25</v>
      </c>
      <c r="E1447" s="140" t="s">
        <v>19</v>
      </c>
      <c r="F1447" s="140" t="s">
        <v>28</v>
      </c>
      <c r="G1447" s="140" t="s">
        <v>21</v>
      </c>
      <c r="H1447" s="140" t="s">
        <v>31</v>
      </c>
      <c r="I1447" s="140" t="s">
        <v>21</v>
      </c>
      <c r="J1447" s="174"/>
    </row>
    <row r="1448" hidden="1" customHeight="1" spans="1:10">
      <c r="A1448" s="140" t="s">
        <v>365</v>
      </c>
      <c r="B1448" s="140" t="s">
        <v>149</v>
      </c>
      <c r="C1448" s="171">
        <v>45710</v>
      </c>
      <c r="D1448" s="172" t="s">
        <v>27</v>
      </c>
      <c r="E1448" s="173" t="s">
        <v>13</v>
      </c>
      <c r="F1448" s="140" t="s">
        <v>14</v>
      </c>
      <c r="G1448" s="140" t="s">
        <v>14</v>
      </c>
      <c r="H1448" s="140" t="s">
        <v>14</v>
      </c>
      <c r="I1448" s="140" t="s">
        <v>14</v>
      </c>
      <c r="J1448" s="174"/>
    </row>
    <row r="1449" hidden="1" customHeight="1" spans="1:10">
      <c r="A1449" s="140" t="s">
        <v>365</v>
      </c>
      <c r="B1449" s="140" t="s">
        <v>149</v>
      </c>
      <c r="C1449" s="171">
        <v>45711</v>
      </c>
      <c r="D1449" s="172" t="s">
        <v>15</v>
      </c>
      <c r="E1449" s="173" t="s">
        <v>13</v>
      </c>
      <c r="F1449" s="140" t="s">
        <v>14</v>
      </c>
      <c r="G1449" s="140" t="s">
        <v>14</v>
      </c>
      <c r="H1449" s="140" t="s">
        <v>14</v>
      </c>
      <c r="I1449" s="140" t="s">
        <v>14</v>
      </c>
      <c r="J1449" s="174"/>
    </row>
    <row r="1450" hidden="1" customHeight="1" spans="1:10">
      <c r="A1450" s="140" t="s">
        <v>365</v>
      </c>
      <c r="B1450" s="140" t="s">
        <v>149</v>
      </c>
      <c r="C1450" s="171">
        <v>45712</v>
      </c>
      <c r="D1450" s="172" t="s">
        <v>16</v>
      </c>
      <c r="E1450" s="140" t="s">
        <v>19</v>
      </c>
      <c r="F1450" s="140" t="s">
        <v>117</v>
      </c>
      <c r="G1450" s="140" t="s">
        <v>21</v>
      </c>
      <c r="H1450" s="140" t="s">
        <v>228</v>
      </c>
      <c r="I1450" s="140" t="s">
        <v>21</v>
      </c>
      <c r="J1450" s="174"/>
    </row>
    <row r="1451" hidden="1" customHeight="1" spans="1:10">
      <c r="A1451" s="140" t="s">
        <v>365</v>
      </c>
      <c r="B1451" s="140" t="s">
        <v>149</v>
      </c>
      <c r="C1451" s="171">
        <v>45713</v>
      </c>
      <c r="D1451" s="172" t="s">
        <v>17</v>
      </c>
      <c r="E1451" s="140" t="s">
        <v>19</v>
      </c>
      <c r="F1451" s="140" t="s">
        <v>117</v>
      </c>
      <c r="G1451" s="140" t="s">
        <v>21</v>
      </c>
      <c r="H1451" s="140" t="s">
        <v>367</v>
      </c>
      <c r="I1451" s="140" t="s">
        <v>21</v>
      </c>
      <c r="J1451" s="174"/>
    </row>
    <row r="1452" hidden="1" customHeight="1" spans="1:10">
      <c r="A1452" s="140" t="s">
        <v>365</v>
      </c>
      <c r="B1452" s="140" t="s">
        <v>149</v>
      </c>
      <c r="C1452" s="171">
        <v>45714</v>
      </c>
      <c r="D1452" s="172" t="s">
        <v>18</v>
      </c>
      <c r="E1452" s="140" t="s">
        <v>19</v>
      </c>
      <c r="F1452" s="140" t="s">
        <v>195</v>
      </c>
      <c r="G1452" s="140" t="s">
        <v>21</v>
      </c>
      <c r="H1452" s="140" t="s">
        <v>61</v>
      </c>
      <c r="I1452" s="140" t="s">
        <v>21</v>
      </c>
      <c r="J1452" s="174"/>
    </row>
    <row r="1453" hidden="1" customHeight="1" spans="1:10">
      <c r="A1453" s="140" t="s">
        <v>365</v>
      </c>
      <c r="B1453" s="140" t="s">
        <v>149</v>
      </c>
      <c r="C1453" s="171">
        <v>45715</v>
      </c>
      <c r="D1453" s="172" t="s">
        <v>23</v>
      </c>
      <c r="E1453" s="140" t="s">
        <v>19</v>
      </c>
      <c r="F1453" s="140" t="s">
        <v>40</v>
      </c>
      <c r="G1453" s="140" t="s">
        <v>21</v>
      </c>
      <c r="H1453" s="140" t="s">
        <v>368</v>
      </c>
      <c r="I1453" s="140" t="s">
        <v>21</v>
      </c>
      <c r="J1453" s="174"/>
    </row>
    <row r="1454" hidden="1" customHeight="1" spans="1:10">
      <c r="A1454" s="140" t="s">
        <v>365</v>
      </c>
      <c r="B1454" s="140" t="s">
        <v>149</v>
      </c>
      <c r="C1454" s="171">
        <v>45716</v>
      </c>
      <c r="D1454" s="172" t="s">
        <v>25</v>
      </c>
      <c r="E1454" s="140" t="s">
        <v>19</v>
      </c>
      <c r="F1454" s="140" t="s">
        <v>146</v>
      </c>
      <c r="G1454" s="140" t="s">
        <v>21</v>
      </c>
      <c r="H1454" s="140" t="s">
        <v>89</v>
      </c>
      <c r="I1454" s="140" t="s">
        <v>21</v>
      </c>
      <c r="J1454" s="174"/>
    </row>
    <row r="1455" hidden="1" customHeight="1" spans="1:10">
      <c r="A1455" s="140" t="s">
        <v>369</v>
      </c>
      <c r="B1455" s="140" t="s">
        <v>198</v>
      </c>
      <c r="C1455" s="171">
        <v>45689</v>
      </c>
      <c r="D1455" s="172" t="s">
        <v>12</v>
      </c>
      <c r="E1455" s="173" t="s">
        <v>13</v>
      </c>
      <c r="F1455" s="140" t="s">
        <v>14</v>
      </c>
      <c r="G1455" s="140" t="s">
        <v>14</v>
      </c>
      <c r="H1455" s="140" t="s">
        <v>14</v>
      </c>
      <c r="I1455" s="140" t="s">
        <v>14</v>
      </c>
      <c r="J1455" s="174"/>
    </row>
    <row r="1456" hidden="1" customHeight="1" spans="1:10">
      <c r="A1456" s="140" t="s">
        <v>369</v>
      </c>
      <c r="B1456" s="140" t="s">
        <v>198</v>
      </c>
      <c r="C1456" s="171">
        <v>45690</v>
      </c>
      <c r="D1456" s="172" t="s">
        <v>15</v>
      </c>
      <c r="E1456" s="173" t="s">
        <v>13</v>
      </c>
      <c r="F1456" s="140" t="s">
        <v>14</v>
      </c>
      <c r="G1456" s="140" t="s">
        <v>14</v>
      </c>
      <c r="H1456" s="140" t="s">
        <v>14</v>
      </c>
      <c r="I1456" s="140" t="s">
        <v>14</v>
      </c>
      <c r="J1456" s="174"/>
    </row>
    <row r="1457" hidden="1" customHeight="1" spans="1:10">
      <c r="A1457" s="140" t="s">
        <v>369</v>
      </c>
      <c r="B1457" s="140" t="s">
        <v>198</v>
      </c>
      <c r="C1457" s="171">
        <v>45691</v>
      </c>
      <c r="D1457" s="172" t="s">
        <v>16</v>
      </c>
      <c r="E1457" s="173" t="s">
        <v>13</v>
      </c>
      <c r="F1457" s="140" t="s">
        <v>14</v>
      </c>
      <c r="G1457" s="140" t="s">
        <v>14</v>
      </c>
      <c r="H1457" s="140" t="s">
        <v>14</v>
      </c>
      <c r="I1457" s="140" t="s">
        <v>14</v>
      </c>
      <c r="J1457" s="174"/>
    </row>
    <row r="1458" hidden="1" customHeight="1" spans="1:10">
      <c r="A1458" s="140" t="s">
        <v>369</v>
      </c>
      <c r="B1458" s="140" t="s">
        <v>198</v>
      </c>
      <c r="C1458" s="171">
        <v>45692</v>
      </c>
      <c r="D1458" s="172" t="s">
        <v>17</v>
      </c>
      <c r="E1458" s="173" t="s">
        <v>13</v>
      </c>
      <c r="F1458" s="140" t="s">
        <v>14</v>
      </c>
      <c r="G1458" s="140" t="s">
        <v>14</v>
      </c>
      <c r="H1458" s="140" t="s">
        <v>14</v>
      </c>
      <c r="I1458" s="140" t="s">
        <v>14</v>
      </c>
      <c r="J1458" s="174"/>
    </row>
    <row r="1459" hidden="1" customHeight="1" spans="1:10">
      <c r="A1459" s="140" t="s">
        <v>369</v>
      </c>
      <c r="B1459" s="140" t="s">
        <v>198</v>
      </c>
      <c r="C1459" s="171">
        <v>45693</v>
      </c>
      <c r="D1459" s="172" t="s">
        <v>18</v>
      </c>
      <c r="E1459" s="140" t="s">
        <v>19</v>
      </c>
      <c r="F1459" s="140" t="s">
        <v>173</v>
      </c>
      <c r="G1459" s="140" t="s">
        <v>21</v>
      </c>
      <c r="H1459" s="140" t="s">
        <v>238</v>
      </c>
      <c r="I1459" s="140" t="s">
        <v>21</v>
      </c>
      <c r="J1459" s="174"/>
    </row>
    <row r="1460" hidden="1" customHeight="1" spans="1:10">
      <c r="A1460" s="140" t="s">
        <v>369</v>
      </c>
      <c r="B1460" s="140" t="s">
        <v>198</v>
      </c>
      <c r="C1460" s="171">
        <v>45694</v>
      </c>
      <c r="D1460" s="172" t="s">
        <v>23</v>
      </c>
      <c r="E1460" s="140" t="s">
        <v>19</v>
      </c>
      <c r="F1460" s="140" t="s">
        <v>131</v>
      </c>
      <c r="G1460" s="140" t="s">
        <v>21</v>
      </c>
      <c r="H1460" s="140" t="s">
        <v>31</v>
      </c>
      <c r="I1460" s="140" t="s">
        <v>21</v>
      </c>
      <c r="J1460" s="174"/>
    </row>
    <row r="1461" hidden="1" customHeight="1" spans="1:10">
      <c r="A1461" s="140" t="s">
        <v>369</v>
      </c>
      <c r="B1461" s="140" t="s">
        <v>198</v>
      </c>
      <c r="C1461" s="171">
        <v>45695</v>
      </c>
      <c r="D1461" s="172" t="s">
        <v>25</v>
      </c>
      <c r="E1461" s="140" t="s">
        <v>19</v>
      </c>
      <c r="F1461" s="140" t="s">
        <v>150</v>
      </c>
      <c r="G1461" s="140" t="s">
        <v>21</v>
      </c>
      <c r="H1461" s="140" t="s">
        <v>370</v>
      </c>
      <c r="I1461" s="140" t="s">
        <v>21</v>
      </c>
      <c r="J1461" s="174"/>
    </row>
    <row r="1462" hidden="1" customHeight="1" spans="1:10">
      <c r="A1462" s="140" t="s">
        <v>369</v>
      </c>
      <c r="B1462" s="140" t="s">
        <v>198</v>
      </c>
      <c r="C1462" s="171">
        <v>45696</v>
      </c>
      <c r="D1462" s="172" t="s">
        <v>27</v>
      </c>
      <c r="E1462" s="140" t="s">
        <v>19</v>
      </c>
      <c r="F1462" s="140" t="s">
        <v>108</v>
      </c>
      <c r="G1462" s="140" t="s">
        <v>21</v>
      </c>
      <c r="H1462" s="140" t="s">
        <v>79</v>
      </c>
      <c r="I1462" s="140" t="s">
        <v>21</v>
      </c>
      <c r="J1462" s="174"/>
    </row>
    <row r="1463" hidden="1" customHeight="1" spans="1:10">
      <c r="A1463" s="140" t="s">
        <v>369</v>
      </c>
      <c r="B1463" s="140" t="s">
        <v>198</v>
      </c>
      <c r="C1463" s="171">
        <v>45697</v>
      </c>
      <c r="D1463" s="172" t="s">
        <v>15</v>
      </c>
      <c r="E1463" s="173" t="s">
        <v>13</v>
      </c>
      <c r="F1463" s="140" t="s">
        <v>14</v>
      </c>
      <c r="G1463" s="140" t="s">
        <v>14</v>
      </c>
      <c r="H1463" s="140" t="s">
        <v>14</v>
      </c>
      <c r="I1463" s="140" t="s">
        <v>14</v>
      </c>
      <c r="J1463" s="174"/>
    </row>
    <row r="1464" hidden="1" customHeight="1" spans="1:10">
      <c r="A1464" s="140" t="s">
        <v>369</v>
      </c>
      <c r="B1464" s="140" t="s">
        <v>198</v>
      </c>
      <c r="C1464" s="171">
        <v>45698</v>
      </c>
      <c r="D1464" s="172" t="s">
        <v>16</v>
      </c>
      <c r="E1464" s="140" t="s">
        <v>19</v>
      </c>
      <c r="F1464" s="140" t="s">
        <v>135</v>
      </c>
      <c r="G1464" s="140" t="s">
        <v>21</v>
      </c>
      <c r="H1464" s="140" t="s">
        <v>95</v>
      </c>
      <c r="I1464" s="140" t="s">
        <v>21</v>
      </c>
      <c r="J1464" s="174"/>
    </row>
    <row r="1465" customHeight="1" spans="1:10">
      <c r="A1465" s="140" t="s">
        <v>369</v>
      </c>
      <c r="B1465" s="140" t="s">
        <v>198</v>
      </c>
      <c r="C1465" s="171">
        <v>45699</v>
      </c>
      <c r="D1465" s="172" t="s">
        <v>17</v>
      </c>
      <c r="E1465" s="140" t="s">
        <v>19</v>
      </c>
      <c r="F1465" s="140" t="s">
        <v>129</v>
      </c>
      <c r="G1465" s="140" t="s">
        <v>21</v>
      </c>
      <c r="H1465" s="140" t="s">
        <v>163</v>
      </c>
      <c r="I1465" s="140" t="s">
        <v>21</v>
      </c>
      <c r="J1465" s="174" t="s">
        <v>93</v>
      </c>
    </row>
    <row r="1466" hidden="1" customHeight="1" spans="1:10">
      <c r="A1466" s="140" t="s">
        <v>369</v>
      </c>
      <c r="B1466" s="140" t="s">
        <v>198</v>
      </c>
      <c r="C1466" s="171">
        <v>45700</v>
      </c>
      <c r="D1466" s="172" t="s">
        <v>18</v>
      </c>
      <c r="E1466" s="140" t="s">
        <v>19</v>
      </c>
      <c r="F1466" s="140" t="s">
        <v>60</v>
      </c>
      <c r="G1466" s="140" t="s">
        <v>21</v>
      </c>
      <c r="H1466" s="140" t="s">
        <v>207</v>
      </c>
      <c r="I1466" s="140" t="s">
        <v>21</v>
      </c>
      <c r="J1466" s="174"/>
    </row>
    <row r="1467" hidden="1" customHeight="1" spans="1:10">
      <c r="A1467" s="140" t="s">
        <v>369</v>
      </c>
      <c r="B1467" s="140" t="s">
        <v>198</v>
      </c>
      <c r="C1467" s="171">
        <v>45701</v>
      </c>
      <c r="D1467" s="172" t="s">
        <v>23</v>
      </c>
      <c r="E1467" s="140" t="s">
        <v>19</v>
      </c>
      <c r="F1467" s="140" t="s">
        <v>98</v>
      </c>
      <c r="G1467" s="140" t="s">
        <v>21</v>
      </c>
      <c r="H1467" s="140" t="s">
        <v>371</v>
      </c>
      <c r="I1467" s="140" t="s">
        <v>21</v>
      </c>
      <c r="J1467" s="174"/>
    </row>
    <row r="1468" hidden="1" customHeight="1" spans="1:10">
      <c r="A1468" s="140" t="s">
        <v>369</v>
      </c>
      <c r="B1468" s="140" t="s">
        <v>198</v>
      </c>
      <c r="C1468" s="171">
        <v>45702</v>
      </c>
      <c r="D1468" s="172" t="s">
        <v>25</v>
      </c>
      <c r="E1468" s="140" t="s">
        <v>19</v>
      </c>
      <c r="F1468" s="140" t="s">
        <v>137</v>
      </c>
      <c r="G1468" s="140" t="s">
        <v>21</v>
      </c>
      <c r="H1468" s="140" t="s">
        <v>372</v>
      </c>
      <c r="I1468" s="140" t="s">
        <v>21</v>
      </c>
      <c r="J1468" s="174"/>
    </row>
    <row r="1469" hidden="1" customHeight="1" spans="1:10">
      <c r="A1469" s="140" t="s">
        <v>369</v>
      </c>
      <c r="B1469" s="140" t="s">
        <v>198</v>
      </c>
      <c r="C1469" s="171">
        <v>45703</v>
      </c>
      <c r="D1469" s="172" t="s">
        <v>27</v>
      </c>
      <c r="E1469" s="173" t="s">
        <v>13</v>
      </c>
      <c r="F1469" s="140" t="s">
        <v>14</v>
      </c>
      <c r="G1469" s="140" t="s">
        <v>14</v>
      </c>
      <c r="H1469" s="140" t="s">
        <v>14</v>
      </c>
      <c r="I1469" s="140" t="s">
        <v>14</v>
      </c>
      <c r="J1469" s="174"/>
    </row>
    <row r="1470" hidden="1" customHeight="1" spans="1:10">
      <c r="A1470" s="140" t="s">
        <v>369</v>
      </c>
      <c r="B1470" s="140" t="s">
        <v>198</v>
      </c>
      <c r="C1470" s="171">
        <v>45704</v>
      </c>
      <c r="D1470" s="172" t="s">
        <v>15</v>
      </c>
      <c r="E1470" s="173" t="s">
        <v>13</v>
      </c>
      <c r="F1470" s="140" t="s">
        <v>14</v>
      </c>
      <c r="G1470" s="140" t="s">
        <v>14</v>
      </c>
      <c r="H1470" s="140" t="s">
        <v>14</v>
      </c>
      <c r="I1470" s="140" t="s">
        <v>14</v>
      </c>
      <c r="J1470" s="174"/>
    </row>
    <row r="1471" hidden="1" customHeight="1" spans="1:10">
      <c r="A1471" s="140" t="s">
        <v>369</v>
      </c>
      <c r="B1471" s="140" t="s">
        <v>198</v>
      </c>
      <c r="C1471" s="171">
        <v>45705</v>
      </c>
      <c r="D1471" s="172" t="s">
        <v>16</v>
      </c>
      <c r="E1471" s="140" t="s">
        <v>19</v>
      </c>
      <c r="F1471" s="140" t="s">
        <v>98</v>
      </c>
      <c r="G1471" s="140" t="s">
        <v>21</v>
      </c>
      <c r="H1471" s="140" t="s">
        <v>190</v>
      </c>
      <c r="I1471" s="140" t="s">
        <v>21</v>
      </c>
      <c r="J1471" s="174"/>
    </row>
    <row r="1472" hidden="1" customHeight="1" spans="1:10">
      <c r="A1472" s="140" t="s">
        <v>369</v>
      </c>
      <c r="B1472" s="140" t="s">
        <v>198</v>
      </c>
      <c r="C1472" s="171">
        <v>45706</v>
      </c>
      <c r="D1472" s="172" t="s">
        <v>17</v>
      </c>
      <c r="E1472" s="140" t="s">
        <v>19</v>
      </c>
      <c r="F1472" s="140" t="s">
        <v>107</v>
      </c>
      <c r="G1472" s="140" t="s">
        <v>21</v>
      </c>
      <c r="H1472" s="140" t="s">
        <v>50</v>
      </c>
      <c r="I1472" s="140" t="s">
        <v>21</v>
      </c>
      <c r="J1472" s="174"/>
    </row>
    <row r="1473" hidden="1" customHeight="1" spans="1:10">
      <c r="A1473" s="140" t="s">
        <v>369</v>
      </c>
      <c r="B1473" s="140" t="s">
        <v>198</v>
      </c>
      <c r="C1473" s="171">
        <v>45707</v>
      </c>
      <c r="D1473" s="172" t="s">
        <v>18</v>
      </c>
      <c r="E1473" s="140" t="s">
        <v>19</v>
      </c>
      <c r="F1473" s="140" t="s">
        <v>150</v>
      </c>
      <c r="G1473" s="140" t="s">
        <v>21</v>
      </c>
      <c r="H1473" s="140" t="s">
        <v>35</v>
      </c>
      <c r="I1473" s="140" t="s">
        <v>21</v>
      </c>
      <c r="J1473" s="174"/>
    </row>
    <row r="1474" hidden="1" customHeight="1" spans="1:10">
      <c r="A1474" s="140" t="s">
        <v>369</v>
      </c>
      <c r="B1474" s="140" t="s">
        <v>198</v>
      </c>
      <c r="C1474" s="171">
        <v>45708</v>
      </c>
      <c r="D1474" s="172" t="s">
        <v>23</v>
      </c>
      <c r="E1474" s="140" t="s">
        <v>19</v>
      </c>
      <c r="F1474" s="140" t="s">
        <v>107</v>
      </c>
      <c r="G1474" s="140" t="s">
        <v>21</v>
      </c>
      <c r="H1474" s="140" t="s">
        <v>321</v>
      </c>
      <c r="I1474" s="140" t="s">
        <v>21</v>
      </c>
      <c r="J1474" s="174"/>
    </row>
    <row r="1475" hidden="1" customHeight="1" spans="1:10">
      <c r="A1475" s="140" t="s">
        <v>369</v>
      </c>
      <c r="B1475" s="140" t="s">
        <v>198</v>
      </c>
      <c r="C1475" s="171">
        <v>45709</v>
      </c>
      <c r="D1475" s="172" t="s">
        <v>25</v>
      </c>
      <c r="E1475" s="140" t="s">
        <v>19</v>
      </c>
      <c r="F1475" s="140" t="s">
        <v>133</v>
      </c>
      <c r="G1475" s="140" t="s">
        <v>21</v>
      </c>
      <c r="H1475" s="140" t="s">
        <v>373</v>
      </c>
      <c r="I1475" s="140" t="s">
        <v>21</v>
      </c>
      <c r="J1475" s="174"/>
    </row>
    <row r="1476" hidden="1" customHeight="1" spans="1:10">
      <c r="A1476" s="140" t="s">
        <v>369</v>
      </c>
      <c r="B1476" s="140" t="s">
        <v>198</v>
      </c>
      <c r="C1476" s="171">
        <v>45710</v>
      </c>
      <c r="D1476" s="172" t="s">
        <v>27</v>
      </c>
      <c r="E1476" s="173" t="s">
        <v>13</v>
      </c>
      <c r="F1476" s="140" t="s">
        <v>14</v>
      </c>
      <c r="G1476" s="140" t="s">
        <v>14</v>
      </c>
      <c r="H1476" s="140" t="s">
        <v>14</v>
      </c>
      <c r="I1476" s="140" t="s">
        <v>14</v>
      </c>
      <c r="J1476" s="174"/>
    </row>
    <row r="1477" hidden="1" customHeight="1" spans="1:10">
      <c r="A1477" s="140" t="s">
        <v>369</v>
      </c>
      <c r="B1477" s="140" t="s">
        <v>198</v>
      </c>
      <c r="C1477" s="171">
        <v>45711</v>
      </c>
      <c r="D1477" s="172" t="s">
        <v>15</v>
      </c>
      <c r="E1477" s="173" t="s">
        <v>13</v>
      </c>
      <c r="F1477" s="140" t="s">
        <v>14</v>
      </c>
      <c r="G1477" s="140" t="s">
        <v>14</v>
      </c>
      <c r="H1477" s="140" t="s">
        <v>14</v>
      </c>
      <c r="I1477" s="140" t="s">
        <v>14</v>
      </c>
      <c r="J1477" s="174"/>
    </row>
    <row r="1478" hidden="1" customHeight="1" spans="1:10">
      <c r="A1478" s="140" t="s">
        <v>369</v>
      </c>
      <c r="B1478" s="140" t="s">
        <v>198</v>
      </c>
      <c r="C1478" s="171">
        <v>45712</v>
      </c>
      <c r="D1478" s="172" t="s">
        <v>16</v>
      </c>
      <c r="E1478" s="140" t="s">
        <v>19</v>
      </c>
      <c r="F1478" s="140" t="s">
        <v>49</v>
      </c>
      <c r="G1478" s="140" t="s">
        <v>21</v>
      </c>
      <c r="H1478" s="140" t="s">
        <v>130</v>
      </c>
      <c r="I1478" s="140" t="s">
        <v>21</v>
      </c>
      <c r="J1478" s="174"/>
    </row>
    <row r="1479" hidden="1" customHeight="1" spans="1:10">
      <c r="A1479" s="140" t="s">
        <v>369</v>
      </c>
      <c r="B1479" s="140" t="s">
        <v>198</v>
      </c>
      <c r="C1479" s="171">
        <v>45713</v>
      </c>
      <c r="D1479" s="172" t="s">
        <v>17</v>
      </c>
      <c r="E1479" s="140" t="s">
        <v>19</v>
      </c>
      <c r="F1479" s="140" t="s">
        <v>173</v>
      </c>
      <c r="G1479" s="140" t="s">
        <v>21</v>
      </c>
      <c r="H1479" s="140" t="s">
        <v>147</v>
      </c>
      <c r="I1479" s="140" t="s">
        <v>21</v>
      </c>
      <c r="J1479" s="174"/>
    </row>
    <row r="1480" hidden="1" customHeight="1" spans="1:10">
      <c r="A1480" s="140" t="s">
        <v>369</v>
      </c>
      <c r="B1480" s="140" t="s">
        <v>198</v>
      </c>
      <c r="C1480" s="171">
        <v>45714</v>
      </c>
      <c r="D1480" s="172" t="s">
        <v>18</v>
      </c>
      <c r="E1480" s="140" t="s">
        <v>19</v>
      </c>
      <c r="F1480" s="140" t="s">
        <v>110</v>
      </c>
      <c r="G1480" s="140" t="s">
        <v>21</v>
      </c>
      <c r="H1480" s="140" t="s">
        <v>374</v>
      </c>
      <c r="I1480" s="140" t="s">
        <v>21</v>
      </c>
      <c r="J1480" s="174"/>
    </row>
    <row r="1481" hidden="1" customHeight="1" spans="1:10">
      <c r="A1481" s="140" t="s">
        <v>369</v>
      </c>
      <c r="B1481" s="140" t="s">
        <v>198</v>
      </c>
      <c r="C1481" s="171">
        <v>45715</v>
      </c>
      <c r="D1481" s="172" t="s">
        <v>23</v>
      </c>
      <c r="E1481" s="140" t="s">
        <v>19</v>
      </c>
      <c r="F1481" s="140" t="s">
        <v>177</v>
      </c>
      <c r="G1481" s="140" t="s">
        <v>21</v>
      </c>
      <c r="H1481" s="140" t="s">
        <v>375</v>
      </c>
      <c r="I1481" s="140" t="s">
        <v>21</v>
      </c>
      <c r="J1481" s="174"/>
    </row>
    <row r="1482" hidden="1" customHeight="1" spans="1:10">
      <c r="A1482" s="140" t="s">
        <v>369</v>
      </c>
      <c r="B1482" s="140" t="s">
        <v>198</v>
      </c>
      <c r="C1482" s="171">
        <v>45716</v>
      </c>
      <c r="D1482" s="172" t="s">
        <v>25</v>
      </c>
      <c r="E1482" s="140" t="s">
        <v>19</v>
      </c>
      <c r="F1482" s="140" t="s">
        <v>177</v>
      </c>
      <c r="G1482" s="140" t="s">
        <v>21</v>
      </c>
      <c r="H1482" s="140" t="s">
        <v>376</v>
      </c>
      <c r="I1482" s="140" t="s">
        <v>21</v>
      </c>
      <c r="J1482" s="174"/>
    </row>
    <row r="1483" hidden="1" customHeight="1" spans="1:10">
      <c r="A1483" s="140" t="s">
        <v>377</v>
      </c>
      <c r="B1483" s="140" t="s">
        <v>363</v>
      </c>
      <c r="C1483" s="171">
        <v>45689</v>
      </c>
      <c r="D1483" s="172" t="s">
        <v>12</v>
      </c>
      <c r="E1483" s="173" t="s">
        <v>13</v>
      </c>
      <c r="F1483" s="140" t="s">
        <v>14</v>
      </c>
      <c r="G1483" s="140" t="s">
        <v>14</v>
      </c>
      <c r="H1483" s="140" t="s">
        <v>14</v>
      </c>
      <c r="I1483" s="140" t="s">
        <v>14</v>
      </c>
      <c r="J1483" s="174"/>
    </row>
    <row r="1484" hidden="1" customHeight="1" spans="1:10">
      <c r="A1484" s="140" t="s">
        <v>377</v>
      </c>
      <c r="B1484" s="140" t="s">
        <v>363</v>
      </c>
      <c r="C1484" s="171">
        <v>45690</v>
      </c>
      <c r="D1484" s="172" t="s">
        <v>15</v>
      </c>
      <c r="E1484" s="173" t="s">
        <v>13</v>
      </c>
      <c r="F1484" s="140" t="s">
        <v>14</v>
      </c>
      <c r="G1484" s="140" t="s">
        <v>14</v>
      </c>
      <c r="H1484" s="140" t="s">
        <v>14</v>
      </c>
      <c r="I1484" s="140" t="s">
        <v>14</v>
      </c>
      <c r="J1484" s="174"/>
    </row>
    <row r="1485" hidden="1" customHeight="1" spans="1:10">
      <c r="A1485" s="140" t="s">
        <v>377</v>
      </c>
      <c r="B1485" s="140" t="s">
        <v>363</v>
      </c>
      <c r="C1485" s="171">
        <v>45691</v>
      </c>
      <c r="D1485" s="172" t="s">
        <v>16</v>
      </c>
      <c r="E1485" s="173" t="s">
        <v>13</v>
      </c>
      <c r="F1485" s="140" t="s">
        <v>14</v>
      </c>
      <c r="G1485" s="140" t="s">
        <v>14</v>
      </c>
      <c r="H1485" s="140" t="s">
        <v>14</v>
      </c>
      <c r="I1485" s="140" t="s">
        <v>14</v>
      </c>
      <c r="J1485" s="174"/>
    </row>
    <row r="1486" hidden="1" customHeight="1" spans="1:10">
      <c r="A1486" s="140" t="s">
        <v>377</v>
      </c>
      <c r="B1486" s="140" t="s">
        <v>363</v>
      </c>
      <c r="C1486" s="171">
        <v>45692</v>
      </c>
      <c r="D1486" s="172" t="s">
        <v>17</v>
      </c>
      <c r="E1486" s="173" t="s">
        <v>13</v>
      </c>
      <c r="F1486" s="140" t="s">
        <v>14</v>
      </c>
      <c r="G1486" s="140" t="s">
        <v>14</v>
      </c>
      <c r="H1486" s="140" t="s">
        <v>14</v>
      </c>
      <c r="I1486" s="140" t="s">
        <v>14</v>
      </c>
      <c r="J1486" s="174"/>
    </row>
    <row r="1487" hidden="1" customHeight="1" spans="1:10">
      <c r="A1487" s="140" t="s">
        <v>377</v>
      </c>
      <c r="B1487" s="140" t="s">
        <v>363</v>
      </c>
      <c r="C1487" s="171">
        <v>45693</v>
      </c>
      <c r="D1487" s="172" t="s">
        <v>18</v>
      </c>
      <c r="E1487" s="140" t="s">
        <v>19</v>
      </c>
      <c r="F1487" s="140" t="s">
        <v>320</v>
      </c>
      <c r="G1487" s="140" t="s">
        <v>21</v>
      </c>
      <c r="H1487" s="140" t="s">
        <v>167</v>
      </c>
      <c r="I1487" s="140" t="s">
        <v>21</v>
      </c>
      <c r="J1487" s="174"/>
    </row>
    <row r="1488" hidden="1" customHeight="1" spans="1:10">
      <c r="A1488" s="140" t="s">
        <v>377</v>
      </c>
      <c r="B1488" s="140" t="s">
        <v>363</v>
      </c>
      <c r="C1488" s="171">
        <v>45694</v>
      </c>
      <c r="D1488" s="172" t="s">
        <v>23</v>
      </c>
      <c r="E1488" s="140" t="s">
        <v>19</v>
      </c>
      <c r="F1488" s="140" t="s">
        <v>74</v>
      </c>
      <c r="G1488" s="140" t="s">
        <v>21</v>
      </c>
      <c r="H1488" s="140" t="s">
        <v>73</v>
      </c>
      <c r="I1488" s="140" t="s">
        <v>21</v>
      </c>
      <c r="J1488" s="174"/>
    </row>
    <row r="1489" hidden="1" customHeight="1" spans="1:10">
      <c r="A1489" s="140" t="s">
        <v>377</v>
      </c>
      <c r="B1489" s="140" t="s">
        <v>363</v>
      </c>
      <c r="C1489" s="171">
        <v>45695</v>
      </c>
      <c r="D1489" s="172" t="s">
        <v>25</v>
      </c>
      <c r="E1489" s="140" t="s">
        <v>19</v>
      </c>
      <c r="F1489" s="140" t="s">
        <v>360</v>
      </c>
      <c r="G1489" s="140" t="s">
        <v>21</v>
      </c>
      <c r="H1489" s="140" t="s">
        <v>238</v>
      </c>
      <c r="I1489" s="140" t="s">
        <v>21</v>
      </c>
      <c r="J1489" s="174"/>
    </row>
    <row r="1490" hidden="1" customHeight="1" spans="1:10">
      <c r="A1490" s="140" t="s">
        <v>377</v>
      </c>
      <c r="B1490" s="140" t="s">
        <v>363</v>
      </c>
      <c r="C1490" s="171">
        <v>45696</v>
      </c>
      <c r="D1490" s="172" t="s">
        <v>27</v>
      </c>
      <c r="E1490" s="140" t="s">
        <v>19</v>
      </c>
      <c r="F1490" s="140" t="s">
        <v>359</v>
      </c>
      <c r="G1490" s="140" t="s">
        <v>21</v>
      </c>
      <c r="H1490" s="140" t="s">
        <v>167</v>
      </c>
      <c r="I1490" s="140" t="s">
        <v>21</v>
      </c>
      <c r="J1490" s="174"/>
    </row>
    <row r="1491" hidden="1" customHeight="1" spans="1:10">
      <c r="A1491" s="140" t="s">
        <v>377</v>
      </c>
      <c r="B1491" s="140" t="s">
        <v>363</v>
      </c>
      <c r="C1491" s="171">
        <v>45697</v>
      </c>
      <c r="D1491" s="172" t="s">
        <v>15</v>
      </c>
      <c r="E1491" s="173" t="s">
        <v>13</v>
      </c>
      <c r="F1491" s="140" t="s">
        <v>14</v>
      </c>
      <c r="G1491" s="140" t="s">
        <v>14</v>
      </c>
      <c r="H1491" s="140" t="s">
        <v>14</v>
      </c>
      <c r="I1491" s="140" t="s">
        <v>14</v>
      </c>
      <c r="J1491" s="174"/>
    </row>
    <row r="1492" hidden="1" customHeight="1" spans="1:10">
      <c r="A1492" s="140" t="s">
        <v>377</v>
      </c>
      <c r="B1492" s="140" t="s">
        <v>363</v>
      </c>
      <c r="C1492" s="171">
        <v>45698</v>
      </c>
      <c r="D1492" s="172" t="s">
        <v>16</v>
      </c>
      <c r="E1492" s="140" t="s">
        <v>19</v>
      </c>
      <c r="F1492" s="140" t="s">
        <v>322</v>
      </c>
      <c r="G1492" s="140" t="s">
        <v>21</v>
      </c>
      <c r="H1492" s="140" t="s">
        <v>168</v>
      </c>
      <c r="I1492" s="140" t="s">
        <v>21</v>
      </c>
      <c r="J1492" s="174"/>
    </row>
    <row r="1493" customHeight="1" spans="1:10">
      <c r="A1493" s="140" t="s">
        <v>377</v>
      </c>
      <c r="B1493" s="140" t="s">
        <v>363</v>
      </c>
      <c r="C1493" s="171">
        <v>45699</v>
      </c>
      <c r="D1493" s="172" t="s">
        <v>17</v>
      </c>
      <c r="E1493" s="140" t="s">
        <v>19</v>
      </c>
      <c r="F1493" s="140" t="s">
        <v>126</v>
      </c>
      <c r="G1493" s="140" t="s">
        <v>21</v>
      </c>
      <c r="H1493" s="140" t="s">
        <v>14</v>
      </c>
      <c r="I1493" s="176" t="s">
        <v>68</v>
      </c>
      <c r="J1493" s="174" t="s">
        <v>69</v>
      </c>
    </row>
    <row r="1494" hidden="1" customHeight="1" spans="1:10">
      <c r="A1494" s="140" t="s">
        <v>377</v>
      </c>
      <c r="B1494" s="140" t="s">
        <v>363</v>
      </c>
      <c r="C1494" s="171">
        <v>45700</v>
      </c>
      <c r="D1494" s="172" t="s">
        <v>18</v>
      </c>
      <c r="E1494" s="140" t="s">
        <v>19</v>
      </c>
      <c r="F1494" s="140" t="s">
        <v>131</v>
      </c>
      <c r="G1494" s="140" t="s">
        <v>21</v>
      </c>
      <c r="H1494" s="140" t="s">
        <v>272</v>
      </c>
      <c r="I1494" s="140" t="s">
        <v>21</v>
      </c>
      <c r="J1494" s="174"/>
    </row>
    <row r="1495" hidden="1" customHeight="1" spans="1:10">
      <c r="A1495" s="140" t="s">
        <v>377</v>
      </c>
      <c r="B1495" s="140" t="s">
        <v>363</v>
      </c>
      <c r="C1495" s="171">
        <v>45701</v>
      </c>
      <c r="D1495" s="172" t="s">
        <v>23</v>
      </c>
      <c r="E1495" s="140" t="s">
        <v>19</v>
      </c>
      <c r="F1495" s="140" t="s">
        <v>77</v>
      </c>
      <c r="G1495" s="140" t="s">
        <v>21</v>
      </c>
      <c r="H1495" s="140" t="s">
        <v>41</v>
      </c>
      <c r="I1495" s="140" t="s">
        <v>21</v>
      </c>
      <c r="J1495" s="174"/>
    </row>
    <row r="1496" hidden="1" customHeight="1" spans="1:10">
      <c r="A1496" s="140" t="s">
        <v>377</v>
      </c>
      <c r="B1496" s="140" t="s">
        <v>363</v>
      </c>
      <c r="C1496" s="171">
        <v>45702</v>
      </c>
      <c r="D1496" s="172" t="s">
        <v>25</v>
      </c>
      <c r="E1496" s="140" t="s">
        <v>19</v>
      </c>
      <c r="F1496" s="140" t="s">
        <v>378</v>
      </c>
      <c r="G1496" s="140" t="s">
        <v>21</v>
      </c>
      <c r="H1496" s="140" t="s">
        <v>238</v>
      </c>
      <c r="I1496" s="140" t="s">
        <v>21</v>
      </c>
      <c r="J1496" s="174"/>
    </row>
    <row r="1497" hidden="1" customHeight="1" spans="1:10">
      <c r="A1497" s="140" t="s">
        <v>377</v>
      </c>
      <c r="B1497" s="140" t="s">
        <v>363</v>
      </c>
      <c r="C1497" s="171">
        <v>45703</v>
      </c>
      <c r="D1497" s="172" t="s">
        <v>27</v>
      </c>
      <c r="E1497" s="173" t="s">
        <v>13</v>
      </c>
      <c r="F1497" s="140" t="s">
        <v>14</v>
      </c>
      <c r="G1497" s="140" t="s">
        <v>14</v>
      </c>
      <c r="H1497" s="140" t="s">
        <v>14</v>
      </c>
      <c r="I1497" s="140" t="s">
        <v>14</v>
      </c>
      <c r="J1497" s="174"/>
    </row>
    <row r="1498" hidden="1" customHeight="1" spans="1:10">
      <c r="A1498" s="140" t="s">
        <v>377</v>
      </c>
      <c r="B1498" s="140" t="s">
        <v>363</v>
      </c>
      <c r="C1498" s="171">
        <v>45704</v>
      </c>
      <c r="D1498" s="172" t="s">
        <v>15</v>
      </c>
      <c r="E1498" s="173" t="s">
        <v>13</v>
      </c>
      <c r="F1498" s="140" t="s">
        <v>14</v>
      </c>
      <c r="G1498" s="140" t="s">
        <v>14</v>
      </c>
      <c r="H1498" s="140" t="s">
        <v>14</v>
      </c>
      <c r="I1498" s="140" t="s">
        <v>14</v>
      </c>
      <c r="J1498" s="174"/>
    </row>
    <row r="1499" hidden="1" customHeight="1" spans="1:10">
      <c r="A1499" s="140" t="s">
        <v>377</v>
      </c>
      <c r="B1499" s="140" t="s">
        <v>363</v>
      </c>
      <c r="C1499" s="171">
        <v>45705</v>
      </c>
      <c r="D1499" s="172" t="s">
        <v>16</v>
      </c>
      <c r="E1499" s="140" t="s">
        <v>19</v>
      </c>
      <c r="F1499" s="140" t="s">
        <v>58</v>
      </c>
      <c r="G1499" s="140" t="s">
        <v>21</v>
      </c>
      <c r="H1499" s="140" t="s">
        <v>41</v>
      </c>
      <c r="I1499" s="140" t="s">
        <v>21</v>
      </c>
      <c r="J1499" s="174"/>
    </row>
    <row r="1500" hidden="1" customHeight="1" spans="1:10">
      <c r="A1500" s="140" t="s">
        <v>377</v>
      </c>
      <c r="B1500" s="140" t="s">
        <v>363</v>
      </c>
      <c r="C1500" s="171">
        <v>45706</v>
      </c>
      <c r="D1500" s="172" t="s">
        <v>17</v>
      </c>
      <c r="E1500" s="140" t="s">
        <v>19</v>
      </c>
      <c r="F1500" s="140" t="s">
        <v>63</v>
      </c>
      <c r="G1500" s="140" t="s">
        <v>21</v>
      </c>
      <c r="H1500" s="140" t="s">
        <v>213</v>
      </c>
      <c r="I1500" s="140" t="s">
        <v>21</v>
      </c>
      <c r="J1500" s="174"/>
    </row>
    <row r="1501" hidden="1" customHeight="1" spans="1:10">
      <c r="A1501" s="140" t="s">
        <v>377</v>
      </c>
      <c r="B1501" s="140" t="s">
        <v>363</v>
      </c>
      <c r="C1501" s="171">
        <v>45707</v>
      </c>
      <c r="D1501" s="172" t="s">
        <v>18</v>
      </c>
      <c r="E1501" s="140" t="s">
        <v>19</v>
      </c>
      <c r="F1501" s="140" t="s">
        <v>72</v>
      </c>
      <c r="G1501" s="140" t="s">
        <v>21</v>
      </c>
      <c r="H1501" s="140" t="s">
        <v>316</v>
      </c>
      <c r="I1501" s="140" t="s">
        <v>21</v>
      </c>
      <c r="J1501" s="174"/>
    </row>
    <row r="1502" hidden="1" customHeight="1" spans="1:10">
      <c r="A1502" s="140" t="s">
        <v>377</v>
      </c>
      <c r="B1502" s="140" t="s">
        <v>363</v>
      </c>
      <c r="C1502" s="171">
        <v>45708</v>
      </c>
      <c r="D1502" s="172" t="s">
        <v>23</v>
      </c>
      <c r="E1502" s="140" t="s">
        <v>19</v>
      </c>
      <c r="F1502" s="140" t="s">
        <v>171</v>
      </c>
      <c r="G1502" s="140" t="s">
        <v>21</v>
      </c>
      <c r="H1502" s="140" t="s">
        <v>364</v>
      </c>
      <c r="I1502" s="140" t="s">
        <v>21</v>
      </c>
      <c r="J1502" s="174"/>
    </row>
    <row r="1503" hidden="1" customHeight="1" spans="1:10">
      <c r="A1503" s="140" t="s">
        <v>377</v>
      </c>
      <c r="B1503" s="140" t="s">
        <v>363</v>
      </c>
      <c r="C1503" s="171">
        <v>45709</v>
      </c>
      <c r="D1503" s="172" t="s">
        <v>25</v>
      </c>
      <c r="E1503" s="140" t="s">
        <v>19</v>
      </c>
      <c r="F1503" s="140" t="s">
        <v>67</v>
      </c>
      <c r="G1503" s="140" t="s">
        <v>21</v>
      </c>
      <c r="H1503" s="140" t="s">
        <v>167</v>
      </c>
      <c r="I1503" s="140" t="s">
        <v>21</v>
      </c>
      <c r="J1503" s="174"/>
    </row>
    <row r="1504" hidden="1" customHeight="1" spans="1:10">
      <c r="A1504" s="140" t="s">
        <v>377</v>
      </c>
      <c r="B1504" s="140" t="s">
        <v>363</v>
      </c>
      <c r="C1504" s="171">
        <v>45710</v>
      </c>
      <c r="D1504" s="172" t="s">
        <v>27</v>
      </c>
      <c r="E1504" s="173" t="s">
        <v>13</v>
      </c>
      <c r="F1504" s="140" t="s">
        <v>14</v>
      </c>
      <c r="G1504" s="140" t="s">
        <v>14</v>
      </c>
      <c r="H1504" s="140" t="s">
        <v>14</v>
      </c>
      <c r="I1504" s="140" t="s">
        <v>14</v>
      </c>
      <c r="J1504" s="174"/>
    </row>
    <row r="1505" hidden="1" customHeight="1" spans="1:10">
      <c r="A1505" s="140" t="s">
        <v>377</v>
      </c>
      <c r="B1505" s="140" t="s">
        <v>363</v>
      </c>
      <c r="C1505" s="171">
        <v>45711</v>
      </c>
      <c r="D1505" s="172" t="s">
        <v>15</v>
      </c>
      <c r="E1505" s="173" t="s">
        <v>13</v>
      </c>
      <c r="F1505" s="140" t="s">
        <v>14</v>
      </c>
      <c r="G1505" s="140" t="s">
        <v>14</v>
      </c>
      <c r="H1505" s="140" t="s">
        <v>14</v>
      </c>
      <c r="I1505" s="140" t="s">
        <v>14</v>
      </c>
      <c r="J1505" s="174"/>
    </row>
    <row r="1506" hidden="1" customHeight="1" spans="1:10">
      <c r="A1506" s="140" t="s">
        <v>377</v>
      </c>
      <c r="B1506" s="140" t="s">
        <v>363</v>
      </c>
      <c r="C1506" s="171">
        <v>45712</v>
      </c>
      <c r="D1506" s="172" t="s">
        <v>16</v>
      </c>
      <c r="E1506" s="140" t="s">
        <v>19</v>
      </c>
      <c r="F1506" s="140" t="s">
        <v>72</v>
      </c>
      <c r="G1506" s="140" t="s">
        <v>21</v>
      </c>
      <c r="H1506" s="140" t="s">
        <v>45</v>
      </c>
      <c r="I1506" s="140" t="s">
        <v>21</v>
      </c>
      <c r="J1506" s="174"/>
    </row>
    <row r="1507" hidden="1" customHeight="1" spans="1:10">
      <c r="A1507" s="140" t="s">
        <v>377</v>
      </c>
      <c r="B1507" s="140" t="s">
        <v>363</v>
      </c>
      <c r="C1507" s="171">
        <v>45713</v>
      </c>
      <c r="D1507" s="172" t="s">
        <v>17</v>
      </c>
      <c r="E1507" s="140" t="s">
        <v>19</v>
      </c>
      <c r="F1507" s="140" t="s">
        <v>72</v>
      </c>
      <c r="G1507" s="140" t="s">
        <v>21</v>
      </c>
      <c r="H1507" s="140" t="s">
        <v>34</v>
      </c>
      <c r="I1507" s="140" t="s">
        <v>21</v>
      </c>
      <c r="J1507" s="174"/>
    </row>
    <row r="1508" hidden="1" customHeight="1" spans="1:10">
      <c r="A1508" s="140" t="s">
        <v>377</v>
      </c>
      <c r="B1508" s="140" t="s">
        <v>363</v>
      </c>
      <c r="C1508" s="171">
        <v>45714</v>
      </c>
      <c r="D1508" s="172" t="s">
        <v>18</v>
      </c>
      <c r="E1508" s="140" t="s">
        <v>19</v>
      </c>
      <c r="F1508" s="140" t="s">
        <v>360</v>
      </c>
      <c r="G1508" s="140" t="s">
        <v>21</v>
      </c>
      <c r="H1508" s="140" t="s">
        <v>245</v>
      </c>
      <c r="I1508" s="140" t="s">
        <v>21</v>
      </c>
      <c r="J1508" s="174"/>
    </row>
    <row r="1509" hidden="1" customHeight="1" spans="1:10">
      <c r="A1509" s="140" t="s">
        <v>377</v>
      </c>
      <c r="B1509" s="140" t="s">
        <v>363</v>
      </c>
      <c r="C1509" s="171">
        <v>45715</v>
      </c>
      <c r="D1509" s="172" t="s">
        <v>23</v>
      </c>
      <c r="E1509" s="140" t="s">
        <v>19</v>
      </c>
      <c r="F1509" s="140" t="s">
        <v>171</v>
      </c>
      <c r="G1509" s="140" t="s">
        <v>21</v>
      </c>
      <c r="H1509" s="140" t="s">
        <v>24</v>
      </c>
      <c r="I1509" s="140" t="s">
        <v>21</v>
      </c>
      <c r="J1509" s="174"/>
    </row>
    <row r="1510" hidden="1" customHeight="1" spans="1:10">
      <c r="A1510" s="140" t="s">
        <v>377</v>
      </c>
      <c r="B1510" s="140" t="s">
        <v>363</v>
      </c>
      <c r="C1510" s="171">
        <v>45716</v>
      </c>
      <c r="D1510" s="172" t="s">
        <v>25</v>
      </c>
      <c r="E1510" s="140" t="s">
        <v>19</v>
      </c>
      <c r="F1510" s="140" t="s">
        <v>379</v>
      </c>
      <c r="G1510" s="140" t="s">
        <v>21</v>
      </c>
      <c r="H1510" s="140" t="s">
        <v>112</v>
      </c>
      <c r="I1510" s="140" t="s">
        <v>21</v>
      </c>
      <c r="J1510" s="174"/>
    </row>
    <row r="1511" hidden="1" customHeight="1" spans="1:10">
      <c r="A1511" s="140" t="s">
        <v>380</v>
      </c>
      <c r="B1511" s="140" t="s">
        <v>354</v>
      </c>
      <c r="C1511" s="171">
        <v>45689</v>
      </c>
      <c r="D1511" s="172" t="s">
        <v>12</v>
      </c>
      <c r="E1511" s="173" t="s">
        <v>13</v>
      </c>
      <c r="F1511" s="140" t="s">
        <v>14</v>
      </c>
      <c r="G1511" s="140" t="s">
        <v>14</v>
      </c>
      <c r="H1511" s="140" t="s">
        <v>14</v>
      </c>
      <c r="I1511" s="140" t="s">
        <v>14</v>
      </c>
      <c r="J1511" s="174"/>
    </row>
    <row r="1512" hidden="1" customHeight="1" spans="1:10">
      <c r="A1512" s="140" t="s">
        <v>380</v>
      </c>
      <c r="B1512" s="140" t="s">
        <v>354</v>
      </c>
      <c r="C1512" s="171">
        <v>45690</v>
      </c>
      <c r="D1512" s="172" t="s">
        <v>15</v>
      </c>
      <c r="E1512" s="173" t="s">
        <v>13</v>
      </c>
      <c r="F1512" s="140" t="s">
        <v>14</v>
      </c>
      <c r="G1512" s="140" t="s">
        <v>14</v>
      </c>
      <c r="H1512" s="140" t="s">
        <v>14</v>
      </c>
      <c r="I1512" s="140" t="s">
        <v>14</v>
      </c>
      <c r="J1512" s="174"/>
    </row>
    <row r="1513" hidden="1" customHeight="1" spans="1:10">
      <c r="A1513" s="140" t="s">
        <v>380</v>
      </c>
      <c r="B1513" s="140" t="s">
        <v>354</v>
      </c>
      <c r="C1513" s="171">
        <v>45691</v>
      </c>
      <c r="D1513" s="172" t="s">
        <v>16</v>
      </c>
      <c r="E1513" s="173" t="s">
        <v>13</v>
      </c>
      <c r="F1513" s="140" t="s">
        <v>14</v>
      </c>
      <c r="G1513" s="140" t="s">
        <v>14</v>
      </c>
      <c r="H1513" s="140" t="s">
        <v>14</v>
      </c>
      <c r="I1513" s="140" t="s">
        <v>14</v>
      </c>
      <c r="J1513" s="174"/>
    </row>
    <row r="1514" hidden="1" customHeight="1" spans="1:10">
      <c r="A1514" s="140" t="s">
        <v>380</v>
      </c>
      <c r="B1514" s="140" t="s">
        <v>354</v>
      </c>
      <c r="C1514" s="171">
        <v>45692</v>
      </c>
      <c r="D1514" s="172" t="s">
        <v>17</v>
      </c>
      <c r="E1514" s="173" t="s">
        <v>13</v>
      </c>
      <c r="F1514" s="140" t="s">
        <v>14</v>
      </c>
      <c r="G1514" s="140" t="s">
        <v>14</v>
      </c>
      <c r="H1514" s="140" t="s">
        <v>14</v>
      </c>
      <c r="I1514" s="140" t="s">
        <v>14</v>
      </c>
      <c r="J1514" s="174"/>
    </row>
    <row r="1515" hidden="1" customHeight="1" spans="1:10">
      <c r="A1515" s="140" t="s">
        <v>380</v>
      </c>
      <c r="B1515" s="140" t="s">
        <v>354</v>
      </c>
      <c r="C1515" s="171">
        <v>45693</v>
      </c>
      <c r="D1515" s="172" t="s">
        <v>18</v>
      </c>
      <c r="E1515" s="140" t="s">
        <v>19</v>
      </c>
      <c r="F1515" s="140" t="s">
        <v>51</v>
      </c>
      <c r="G1515" s="140" t="s">
        <v>21</v>
      </c>
      <c r="H1515" s="140" t="s">
        <v>175</v>
      </c>
      <c r="I1515" s="140" t="s">
        <v>21</v>
      </c>
      <c r="J1515" s="174"/>
    </row>
    <row r="1516" hidden="1" customHeight="1" spans="1:10">
      <c r="A1516" s="140" t="s">
        <v>380</v>
      </c>
      <c r="B1516" s="140" t="s">
        <v>354</v>
      </c>
      <c r="C1516" s="171">
        <v>45694</v>
      </c>
      <c r="D1516" s="172" t="s">
        <v>23</v>
      </c>
      <c r="E1516" s="140" t="s">
        <v>19</v>
      </c>
      <c r="F1516" s="140" t="s">
        <v>51</v>
      </c>
      <c r="G1516" s="140" t="s">
        <v>21</v>
      </c>
      <c r="H1516" s="140" t="s">
        <v>219</v>
      </c>
      <c r="I1516" s="140" t="s">
        <v>21</v>
      </c>
      <c r="J1516" s="174"/>
    </row>
    <row r="1517" hidden="1" customHeight="1" spans="1:10">
      <c r="A1517" s="140" t="s">
        <v>380</v>
      </c>
      <c r="B1517" s="140" t="s">
        <v>354</v>
      </c>
      <c r="C1517" s="171">
        <v>45695</v>
      </c>
      <c r="D1517" s="172" t="s">
        <v>25</v>
      </c>
      <c r="E1517" s="140" t="s">
        <v>19</v>
      </c>
      <c r="F1517" s="140" t="s">
        <v>33</v>
      </c>
      <c r="G1517" s="140" t="s">
        <v>21</v>
      </c>
      <c r="H1517" s="140" t="s">
        <v>252</v>
      </c>
      <c r="I1517" s="140" t="s">
        <v>21</v>
      </c>
      <c r="J1517" s="174"/>
    </row>
    <row r="1518" hidden="1" customHeight="1" spans="1:10">
      <c r="A1518" s="140" t="s">
        <v>380</v>
      </c>
      <c r="B1518" s="140" t="s">
        <v>354</v>
      </c>
      <c r="C1518" s="171">
        <v>45696</v>
      </c>
      <c r="D1518" s="172" t="s">
        <v>27</v>
      </c>
      <c r="E1518" s="140" t="s">
        <v>19</v>
      </c>
      <c r="F1518" s="140" t="s">
        <v>30</v>
      </c>
      <c r="G1518" s="140" t="s">
        <v>21</v>
      </c>
      <c r="H1518" s="140" t="s">
        <v>210</v>
      </c>
      <c r="I1518" s="140" t="s">
        <v>21</v>
      </c>
      <c r="J1518" s="174"/>
    </row>
    <row r="1519" hidden="1" customHeight="1" spans="1:10">
      <c r="A1519" s="140" t="s">
        <v>380</v>
      </c>
      <c r="B1519" s="140" t="s">
        <v>354</v>
      </c>
      <c r="C1519" s="171">
        <v>45697</v>
      </c>
      <c r="D1519" s="172" t="s">
        <v>15</v>
      </c>
      <c r="E1519" s="173" t="s">
        <v>13</v>
      </c>
      <c r="F1519" s="140" t="s">
        <v>14</v>
      </c>
      <c r="G1519" s="140" t="s">
        <v>14</v>
      </c>
      <c r="H1519" s="140" t="s">
        <v>14</v>
      </c>
      <c r="I1519" s="140" t="s">
        <v>14</v>
      </c>
      <c r="J1519" s="174"/>
    </row>
    <row r="1520" hidden="1" customHeight="1" spans="1:10">
      <c r="A1520" s="140" t="s">
        <v>380</v>
      </c>
      <c r="B1520" s="140" t="s">
        <v>354</v>
      </c>
      <c r="C1520" s="171">
        <v>45698</v>
      </c>
      <c r="D1520" s="172" t="s">
        <v>16</v>
      </c>
      <c r="E1520" s="140" t="s">
        <v>19</v>
      </c>
      <c r="F1520" s="140" t="s">
        <v>46</v>
      </c>
      <c r="G1520" s="140" t="s">
        <v>21</v>
      </c>
      <c r="H1520" s="140" t="s">
        <v>315</v>
      </c>
      <c r="I1520" s="140" t="s">
        <v>21</v>
      </c>
      <c r="J1520" s="174"/>
    </row>
    <row r="1521" hidden="1" customHeight="1" spans="1:10">
      <c r="A1521" s="140" t="s">
        <v>380</v>
      </c>
      <c r="B1521" s="140" t="s">
        <v>354</v>
      </c>
      <c r="C1521" s="171">
        <v>45699</v>
      </c>
      <c r="D1521" s="172" t="s">
        <v>17</v>
      </c>
      <c r="E1521" s="140" t="s">
        <v>19</v>
      </c>
      <c r="F1521" s="140" t="s">
        <v>51</v>
      </c>
      <c r="G1521" s="140" t="s">
        <v>21</v>
      </c>
      <c r="H1521" s="140" t="s">
        <v>238</v>
      </c>
      <c r="I1521" s="140" t="s">
        <v>21</v>
      </c>
      <c r="J1521" s="174"/>
    </row>
    <row r="1522" hidden="1" customHeight="1" spans="1:10">
      <c r="A1522" s="140" t="s">
        <v>380</v>
      </c>
      <c r="B1522" s="140" t="s">
        <v>354</v>
      </c>
      <c r="C1522" s="171">
        <v>45700</v>
      </c>
      <c r="D1522" s="172" t="s">
        <v>18</v>
      </c>
      <c r="E1522" s="140" t="s">
        <v>19</v>
      </c>
      <c r="F1522" s="140" t="s">
        <v>36</v>
      </c>
      <c r="G1522" s="140" t="s">
        <v>21</v>
      </c>
      <c r="H1522" s="140" t="s">
        <v>142</v>
      </c>
      <c r="I1522" s="140" t="s">
        <v>21</v>
      </c>
      <c r="J1522" s="174"/>
    </row>
    <row r="1523" hidden="1" customHeight="1" spans="1:10">
      <c r="A1523" s="140" t="s">
        <v>380</v>
      </c>
      <c r="B1523" s="140" t="s">
        <v>354</v>
      </c>
      <c r="C1523" s="171">
        <v>45701</v>
      </c>
      <c r="D1523" s="172" t="s">
        <v>23</v>
      </c>
      <c r="E1523" s="140" t="s">
        <v>19</v>
      </c>
      <c r="F1523" s="140" t="s">
        <v>46</v>
      </c>
      <c r="G1523" s="140" t="s">
        <v>21</v>
      </c>
      <c r="H1523" s="140" t="s">
        <v>381</v>
      </c>
      <c r="I1523" s="140" t="s">
        <v>21</v>
      </c>
      <c r="J1523" s="174"/>
    </row>
    <row r="1524" customHeight="1" spans="1:10">
      <c r="A1524" s="140" t="s">
        <v>380</v>
      </c>
      <c r="B1524" s="140" t="s">
        <v>354</v>
      </c>
      <c r="C1524" s="171">
        <v>45702</v>
      </c>
      <c r="D1524" s="172" t="s">
        <v>25</v>
      </c>
      <c r="E1524" s="140" t="s">
        <v>19</v>
      </c>
      <c r="F1524" s="140" t="s">
        <v>14</v>
      </c>
      <c r="G1524" s="176" t="s">
        <v>68</v>
      </c>
      <c r="H1524" s="140" t="s">
        <v>80</v>
      </c>
      <c r="I1524" s="140" t="s">
        <v>21</v>
      </c>
      <c r="J1524" s="174" t="s">
        <v>69</v>
      </c>
    </row>
    <row r="1525" hidden="1" customHeight="1" spans="1:10">
      <c r="A1525" s="140" t="s">
        <v>380</v>
      </c>
      <c r="B1525" s="140" t="s">
        <v>354</v>
      </c>
      <c r="C1525" s="171">
        <v>45703</v>
      </c>
      <c r="D1525" s="172" t="s">
        <v>27</v>
      </c>
      <c r="E1525" s="173" t="s">
        <v>13</v>
      </c>
      <c r="F1525" s="140" t="s">
        <v>14</v>
      </c>
      <c r="G1525" s="140" t="s">
        <v>14</v>
      </c>
      <c r="H1525" s="140" t="s">
        <v>14</v>
      </c>
      <c r="I1525" s="140" t="s">
        <v>14</v>
      </c>
      <c r="J1525" s="174"/>
    </row>
    <row r="1526" hidden="1" customHeight="1" spans="1:10">
      <c r="A1526" s="140" t="s">
        <v>380</v>
      </c>
      <c r="B1526" s="140" t="s">
        <v>354</v>
      </c>
      <c r="C1526" s="171">
        <v>45704</v>
      </c>
      <c r="D1526" s="172" t="s">
        <v>15</v>
      </c>
      <c r="E1526" s="173" t="s">
        <v>13</v>
      </c>
      <c r="F1526" s="140" t="s">
        <v>14</v>
      </c>
      <c r="G1526" s="140" t="s">
        <v>14</v>
      </c>
      <c r="H1526" s="140" t="s">
        <v>14</v>
      </c>
      <c r="I1526" s="140" t="s">
        <v>14</v>
      </c>
      <c r="J1526" s="174"/>
    </row>
    <row r="1527" hidden="1" customHeight="1" spans="1:10">
      <c r="A1527" s="140" t="s">
        <v>380</v>
      </c>
      <c r="B1527" s="140" t="s">
        <v>354</v>
      </c>
      <c r="C1527" s="171">
        <v>45705</v>
      </c>
      <c r="D1527" s="172" t="s">
        <v>16</v>
      </c>
      <c r="E1527" s="140" t="s">
        <v>19</v>
      </c>
      <c r="F1527" s="140" t="s">
        <v>193</v>
      </c>
      <c r="G1527" s="140" t="s">
        <v>21</v>
      </c>
      <c r="H1527" s="140" t="s">
        <v>78</v>
      </c>
      <c r="I1527" s="140" t="s">
        <v>21</v>
      </c>
      <c r="J1527" s="174"/>
    </row>
    <row r="1528" hidden="1" customHeight="1" spans="1:10">
      <c r="A1528" s="140" t="s">
        <v>380</v>
      </c>
      <c r="B1528" s="140" t="s">
        <v>354</v>
      </c>
      <c r="C1528" s="171">
        <v>45706</v>
      </c>
      <c r="D1528" s="172" t="s">
        <v>17</v>
      </c>
      <c r="E1528" s="140" t="s">
        <v>19</v>
      </c>
      <c r="F1528" s="140" t="s">
        <v>36</v>
      </c>
      <c r="G1528" s="140" t="s">
        <v>21</v>
      </c>
      <c r="H1528" s="140" t="s">
        <v>232</v>
      </c>
      <c r="I1528" s="140" t="s">
        <v>21</v>
      </c>
      <c r="J1528" s="174"/>
    </row>
    <row r="1529" hidden="1" customHeight="1" spans="1:10">
      <c r="A1529" s="140" t="s">
        <v>380</v>
      </c>
      <c r="B1529" s="140" t="s">
        <v>354</v>
      </c>
      <c r="C1529" s="171">
        <v>45707</v>
      </c>
      <c r="D1529" s="172" t="s">
        <v>18</v>
      </c>
      <c r="E1529" s="140" t="s">
        <v>19</v>
      </c>
      <c r="F1529" s="140" t="s">
        <v>157</v>
      </c>
      <c r="G1529" s="140" t="s">
        <v>21</v>
      </c>
      <c r="H1529" s="140" t="s">
        <v>207</v>
      </c>
      <c r="I1529" s="140" t="s">
        <v>21</v>
      </c>
      <c r="J1529" s="174"/>
    </row>
    <row r="1530" hidden="1" customHeight="1" spans="1:10">
      <c r="A1530" s="140" t="s">
        <v>380</v>
      </c>
      <c r="B1530" s="140" t="s">
        <v>354</v>
      </c>
      <c r="C1530" s="171">
        <v>45708</v>
      </c>
      <c r="D1530" s="172" t="s">
        <v>23</v>
      </c>
      <c r="E1530" s="140" t="s">
        <v>19</v>
      </c>
      <c r="F1530" s="140" t="s">
        <v>46</v>
      </c>
      <c r="G1530" s="140" t="s">
        <v>21</v>
      </c>
      <c r="H1530" s="140" t="s">
        <v>382</v>
      </c>
      <c r="I1530" s="140" t="s">
        <v>21</v>
      </c>
      <c r="J1530" s="174"/>
    </row>
    <row r="1531" hidden="1" customHeight="1" spans="1:10">
      <c r="A1531" s="140" t="s">
        <v>380</v>
      </c>
      <c r="B1531" s="140" t="s">
        <v>354</v>
      </c>
      <c r="C1531" s="171">
        <v>45709</v>
      </c>
      <c r="D1531" s="172" t="s">
        <v>25</v>
      </c>
      <c r="E1531" s="140" t="s">
        <v>19</v>
      </c>
      <c r="F1531" s="140" t="s">
        <v>43</v>
      </c>
      <c r="G1531" s="140" t="s">
        <v>21</v>
      </c>
      <c r="H1531" s="140" t="s">
        <v>53</v>
      </c>
      <c r="I1531" s="140" t="s">
        <v>21</v>
      </c>
      <c r="J1531" s="174"/>
    </row>
    <row r="1532" hidden="1" customHeight="1" spans="1:10">
      <c r="A1532" s="140" t="s">
        <v>380</v>
      </c>
      <c r="B1532" s="140" t="s">
        <v>354</v>
      </c>
      <c r="C1532" s="171">
        <v>45710</v>
      </c>
      <c r="D1532" s="172" t="s">
        <v>27</v>
      </c>
      <c r="E1532" s="173" t="s">
        <v>13</v>
      </c>
      <c r="F1532" s="140" t="s">
        <v>14</v>
      </c>
      <c r="G1532" s="140" t="s">
        <v>14</v>
      </c>
      <c r="H1532" s="140" t="s">
        <v>14</v>
      </c>
      <c r="I1532" s="140" t="s">
        <v>14</v>
      </c>
      <c r="J1532" s="174"/>
    </row>
    <row r="1533" hidden="1" customHeight="1" spans="1:10">
      <c r="A1533" s="140" t="s">
        <v>380</v>
      </c>
      <c r="B1533" s="140" t="s">
        <v>354</v>
      </c>
      <c r="C1533" s="171">
        <v>45711</v>
      </c>
      <c r="D1533" s="172" t="s">
        <v>15</v>
      </c>
      <c r="E1533" s="173" t="s">
        <v>13</v>
      </c>
      <c r="F1533" s="140" t="s">
        <v>14</v>
      </c>
      <c r="G1533" s="140" t="s">
        <v>14</v>
      </c>
      <c r="H1533" s="140" t="s">
        <v>14</v>
      </c>
      <c r="I1533" s="140" t="s">
        <v>14</v>
      </c>
      <c r="J1533" s="174"/>
    </row>
    <row r="1534" hidden="1" customHeight="1" spans="1:10">
      <c r="A1534" s="140" t="s">
        <v>380</v>
      </c>
      <c r="B1534" s="140" t="s">
        <v>354</v>
      </c>
      <c r="C1534" s="171">
        <v>45712</v>
      </c>
      <c r="D1534" s="172" t="s">
        <v>16</v>
      </c>
      <c r="E1534" s="140" t="s">
        <v>19</v>
      </c>
      <c r="F1534" s="140" t="s">
        <v>28</v>
      </c>
      <c r="G1534" s="140" t="s">
        <v>21</v>
      </c>
      <c r="H1534" s="140" t="s">
        <v>168</v>
      </c>
      <c r="I1534" s="140" t="s">
        <v>21</v>
      </c>
      <c r="J1534" s="174"/>
    </row>
    <row r="1535" hidden="1" customHeight="1" spans="1:10">
      <c r="A1535" s="140" t="s">
        <v>380</v>
      </c>
      <c r="B1535" s="140" t="s">
        <v>354</v>
      </c>
      <c r="C1535" s="171">
        <v>45713</v>
      </c>
      <c r="D1535" s="172" t="s">
        <v>17</v>
      </c>
      <c r="E1535" s="140" t="s">
        <v>19</v>
      </c>
      <c r="F1535" s="140" t="s">
        <v>157</v>
      </c>
      <c r="G1535" s="140" t="s">
        <v>21</v>
      </c>
      <c r="H1535" s="140" t="s">
        <v>151</v>
      </c>
      <c r="I1535" s="140" t="s">
        <v>21</v>
      </c>
      <c r="J1535" s="174"/>
    </row>
    <row r="1536" hidden="1" customHeight="1" spans="1:10">
      <c r="A1536" s="140" t="s">
        <v>380</v>
      </c>
      <c r="B1536" s="140" t="s">
        <v>354</v>
      </c>
      <c r="C1536" s="171">
        <v>45714</v>
      </c>
      <c r="D1536" s="172" t="s">
        <v>18</v>
      </c>
      <c r="E1536" s="140" t="s">
        <v>19</v>
      </c>
      <c r="F1536" s="140" t="s">
        <v>33</v>
      </c>
      <c r="G1536" s="140" t="s">
        <v>21</v>
      </c>
      <c r="H1536" s="140" t="s">
        <v>231</v>
      </c>
      <c r="I1536" s="140" t="s">
        <v>21</v>
      </c>
      <c r="J1536" s="174"/>
    </row>
    <row r="1537" hidden="1" customHeight="1" spans="1:10">
      <c r="A1537" s="140" t="s">
        <v>380</v>
      </c>
      <c r="B1537" s="140" t="s">
        <v>354</v>
      </c>
      <c r="C1537" s="171">
        <v>45715</v>
      </c>
      <c r="D1537" s="172" t="s">
        <v>23</v>
      </c>
      <c r="E1537" s="140" t="s">
        <v>19</v>
      </c>
      <c r="F1537" s="140" t="s">
        <v>157</v>
      </c>
      <c r="G1537" s="140" t="s">
        <v>21</v>
      </c>
      <c r="H1537" s="140" t="s">
        <v>375</v>
      </c>
      <c r="I1537" s="140" t="s">
        <v>21</v>
      </c>
      <c r="J1537" s="174"/>
    </row>
    <row r="1538" hidden="1" customHeight="1" spans="1:10">
      <c r="A1538" s="140" t="s">
        <v>380</v>
      </c>
      <c r="B1538" s="140" t="s">
        <v>354</v>
      </c>
      <c r="C1538" s="171">
        <v>45716</v>
      </c>
      <c r="D1538" s="172" t="s">
        <v>25</v>
      </c>
      <c r="E1538" s="140" t="s">
        <v>19</v>
      </c>
      <c r="F1538" s="140" t="s">
        <v>28</v>
      </c>
      <c r="G1538" s="140" t="s">
        <v>21</v>
      </c>
      <c r="H1538" s="140" t="s">
        <v>142</v>
      </c>
      <c r="I1538" s="140" t="s">
        <v>21</v>
      </c>
      <c r="J1538" s="174"/>
    </row>
    <row r="1539" hidden="1" customHeight="1" spans="1:10">
      <c r="A1539" s="140" t="s">
        <v>383</v>
      </c>
      <c r="B1539" s="140" t="s">
        <v>354</v>
      </c>
      <c r="C1539" s="171">
        <v>45689</v>
      </c>
      <c r="D1539" s="172" t="s">
        <v>12</v>
      </c>
      <c r="E1539" s="173" t="s">
        <v>13</v>
      </c>
      <c r="F1539" s="140" t="s">
        <v>14</v>
      </c>
      <c r="G1539" s="140" t="s">
        <v>14</v>
      </c>
      <c r="H1539" s="140" t="s">
        <v>14</v>
      </c>
      <c r="I1539" s="140" t="s">
        <v>14</v>
      </c>
      <c r="J1539" s="174"/>
    </row>
    <row r="1540" hidden="1" customHeight="1" spans="1:10">
      <c r="A1540" s="140" t="s">
        <v>383</v>
      </c>
      <c r="B1540" s="140" t="s">
        <v>354</v>
      </c>
      <c r="C1540" s="171">
        <v>45690</v>
      </c>
      <c r="D1540" s="172" t="s">
        <v>15</v>
      </c>
      <c r="E1540" s="173" t="s">
        <v>13</v>
      </c>
      <c r="F1540" s="140" t="s">
        <v>14</v>
      </c>
      <c r="G1540" s="140" t="s">
        <v>14</v>
      </c>
      <c r="H1540" s="140" t="s">
        <v>14</v>
      </c>
      <c r="I1540" s="140" t="s">
        <v>14</v>
      </c>
      <c r="J1540" s="174"/>
    </row>
    <row r="1541" hidden="1" customHeight="1" spans="1:10">
      <c r="A1541" s="140" t="s">
        <v>383</v>
      </c>
      <c r="B1541" s="140" t="s">
        <v>354</v>
      </c>
      <c r="C1541" s="171">
        <v>45691</v>
      </c>
      <c r="D1541" s="172" t="s">
        <v>16</v>
      </c>
      <c r="E1541" s="173" t="s">
        <v>13</v>
      </c>
      <c r="F1541" s="140" t="s">
        <v>14</v>
      </c>
      <c r="G1541" s="140" t="s">
        <v>14</v>
      </c>
      <c r="H1541" s="140" t="s">
        <v>14</v>
      </c>
      <c r="I1541" s="140" t="s">
        <v>14</v>
      </c>
      <c r="J1541" s="174"/>
    </row>
    <row r="1542" hidden="1" customHeight="1" spans="1:10">
      <c r="A1542" s="140" t="s">
        <v>383</v>
      </c>
      <c r="B1542" s="140" t="s">
        <v>354</v>
      </c>
      <c r="C1542" s="171">
        <v>45692</v>
      </c>
      <c r="D1542" s="172" t="s">
        <v>17</v>
      </c>
      <c r="E1542" s="173" t="s">
        <v>13</v>
      </c>
      <c r="F1542" s="140" t="s">
        <v>14</v>
      </c>
      <c r="G1542" s="140" t="s">
        <v>14</v>
      </c>
      <c r="H1542" s="140" t="s">
        <v>14</v>
      </c>
      <c r="I1542" s="140" t="s">
        <v>14</v>
      </c>
      <c r="J1542" s="174"/>
    </row>
    <row r="1543" hidden="1" customHeight="1" spans="1:10">
      <c r="A1543" s="140" t="s">
        <v>383</v>
      </c>
      <c r="B1543" s="140" t="s">
        <v>354</v>
      </c>
      <c r="C1543" s="171">
        <v>45693</v>
      </c>
      <c r="D1543" s="172" t="s">
        <v>18</v>
      </c>
      <c r="E1543" s="140" t="s">
        <v>19</v>
      </c>
      <c r="F1543" s="140" t="s">
        <v>129</v>
      </c>
      <c r="G1543" s="140" t="s">
        <v>21</v>
      </c>
      <c r="H1543" s="140" t="s">
        <v>206</v>
      </c>
      <c r="I1543" s="140" t="s">
        <v>21</v>
      </c>
      <c r="J1543" s="174"/>
    </row>
    <row r="1544" hidden="1" customHeight="1" spans="1:10">
      <c r="A1544" s="140" t="s">
        <v>383</v>
      </c>
      <c r="B1544" s="140" t="s">
        <v>354</v>
      </c>
      <c r="C1544" s="171">
        <v>45694</v>
      </c>
      <c r="D1544" s="172" t="s">
        <v>23</v>
      </c>
      <c r="E1544" s="140" t="s">
        <v>19</v>
      </c>
      <c r="F1544" s="140" t="s">
        <v>137</v>
      </c>
      <c r="G1544" s="140" t="s">
        <v>21</v>
      </c>
      <c r="H1544" s="140" t="s">
        <v>45</v>
      </c>
      <c r="I1544" s="140" t="s">
        <v>21</v>
      </c>
      <c r="J1544" s="174"/>
    </row>
    <row r="1545" hidden="1" customHeight="1" spans="1:10">
      <c r="A1545" s="140" t="s">
        <v>383</v>
      </c>
      <c r="B1545" s="140" t="s">
        <v>354</v>
      </c>
      <c r="C1545" s="171">
        <v>45695</v>
      </c>
      <c r="D1545" s="172" t="s">
        <v>25</v>
      </c>
      <c r="E1545" s="140" t="s">
        <v>19</v>
      </c>
      <c r="F1545" s="140" t="s">
        <v>129</v>
      </c>
      <c r="G1545" s="140" t="s">
        <v>21</v>
      </c>
      <c r="H1545" s="140" t="s">
        <v>206</v>
      </c>
      <c r="I1545" s="140" t="s">
        <v>21</v>
      </c>
      <c r="J1545" s="174"/>
    </row>
    <row r="1546" hidden="1" customHeight="1" spans="1:10">
      <c r="A1546" s="140" t="s">
        <v>383</v>
      </c>
      <c r="B1546" s="140" t="s">
        <v>354</v>
      </c>
      <c r="C1546" s="171">
        <v>45696</v>
      </c>
      <c r="D1546" s="172" t="s">
        <v>27</v>
      </c>
      <c r="E1546" s="140" t="s">
        <v>19</v>
      </c>
      <c r="F1546" s="140" t="s">
        <v>177</v>
      </c>
      <c r="G1546" s="140" t="s">
        <v>21</v>
      </c>
      <c r="H1546" s="140" t="s">
        <v>206</v>
      </c>
      <c r="I1546" s="140" t="s">
        <v>21</v>
      </c>
      <c r="J1546" s="174"/>
    </row>
    <row r="1547" hidden="1" customHeight="1" spans="1:10">
      <c r="A1547" s="140" t="s">
        <v>383</v>
      </c>
      <c r="B1547" s="140" t="s">
        <v>354</v>
      </c>
      <c r="C1547" s="171">
        <v>45697</v>
      </c>
      <c r="D1547" s="172" t="s">
        <v>15</v>
      </c>
      <c r="E1547" s="173" t="s">
        <v>13</v>
      </c>
      <c r="F1547" s="140" t="s">
        <v>14</v>
      </c>
      <c r="G1547" s="140" t="s">
        <v>14</v>
      </c>
      <c r="H1547" s="140" t="s">
        <v>14</v>
      </c>
      <c r="I1547" s="140" t="s">
        <v>14</v>
      </c>
      <c r="J1547" s="174"/>
    </row>
    <row r="1548" hidden="1" customHeight="1" spans="1:10">
      <c r="A1548" s="140" t="s">
        <v>383</v>
      </c>
      <c r="B1548" s="140" t="s">
        <v>354</v>
      </c>
      <c r="C1548" s="171">
        <v>45698</v>
      </c>
      <c r="D1548" s="172" t="s">
        <v>16</v>
      </c>
      <c r="E1548" s="140" t="s">
        <v>19</v>
      </c>
      <c r="F1548" s="140" t="s">
        <v>135</v>
      </c>
      <c r="G1548" s="140" t="s">
        <v>21</v>
      </c>
      <c r="H1548" s="140" t="s">
        <v>123</v>
      </c>
      <c r="I1548" s="140" t="s">
        <v>21</v>
      </c>
      <c r="J1548" s="174"/>
    </row>
    <row r="1549" hidden="1" customHeight="1" spans="1:10">
      <c r="A1549" s="140" t="s">
        <v>383</v>
      </c>
      <c r="B1549" s="140" t="s">
        <v>354</v>
      </c>
      <c r="C1549" s="171">
        <v>45699</v>
      </c>
      <c r="D1549" s="172" t="s">
        <v>17</v>
      </c>
      <c r="E1549" s="140" t="s">
        <v>19</v>
      </c>
      <c r="F1549" s="140" t="s">
        <v>137</v>
      </c>
      <c r="G1549" s="140" t="s">
        <v>21</v>
      </c>
      <c r="H1549" s="140" t="s">
        <v>215</v>
      </c>
      <c r="I1549" s="140" t="s">
        <v>21</v>
      </c>
      <c r="J1549" s="174"/>
    </row>
    <row r="1550" hidden="1" customHeight="1" spans="1:10">
      <c r="A1550" s="140" t="s">
        <v>383</v>
      </c>
      <c r="B1550" s="140" t="s">
        <v>354</v>
      </c>
      <c r="C1550" s="171">
        <v>45700</v>
      </c>
      <c r="D1550" s="172" t="s">
        <v>18</v>
      </c>
      <c r="E1550" s="140" t="s">
        <v>19</v>
      </c>
      <c r="F1550" s="140" t="s">
        <v>137</v>
      </c>
      <c r="G1550" s="140" t="s">
        <v>21</v>
      </c>
      <c r="H1550" s="140" t="s">
        <v>206</v>
      </c>
      <c r="I1550" s="140" t="s">
        <v>21</v>
      </c>
      <c r="J1550" s="174"/>
    </row>
    <row r="1551" hidden="1" customHeight="1" spans="1:10">
      <c r="A1551" s="140" t="s">
        <v>383</v>
      </c>
      <c r="B1551" s="140" t="s">
        <v>354</v>
      </c>
      <c r="C1551" s="171">
        <v>45701</v>
      </c>
      <c r="D1551" s="172" t="s">
        <v>23</v>
      </c>
      <c r="E1551" s="140" t="s">
        <v>19</v>
      </c>
      <c r="F1551" s="140" t="s">
        <v>117</v>
      </c>
      <c r="G1551" s="140" t="s">
        <v>21</v>
      </c>
      <c r="H1551" s="140" t="s">
        <v>45</v>
      </c>
      <c r="I1551" s="140" t="s">
        <v>21</v>
      </c>
      <c r="J1551" s="174"/>
    </row>
    <row r="1552" hidden="1" customHeight="1" spans="1:10">
      <c r="A1552" s="140" t="s">
        <v>383</v>
      </c>
      <c r="B1552" s="140" t="s">
        <v>354</v>
      </c>
      <c r="C1552" s="171">
        <v>45702</v>
      </c>
      <c r="D1552" s="172" t="s">
        <v>25</v>
      </c>
      <c r="E1552" s="140" t="s">
        <v>19</v>
      </c>
      <c r="F1552" s="140" t="s">
        <v>143</v>
      </c>
      <c r="G1552" s="140" t="s">
        <v>21</v>
      </c>
      <c r="H1552" s="140" t="s">
        <v>212</v>
      </c>
      <c r="I1552" s="140" t="s">
        <v>21</v>
      </c>
      <c r="J1552" s="174"/>
    </row>
    <row r="1553" hidden="1" customHeight="1" spans="1:10">
      <c r="A1553" s="140" t="s">
        <v>383</v>
      </c>
      <c r="B1553" s="140" t="s">
        <v>354</v>
      </c>
      <c r="C1553" s="171">
        <v>45703</v>
      </c>
      <c r="D1553" s="172" t="s">
        <v>27</v>
      </c>
      <c r="E1553" s="173" t="s">
        <v>13</v>
      </c>
      <c r="F1553" s="140" t="s">
        <v>14</v>
      </c>
      <c r="G1553" s="140" t="s">
        <v>14</v>
      </c>
      <c r="H1553" s="140" t="s">
        <v>14</v>
      </c>
      <c r="I1553" s="140" t="s">
        <v>14</v>
      </c>
      <c r="J1553" s="174"/>
    </row>
    <row r="1554" hidden="1" customHeight="1" spans="1:10">
      <c r="A1554" s="140" t="s">
        <v>383</v>
      </c>
      <c r="B1554" s="140" t="s">
        <v>354</v>
      </c>
      <c r="C1554" s="171">
        <v>45704</v>
      </c>
      <c r="D1554" s="172" t="s">
        <v>15</v>
      </c>
      <c r="E1554" s="173" t="s">
        <v>13</v>
      </c>
      <c r="F1554" s="140" t="s">
        <v>14</v>
      </c>
      <c r="G1554" s="140" t="s">
        <v>14</v>
      </c>
      <c r="H1554" s="140" t="s">
        <v>14</v>
      </c>
      <c r="I1554" s="140" t="s">
        <v>14</v>
      </c>
      <c r="J1554" s="174"/>
    </row>
    <row r="1555" hidden="1" customHeight="1" spans="1:10">
      <c r="A1555" s="140" t="s">
        <v>383</v>
      </c>
      <c r="B1555" s="140" t="s">
        <v>354</v>
      </c>
      <c r="C1555" s="171">
        <v>45705</v>
      </c>
      <c r="D1555" s="172" t="s">
        <v>16</v>
      </c>
      <c r="E1555" s="140" t="s">
        <v>19</v>
      </c>
      <c r="F1555" s="140" t="s">
        <v>143</v>
      </c>
      <c r="G1555" s="140" t="s">
        <v>21</v>
      </c>
      <c r="H1555" s="140" t="s">
        <v>45</v>
      </c>
      <c r="I1555" s="140" t="s">
        <v>21</v>
      </c>
      <c r="J1555" s="174"/>
    </row>
    <row r="1556" hidden="1" customHeight="1" spans="1:10">
      <c r="A1556" s="140" t="s">
        <v>383</v>
      </c>
      <c r="B1556" s="140" t="s">
        <v>354</v>
      </c>
      <c r="C1556" s="171">
        <v>45706</v>
      </c>
      <c r="D1556" s="172" t="s">
        <v>17</v>
      </c>
      <c r="E1556" s="140" t="s">
        <v>19</v>
      </c>
      <c r="F1556" s="140" t="s">
        <v>110</v>
      </c>
      <c r="G1556" s="140" t="s">
        <v>21</v>
      </c>
      <c r="H1556" s="140" t="s">
        <v>191</v>
      </c>
      <c r="I1556" s="140" t="s">
        <v>21</v>
      </c>
      <c r="J1556" s="174"/>
    </row>
    <row r="1557" hidden="1" customHeight="1" spans="1:10">
      <c r="A1557" s="140" t="s">
        <v>383</v>
      </c>
      <c r="B1557" s="140" t="s">
        <v>354</v>
      </c>
      <c r="C1557" s="171">
        <v>45707</v>
      </c>
      <c r="D1557" s="172" t="s">
        <v>18</v>
      </c>
      <c r="E1557" s="140" t="s">
        <v>19</v>
      </c>
      <c r="F1557" s="140" t="s">
        <v>94</v>
      </c>
      <c r="G1557" s="140" t="s">
        <v>21</v>
      </c>
      <c r="H1557" s="140" t="s">
        <v>155</v>
      </c>
      <c r="I1557" s="140" t="s">
        <v>21</v>
      </c>
      <c r="J1557" s="174"/>
    </row>
    <row r="1558" hidden="1" customHeight="1" spans="1:10">
      <c r="A1558" s="140" t="s">
        <v>383</v>
      </c>
      <c r="B1558" s="140" t="s">
        <v>354</v>
      </c>
      <c r="C1558" s="171">
        <v>45708</v>
      </c>
      <c r="D1558" s="172" t="s">
        <v>23</v>
      </c>
      <c r="E1558" s="140" t="s">
        <v>19</v>
      </c>
      <c r="F1558" s="140" t="s">
        <v>98</v>
      </c>
      <c r="G1558" s="140" t="s">
        <v>21</v>
      </c>
      <c r="H1558" s="140" t="s">
        <v>168</v>
      </c>
      <c r="I1558" s="140" t="s">
        <v>21</v>
      </c>
      <c r="J1558" s="174"/>
    </row>
    <row r="1559" customHeight="1" spans="1:10">
      <c r="A1559" s="140" t="s">
        <v>383</v>
      </c>
      <c r="B1559" s="140" t="s">
        <v>354</v>
      </c>
      <c r="C1559" s="171">
        <v>45709</v>
      </c>
      <c r="D1559" s="172" t="s">
        <v>25</v>
      </c>
      <c r="E1559" s="140" t="s">
        <v>19</v>
      </c>
      <c r="F1559" s="140" t="s">
        <v>110</v>
      </c>
      <c r="G1559" s="140" t="s">
        <v>21</v>
      </c>
      <c r="H1559" s="140" t="s">
        <v>14</v>
      </c>
      <c r="I1559" s="176" t="s">
        <v>68</v>
      </c>
      <c r="J1559" s="174" t="s">
        <v>69</v>
      </c>
    </row>
    <row r="1560" hidden="1" customHeight="1" spans="1:10">
      <c r="A1560" s="140" t="s">
        <v>383</v>
      </c>
      <c r="B1560" s="140" t="s">
        <v>354</v>
      </c>
      <c r="C1560" s="171">
        <v>45710</v>
      </c>
      <c r="D1560" s="172" t="s">
        <v>27</v>
      </c>
      <c r="E1560" s="173" t="s">
        <v>13</v>
      </c>
      <c r="F1560" s="140" t="s">
        <v>14</v>
      </c>
      <c r="G1560" s="140" t="s">
        <v>14</v>
      </c>
      <c r="H1560" s="140" t="s">
        <v>14</v>
      </c>
      <c r="I1560" s="140" t="s">
        <v>14</v>
      </c>
      <c r="J1560" s="174"/>
    </row>
    <row r="1561" hidden="1" customHeight="1" spans="1:10">
      <c r="A1561" s="140" t="s">
        <v>383</v>
      </c>
      <c r="B1561" s="140" t="s">
        <v>354</v>
      </c>
      <c r="C1561" s="171">
        <v>45711</v>
      </c>
      <c r="D1561" s="172" t="s">
        <v>15</v>
      </c>
      <c r="E1561" s="173" t="s">
        <v>13</v>
      </c>
      <c r="F1561" s="140" t="s">
        <v>14</v>
      </c>
      <c r="G1561" s="140" t="s">
        <v>14</v>
      </c>
      <c r="H1561" s="140" t="s">
        <v>14</v>
      </c>
      <c r="I1561" s="140" t="s">
        <v>14</v>
      </c>
      <c r="J1561" s="174"/>
    </row>
    <row r="1562" hidden="1" customHeight="1" spans="1:10">
      <c r="A1562" s="140" t="s">
        <v>383</v>
      </c>
      <c r="B1562" s="140" t="s">
        <v>354</v>
      </c>
      <c r="C1562" s="171">
        <v>45712</v>
      </c>
      <c r="D1562" s="172" t="s">
        <v>16</v>
      </c>
      <c r="E1562" s="140" t="s">
        <v>19</v>
      </c>
      <c r="F1562" s="140" t="s">
        <v>107</v>
      </c>
      <c r="G1562" s="140" t="s">
        <v>21</v>
      </c>
      <c r="H1562" s="140" t="s">
        <v>235</v>
      </c>
      <c r="I1562" s="140" t="s">
        <v>21</v>
      </c>
      <c r="J1562" s="174"/>
    </row>
    <row r="1563" customHeight="1" spans="1:10">
      <c r="A1563" s="140" t="s">
        <v>383</v>
      </c>
      <c r="B1563" s="140" t="s">
        <v>354</v>
      </c>
      <c r="C1563" s="171">
        <v>45713</v>
      </c>
      <c r="D1563" s="172" t="s">
        <v>17</v>
      </c>
      <c r="E1563" s="140" t="s">
        <v>19</v>
      </c>
      <c r="F1563" s="140" t="s">
        <v>14</v>
      </c>
      <c r="G1563" s="176" t="s">
        <v>68</v>
      </c>
      <c r="H1563" s="140" t="s">
        <v>14</v>
      </c>
      <c r="I1563" s="176" t="s">
        <v>68</v>
      </c>
      <c r="J1563" s="174" t="s">
        <v>234</v>
      </c>
    </row>
    <row r="1564" hidden="1" customHeight="1" spans="1:10">
      <c r="A1564" s="140" t="s">
        <v>383</v>
      </c>
      <c r="B1564" s="140" t="s">
        <v>354</v>
      </c>
      <c r="C1564" s="171">
        <v>45714</v>
      </c>
      <c r="D1564" s="172" t="s">
        <v>18</v>
      </c>
      <c r="E1564" s="140" t="s">
        <v>19</v>
      </c>
      <c r="F1564" s="140" t="s">
        <v>135</v>
      </c>
      <c r="G1564" s="140" t="s">
        <v>21</v>
      </c>
      <c r="H1564" s="140" t="s">
        <v>175</v>
      </c>
      <c r="I1564" s="140" t="s">
        <v>21</v>
      </c>
      <c r="J1564" s="174"/>
    </row>
    <row r="1565" hidden="1" customHeight="1" spans="1:10">
      <c r="A1565" s="140" t="s">
        <v>383</v>
      </c>
      <c r="B1565" s="140" t="s">
        <v>354</v>
      </c>
      <c r="C1565" s="171">
        <v>45715</v>
      </c>
      <c r="D1565" s="172" t="s">
        <v>23</v>
      </c>
      <c r="E1565" s="140" t="s">
        <v>19</v>
      </c>
      <c r="F1565" s="140" t="s">
        <v>135</v>
      </c>
      <c r="G1565" s="140" t="s">
        <v>21</v>
      </c>
      <c r="H1565" s="140" t="s">
        <v>175</v>
      </c>
      <c r="I1565" s="140" t="s">
        <v>21</v>
      </c>
      <c r="J1565" s="174"/>
    </row>
    <row r="1566" hidden="1" customHeight="1" spans="1:10">
      <c r="A1566" s="140" t="s">
        <v>383</v>
      </c>
      <c r="B1566" s="140" t="s">
        <v>354</v>
      </c>
      <c r="C1566" s="171">
        <v>45716</v>
      </c>
      <c r="D1566" s="172" t="s">
        <v>25</v>
      </c>
      <c r="E1566" s="140" t="s">
        <v>19</v>
      </c>
      <c r="F1566" s="140" t="s">
        <v>49</v>
      </c>
      <c r="G1566" s="140" t="s">
        <v>21</v>
      </c>
      <c r="H1566" s="140" t="s">
        <v>206</v>
      </c>
      <c r="I1566" s="140" t="s">
        <v>21</v>
      </c>
      <c r="J1566" s="174"/>
    </row>
    <row r="1567" hidden="1" customHeight="1" spans="1:10">
      <c r="A1567" s="140" t="s">
        <v>384</v>
      </c>
      <c r="B1567" s="140" t="s">
        <v>198</v>
      </c>
      <c r="C1567" s="171">
        <v>45689</v>
      </c>
      <c r="D1567" s="172" t="s">
        <v>12</v>
      </c>
      <c r="E1567" s="173" t="s">
        <v>13</v>
      </c>
      <c r="F1567" s="140" t="s">
        <v>14</v>
      </c>
      <c r="G1567" s="140" t="s">
        <v>14</v>
      </c>
      <c r="H1567" s="140" t="s">
        <v>14</v>
      </c>
      <c r="I1567" s="140" t="s">
        <v>14</v>
      </c>
      <c r="J1567" s="174"/>
    </row>
    <row r="1568" hidden="1" customHeight="1" spans="1:10">
      <c r="A1568" s="140" t="s">
        <v>384</v>
      </c>
      <c r="B1568" s="140" t="s">
        <v>198</v>
      </c>
      <c r="C1568" s="171">
        <v>45690</v>
      </c>
      <c r="D1568" s="172" t="s">
        <v>15</v>
      </c>
      <c r="E1568" s="173" t="s">
        <v>13</v>
      </c>
      <c r="F1568" s="140" t="s">
        <v>14</v>
      </c>
      <c r="G1568" s="140" t="s">
        <v>14</v>
      </c>
      <c r="H1568" s="140" t="s">
        <v>14</v>
      </c>
      <c r="I1568" s="140" t="s">
        <v>14</v>
      </c>
      <c r="J1568" s="174"/>
    </row>
    <row r="1569" hidden="1" customHeight="1" spans="1:10">
      <c r="A1569" s="140" t="s">
        <v>384</v>
      </c>
      <c r="B1569" s="140" t="s">
        <v>198</v>
      </c>
      <c r="C1569" s="171">
        <v>45691</v>
      </c>
      <c r="D1569" s="172" t="s">
        <v>16</v>
      </c>
      <c r="E1569" s="173" t="s">
        <v>13</v>
      </c>
      <c r="F1569" s="140" t="s">
        <v>14</v>
      </c>
      <c r="G1569" s="140" t="s">
        <v>14</v>
      </c>
      <c r="H1569" s="140" t="s">
        <v>14</v>
      </c>
      <c r="I1569" s="140" t="s">
        <v>14</v>
      </c>
      <c r="J1569" s="174"/>
    </row>
    <row r="1570" hidden="1" customHeight="1" spans="1:10">
      <c r="A1570" s="140" t="s">
        <v>384</v>
      </c>
      <c r="B1570" s="140" t="s">
        <v>198</v>
      </c>
      <c r="C1570" s="171">
        <v>45692</v>
      </c>
      <c r="D1570" s="172" t="s">
        <v>17</v>
      </c>
      <c r="E1570" s="173" t="s">
        <v>13</v>
      </c>
      <c r="F1570" s="140" t="s">
        <v>14</v>
      </c>
      <c r="G1570" s="140" t="s">
        <v>14</v>
      </c>
      <c r="H1570" s="140" t="s">
        <v>14</v>
      </c>
      <c r="I1570" s="140" t="s">
        <v>14</v>
      </c>
      <c r="J1570" s="174"/>
    </row>
    <row r="1571" customHeight="1" spans="1:10">
      <c r="A1571" s="140" t="s">
        <v>384</v>
      </c>
      <c r="B1571" s="140" t="s">
        <v>198</v>
      </c>
      <c r="C1571" s="171">
        <v>45693</v>
      </c>
      <c r="D1571" s="172" t="s">
        <v>18</v>
      </c>
      <c r="E1571" s="140" t="s">
        <v>19</v>
      </c>
      <c r="F1571" s="140" t="s">
        <v>14</v>
      </c>
      <c r="G1571" s="176" t="s">
        <v>68</v>
      </c>
      <c r="H1571" s="140" t="s">
        <v>14</v>
      </c>
      <c r="I1571" s="176" t="s">
        <v>68</v>
      </c>
      <c r="J1571" s="174" t="s">
        <v>234</v>
      </c>
    </row>
    <row r="1572" hidden="1" customHeight="1" spans="1:10">
      <c r="A1572" s="140" t="s">
        <v>384</v>
      </c>
      <c r="B1572" s="140" t="s">
        <v>198</v>
      </c>
      <c r="C1572" s="171">
        <v>45694</v>
      </c>
      <c r="D1572" s="172" t="s">
        <v>23</v>
      </c>
      <c r="E1572" s="140" t="s">
        <v>19</v>
      </c>
      <c r="F1572" s="140" t="s">
        <v>195</v>
      </c>
      <c r="G1572" s="140" t="s">
        <v>21</v>
      </c>
      <c r="H1572" s="140" t="s">
        <v>163</v>
      </c>
      <c r="I1572" s="140" t="s">
        <v>21</v>
      </c>
      <c r="J1572" s="174"/>
    </row>
    <row r="1573" hidden="1" customHeight="1" spans="1:10">
      <c r="A1573" s="140" t="s">
        <v>384</v>
      </c>
      <c r="B1573" s="140" t="s">
        <v>198</v>
      </c>
      <c r="C1573" s="171">
        <v>45695</v>
      </c>
      <c r="D1573" s="172" t="s">
        <v>25</v>
      </c>
      <c r="E1573" s="140" t="s">
        <v>19</v>
      </c>
      <c r="F1573" s="140" t="s">
        <v>33</v>
      </c>
      <c r="G1573" s="140" t="s">
        <v>21</v>
      </c>
      <c r="H1573" s="140" t="s">
        <v>82</v>
      </c>
      <c r="I1573" s="140" t="s">
        <v>21</v>
      </c>
      <c r="J1573" s="174"/>
    </row>
    <row r="1574" customHeight="1" spans="1:10">
      <c r="A1574" s="140" t="s">
        <v>384</v>
      </c>
      <c r="B1574" s="140" t="s">
        <v>198</v>
      </c>
      <c r="C1574" s="171">
        <v>45696</v>
      </c>
      <c r="D1574" s="172" t="s">
        <v>27</v>
      </c>
      <c r="E1574" s="140" t="s">
        <v>19</v>
      </c>
      <c r="F1574" s="140" t="s">
        <v>14</v>
      </c>
      <c r="G1574" s="176" t="s">
        <v>68</v>
      </c>
      <c r="H1574" s="140" t="s">
        <v>385</v>
      </c>
      <c r="I1574" s="140" t="s">
        <v>21</v>
      </c>
      <c r="J1574" s="174" t="s">
        <v>69</v>
      </c>
    </row>
    <row r="1575" hidden="1" customHeight="1" spans="1:10">
      <c r="A1575" s="140" t="s">
        <v>384</v>
      </c>
      <c r="B1575" s="140" t="s">
        <v>198</v>
      </c>
      <c r="C1575" s="171">
        <v>45697</v>
      </c>
      <c r="D1575" s="172" t="s">
        <v>15</v>
      </c>
      <c r="E1575" s="173" t="s">
        <v>13</v>
      </c>
      <c r="F1575" s="140" t="s">
        <v>14</v>
      </c>
      <c r="G1575" s="140" t="s">
        <v>14</v>
      </c>
      <c r="H1575" s="140" t="s">
        <v>14</v>
      </c>
      <c r="I1575" s="140" t="s">
        <v>14</v>
      </c>
      <c r="J1575" s="174"/>
    </row>
    <row r="1576" hidden="1" customHeight="1" spans="1:10">
      <c r="A1576" s="140" t="s">
        <v>384</v>
      </c>
      <c r="B1576" s="140" t="s">
        <v>198</v>
      </c>
      <c r="C1576" s="171">
        <v>45698</v>
      </c>
      <c r="D1576" s="172" t="s">
        <v>16</v>
      </c>
      <c r="E1576" s="140" t="s">
        <v>19</v>
      </c>
      <c r="F1576" s="140" t="s">
        <v>154</v>
      </c>
      <c r="G1576" s="140" t="s">
        <v>21</v>
      </c>
      <c r="H1576" s="140" t="s">
        <v>190</v>
      </c>
      <c r="I1576" s="140" t="s">
        <v>21</v>
      </c>
      <c r="J1576" s="174"/>
    </row>
    <row r="1577" hidden="1" customHeight="1" spans="1:10">
      <c r="A1577" s="140" t="s">
        <v>384</v>
      </c>
      <c r="B1577" s="140" t="s">
        <v>198</v>
      </c>
      <c r="C1577" s="171">
        <v>45699</v>
      </c>
      <c r="D1577" s="172" t="s">
        <v>17</v>
      </c>
      <c r="E1577" s="140" t="s">
        <v>19</v>
      </c>
      <c r="F1577" s="140" t="s">
        <v>33</v>
      </c>
      <c r="G1577" s="140" t="s">
        <v>21</v>
      </c>
      <c r="H1577" s="140" t="s">
        <v>205</v>
      </c>
      <c r="I1577" s="140" t="s">
        <v>21</v>
      </c>
      <c r="J1577" s="174"/>
    </row>
    <row r="1578" hidden="1" customHeight="1" spans="1:10">
      <c r="A1578" s="140" t="s">
        <v>384</v>
      </c>
      <c r="B1578" s="140" t="s">
        <v>198</v>
      </c>
      <c r="C1578" s="171">
        <v>45700</v>
      </c>
      <c r="D1578" s="172" t="s">
        <v>18</v>
      </c>
      <c r="E1578" s="140" t="s">
        <v>19</v>
      </c>
      <c r="F1578" s="140" t="s">
        <v>46</v>
      </c>
      <c r="G1578" s="140" t="s">
        <v>21</v>
      </c>
      <c r="H1578" s="140" t="s">
        <v>112</v>
      </c>
      <c r="I1578" s="140" t="s">
        <v>21</v>
      </c>
      <c r="J1578" s="174"/>
    </row>
    <row r="1579" hidden="1" customHeight="1" spans="1:10">
      <c r="A1579" s="140" t="s">
        <v>384</v>
      </c>
      <c r="B1579" s="140" t="s">
        <v>198</v>
      </c>
      <c r="C1579" s="171">
        <v>45701</v>
      </c>
      <c r="D1579" s="172" t="s">
        <v>23</v>
      </c>
      <c r="E1579" s="140" t="s">
        <v>19</v>
      </c>
      <c r="F1579" s="140" t="s">
        <v>90</v>
      </c>
      <c r="G1579" s="140" t="s">
        <v>21</v>
      </c>
      <c r="H1579" s="140" t="s">
        <v>315</v>
      </c>
      <c r="I1579" s="140" t="s">
        <v>21</v>
      </c>
      <c r="J1579" s="174"/>
    </row>
    <row r="1580" hidden="1" customHeight="1" spans="1:10">
      <c r="A1580" s="140" t="s">
        <v>384</v>
      </c>
      <c r="B1580" s="140" t="s">
        <v>198</v>
      </c>
      <c r="C1580" s="171">
        <v>45702</v>
      </c>
      <c r="D1580" s="172" t="s">
        <v>25</v>
      </c>
      <c r="E1580" s="140" t="s">
        <v>19</v>
      </c>
      <c r="F1580" s="140" t="s">
        <v>20</v>
      </c>
      <c r="G1580" s="140" t="s">
        <v>21</v>
      </c>
      <c r="H1580" s="140" t="s">
        <v>374</v>
      </c>
      <c r="I1580" s="140" t="s">
        <v>21</v>
      </c>
      <c r="J1580" s="174"/>
    </row>
    <row r="1581" hidden="1" customHeight="1" spans="1:10">
      <c r="A1581" s="140" t="s">
        <v>384</v>
      </c>
      <c r="B1581" s="140" t="s">
        <v>198</v>
      </c>
      <c r="C1581" s="171">
        <v>45703</v>
      </c>
      <c r="D1581" s="172" t="s">
        <v>27</v>
      </c>
      <c r="E1581" s="173" t="s">
        <v>13</v>
      </c>
      <c r="F1581" s="140" t="s">
        <v>14</v>
      </c>
      <c r="G1581" s="140" t="s">
        <v>14</v>
      </c>
      <c r="H1581" s="140" t="s">
        <v>14</v>
      </c>
      <c r="I1581" s="140" t="s">
        <v>14</v>
      </c>
      <c r="J1581" s="174"/>
    </row>
    <row r="1582" hidden="1" customHeight="1" spans="1:10">
      <c r="A1582" s="140" t="s">
        <v>384</v>
      </c>
      <c r="B1582" s="140" t="s">
        <v>198</v>
      </c>
      <c r="C1582" s="171">
        <v>45704</v>
      </c>
      <c r="D1582" s="172" t="s">
        <v>15</v>
      </c>
      <c r="E1582" s="173" t="s">
        <v>13</v>
      </c>
      <c r="F1582" s="140" t="s">
        <v>14</v>
      </c>
      <c r="G1582" s="140" t="s">
        <v>14</v>
      </c>
      <c r="H1582" s="140" t="s">
        <v>14</v>
      </c>
      <c r="I1582" s="140" t="s">
        <v>14</v>
      </c>
      <c r="J1582" s="174"/>
    </row>
    <row r="1583" hidden="1" customHeight="1" spans="1:10">
      <c r="A1583" s="140" t="s">
        <v>384</v>
      </c>
      <c r="B1583" s="140" t="s">
        <v>198</v>
      </c>
      <c r="C1583" s="171">
        <v>45705</v>
      </c>
      <c r="D1583" s="172" t="s">
        <v>16</v>
      </c>
      <c r="E1583" s="140" t="s">
        <v>19</v>
      </c>
      <c r="F1583" s="140" t="s">
        <v>20</v>
      </c>
      <c r="G1583" s="140" t="s">
        <v>21</v>
      </c>
      <c r="H1583" s="140" t="s">
        <v>73</v>
      </c>
      <c r="I1583" s="140" t="s">
        <v>21</v>
      </c>
      <c r="J1583" s="174"/>
    </row>
    <row r="1584" customHeight="1" spans="1:10">
      <c r="A1584" s="140" t="s">
        <v>384</v>
      </c>
      <c r="B1584" s="140" t="s">
        <v>198</v>
      </c>
      <c r="C1584" s="171">
        <v>45706</v>
      </c>
      <c r="D1584" s="172" t="s">
        <v>17</v>
      </c>
      <c r="E1584" s="140" t="s">
        <v>19</v>
      </c>
      <c r="F1584" s="140" t="s">
        <v>146</v>
      </c>
      <c r="G1584" s="140" t="s">
        <v>21</v>
      </c>
      <c r="H1584" s="140" t="s">
        <v>14</v>
      </c>
      <c r="I1584" s="176" t="s">
        <v>68</v>
      </c>
      <c r="J1584" s="174" t="s">
        <v>93</v>
      </c>
    </row>
    <row r="1585" hidden="1" customHeight="1" spans="1:10">
      <c r="A1585" s="140" t="s">
        <v>384</v>
      </c>
      <c r="B1585" s="140" t="s">
        <v>198</v>
      </c>
      <c r="C1585" s="171">
        <v>45707</v>
      </c>
      <c r="D1585" s="172" t="s">
        <v>18</v>
      </c>
      <c r="E1585" s="140" t="s">
        <v>19</v>
      </c>
      <c r="F1585" s="140" t="s">
        <v>33</v>
      </c>
      <c r="G1585" s="140" t="s">
        <v>21</v>
      </c>
      <c r="H1585" s="140" t="s">
        <v>88</v>
      </c>
      <c r="I1585" s="140" t="s">
        <v>21</v>
      </c>
      <c r="J1585" s="174"/>
    </row>
    <row r="1586" hidden="1" customHeight="1" spans="1:10">
      <c r="A1586" s="140" t="s">
        <v>384</v>
      </c>
      <c r="B1586" s="140" t="s">
        <v>198</v>
      </c>
      <c r="C1586" s="171">
        <v>45708</v>
      </c>
      <c r="D1586" s="172" t="s">
        <v>23</v>
      </c>
      <c r="E1586" s="140" t="s">
        <v>19</v>
      </c>
      <c r="F1586" s="140" t="s">
        <v>157</v>
      </c>
      <c r="G1586" s="140" t="s">
        <v>21</v>
      </c>
      <c r="H1586" s="140" t="s">
        <v>163</v>
      </c>
      <c r="I1586" s="140" t="s">
        <v>21</v>
      </c>
      <c r="J1586" s="174"/>
    </row>
    <row r="1587" hidden="1" customHeight="1" spans="1:10">
      <c r="A1587" s="140" t="s">
        <v>384</v>
      </c>
      <c r="B1587" s="140" t="s">
        <v>198</v>
      </c>
      <c r="C1587" s="171">
        <v>45709</v>
      </c>
      <c r="D1587" s="172" t="s">
        <v>25</v>
      </c>
      <c r="E1587" s="140" t="s">
        <v>19</v>
      </c>
      <c r="F1587" s="140" t="s">
        <v>157</v>
      </c>
      <c r="G1587" s="140" t="s">
        <v>21</v>
      </c>
      <c r="H1587" s="140" t="s">
        <v>182</v>
      </c>
      <c r="I1587" s="140" t="s">
        <v>21</v>
      </c>
      <c r="J1587" s="174"/>
    </row>
    <row r="1588" hidden="1" customHeight="1" spans="1:10">
      <c r="A1588" s="140" t="s">
        <v>384</v>
      </c>
      <c r="B1588" s="140" t="s">
        <v>198</v>
      </c>
      <c r="C1588" s="171">
        <v>45710</v>
      </c>
      <c r="D1588" s="172" t="s">
        <v>27</v>
      </c>
      <c r="E1588" s="173" t="s">
        <v>13</v>
      </c>
      <c r="F1588" s="140" t="s">
        <v>14</v>
      </c>
      <c r="G1588" s="140" t="s">
        <v>14</v>
      </c>
      <c r="H1588" s="140" t="s">
        <v>14</v>
      </c>
      <c r="I1588" s="140" t="s">
        <v>14</v>
      </c>
      <c r="J1588" s="174"/>
    </row>
    <row r="1589" hidden="1" customHeight="1" spans="1:10">
      <c r="A1589" s="140" t="s">
        <v>384</v>
      </c>
      <c r="B1589" s="140" t="s">
        <v>198</v>
      </c>
      <c r="C1589" s="171">
        <v>45711</v>
      </c>
      <c r="D1589" s="172" t="s">
        <v>15</v>
      </c>
      <c r="E1589" s="173" t="s">
        <v>13</v>
      </c>
      <c r="F1589" s="140" t="s">
        <v>14</v>
      </c>
      <c r="G1589" s="140" t="s">
        <v>14</v>
      </c>
      <c r="H1589" s="140" t="s">
        <v>14</v>
      </c>
      <c r="I1589" s="140" t="s">
        <v>14</v>
      </c>
      <c r="J1589" s="174"/>
    </row>
    <row r="1590" customHeight="1" spans="1:10">
      <c r="A1590" s="140" t="s">
        <v>384</v>
      </c>
      <c r="B1590" s="140" t="s">
        <v>198</v>
      </c>
      <c r="C1590" s="171">
        <v>45712</v>
      </c>
      <c r="D1590" s="172" t="s">
        <v>16</v>
      </c>
      <c r="E1590" s="140" t="s">
        <v>19</v>
      </c>
      <c r="F1590" s="140" t="s">
        <v>14</v>
      </c>
      <c r="G1590" s="176" t="s">
        <v>68</v>
      </c>
      <c r="H1590" s="140" t="s">
        <v>14</v>
      </c>
      <c r="I1590" s="176" t="s">
        <v>68</v>
      </c>
      <c r="J1590" s="174" t="s">
        <v>234</v>
      </c>
    </row>
    <row r="1591" hidden="1" customHeight="1" spans="1:10">
      <c r="A1591" s="140" t="s">
        <v>384</v>
      </c>
      <c r="B1591" s="140" t="s">
        <v>198</v>
      </c>
      <c r="C1591" s="171">
        <v>45713</v>
      </c>
      <c r="D1591" s="172" t="s">
        <v>17</v>
      </c>
      <c r="E1591" s="140" t="s">
        <v>19</v>
      </c>
      <c r="F1591" s="140" t="s">
        <v>157</v>
      </c>
      <c r="G1591" s="140" t="s">
        <v>21</v>
      </c>
      <c r="H1591" s="140" t="s">
        <v>340</v>
      </c>
      <c r="I1591" s="140" t="s">
        <v>21</v>
      </c>
      <c r="J1591" s="174"/>
    </row>
    <row r="1592" hidden="1" customHeight="1" spans="1:10">
      <c r="A1592" s="140" t="s">
        <v>384</v>
      </c>
      <c r="B1592" s="140" t="s">
        <v>198</v>
      </c>
      <c r="C1592" s="171">
        <v>45714</v>
      </c>
      <c r="D1592" s="172" t="s">
        <v>18</v>
      </c>
      <c r="E1592" s="140" t="s">
        <v>19</v>
      </c>
      <c r="F1592" s="140" t="s">
        <v>33</v>
      </c>
      <c r="G1592" s="140" t="s">
        <v>21</v>
      </c>
      <c r="H1592" s="140" t="s">
        <v>128</v>
      </c>
      <c r="I1592" s="140" t="s">
        <v>21</v>
      </c>
      <c r="J1592" s="174"/>
    </row>
    <row r="1593" hidden="1" customHeight="1" spans="1:10">
      <c r="A1593" s="140" t="s">
        <v>384</v>
      </c>
      <c r="B1593" s="140" t="s">
        <v>198</v>
      </c>
      <c r="C1593" s="171">
        <v>45715</v>
      </c>
      <c r="D1593" s="172" t="s">
        <v>23</v>
      </c>
      <c r="E1593" s="140" t="s">
        <v>19</v>
      </c>
      <c r="F1593" s="140" t="s">
        <v>157</v>
      </c>
      <c r="G1593" s="140" t="s">
        <v>21</v>
      </c>
      <c r="H1593" s="140" t="s">
        <v>315</v>
      </c>
      <c r="I1593" s="140" t="s">
        <v>21</v>
      </c>
      <c r="J1593" s="174"/>
    </row>
    <row r="1594" customHeight="1" spans="1:10">
      <c r="A1594" s="140" t="s">
        <v>384</v>
      </c>
      <c r="B1594" s="140" t="s">
        <v>198</v>
      </c>
      <c r="C1594" s="171">
        <v>45716</v>
      </c>
      <c r="D1594" s="172" t="s">
        <v>25</v>
      </c>
      <c r="E1594" s="140" t="s">
        <v>19</v>
      </c>
      <c r="F1594" s="140" t="s">
        <v>193</v>
      </c>
      <c r="G1594" s="140" t="s">
        <v>21</v>
      </c>
      <c r="H1594" s="140" t="s">
        <v>14</v>
      </c>
      <c r="I1594" s="176" t="s">
        <v>68</v>
      </c>
      <c r="J1594" s="174" t="s">
        <v>93</v>
      </c>
    </row>
    <row r="1595" hidden="1" customHeight="1" spans="1:10">
      <c r="A1595" s="140" t="s">
        <v>386</v>
      </c>
      <c r="B1595" s="140" t="s">
        <v>354</v>
      </c>
      <c r="C1595" s="171">
        <v>45689</v>
      </c>
      <c r="D1595" s="172" t="s">
        <v>12</v>
      </c>
      <c r="E1595" s="173" t="s">
        <v>13</v>
      </c>
      <c r="F1595" s="140" t="s">
        <v>14</v>
      </c>
      <c r="G1595" s="140" t="s">
        <v>14</v>
      </c>
      <c r="H1595" s="140" t="s">
        <v>14</v>
      </c>
      <c r="I1595" s="140" t="s">
        <v>14</v>
      </c>
      <c r="J1595" s="174"/>
    </row>
    <row r="1596" hidden="1" customHeight="1" spans="1:10">
      <c r="A1596" s="140" t="s">
        <v>386</v>
      </c>
      <c r="B1596" s="140" t="s">
        <v>354</v>
      </c>
      <c r="C1596" s="171">
        <v>45690</v>
      </c>
      <c r="D1596" s="172" t="s">
        <v>15</v>
      </c>
      <c r="E1596" s="173" t="s">
        <v>13</v>
      </c>
      <c r="F1596" s="140" t="s">
        <v>14</v>
      </c>
      <c r="G1596" s="140" t="s">
        <v>14</v>
      </c>
      <c r="H1596" s="140" t="s">
        <v>14</v>
      </c>
      <c r="I1596" s="140" t="s">
        <v>14</v>
      </c>
      <c r="J1596" s="174"/>
    </row>
    <row r="1597" hidden="1" customHeight="1" spans="1:10">
      <c r="A1597" s="140" t="s">
        <v>386</v>
      </c>
      <c r="B1597" s="140" t="s">
        <v>354</v>
      </c>
      <c r="C1597" s="171">
        <v>45691</v>
      </c>
      <c r="D1597" s="172" t="s">
        <v>16</v>
      </c>
      <c r="E1597" s="173" t="s">
        <v>13</v>
      </c>
      <c r="F1597" s="140" t="s">
        <v>14</v>
      </c>
      <c r="G1597" s="140" t="s">
        <v>14</v>
      </c>
      <c r="H1597" s="140" t="s">
        <v>14</v>
      </c>
      <c r="I1597" s="140" t="s">
        <v>14</v>
      </c>
      <c r="J1597" s="174"/>
    </row>
    <row r="1598" hidden="1" customHeight="1" spans="1:10">
      <c r="A1598" s="140" t="s">
        <v>386</v>
      </c>
      <c r="B1598" s="140" t="s">
        <v>354</v>
      </c>
      <c r="C1598" s="171">
        <v>45692</v>
      </c>
      <c r="D1598" s="172" t="s">
        <v>17</v>
      </c>
      <c r="E1598" s="173" t="s">
        <v>13</v>
      </c>
      <c r="F1598" s="140" t="s">
        <v>14</v>
      </c>
      <c r="G1598" s="140" t="s">
        <v>14</v>
      </c>
      <c r="H1598" s="140" t="s">
        <v>14</v>
      </c>
      <c r="I1598" s="140" t="s">
        <v>14</v>
      </c>
      <c r="J1598" s="174"/>
    </row>
    <row r="1599" customHeight="1" spans="1:10">
      <c r="A1599" s="140" t="s">
        <v>386</v>
      </c>
      <c r="B1599" s="140" t="s">
        <v>354</v>
      </c>
      <c r="C1599" s="171">
        <v>45693</v>
      </c>
      <c r="D1599" s="172" t="s">
        <v>18</v>
      </c>
      <c r="E1599" s="140" t="s">
        <v>19</v>
      </c>
      <c r="F1599" s="140" t="s">
        <v>14</v>
      </c>
      <c r="G1599" s="176" t="s">
        <v>68</v>
      </c>
      <c r="H1599" s="140" t="s">
        <v>218</v>
      </c>
      <c r="I1599" s="140" t="s">
        <v>21</v>
      </c>
      <c r="J1599" s="174" t="s">
        <v>69</v>
      </c>
    </row>
    <row r="1600" hidden="1" customHeight="1" spans="1:10">
      <c r="A1600" s="140" t="s">
        <v>386</v>
      </c>
      <c r="B1600" s="140" t="s">
        <v>354</v>
      </c>
      <c r="C1600" s="171">
        <v>45694</v>
      </c>
      <c r="D1600" s="172" t="s">
        <v>23</v>
      </c>
      <c r="E1600" s="140" t="s">
        <v>19</v>
      </c>
      <c r="F1600" s="140" t="s">
        <v>177</v>
      </c>
      <c r="G1600" s="140" t="s">
        <v>21</v>
      </c>
      <c r="H1600" s="140" t="s">
        <v>387</v>
      </c>
      <c r="I1600" s="140" t="s">
        <v>21</v>
      </c>
      <c r="J1600" s="174"/>
    </row>
    <row r="1601" hidden="1" customHeight="1" spans="1:10">
      <c r="A1601" s="140" t="s">
        <v>386</v>
      </c>
      <c r="B1601" s="140" t="s">
        <v>354</v>
      </c>
      <c r="C1601" s="171">
        <v>45695</v>
      </c>
      <c r="D1601" s="172" t="s">
        <v>25</v>
      </c>
      <c r="E1601" s="140" t="s">
        <v>19</v>
      </c>
      <c r="F1601" s="140" t="s">
        <v>143</v>
      </c>
      <c r="G1601" s="140" t="s">
        <v>21</v>
      </c>
      <c r="H1601" s="140" t="s">
        <v>289</v>
      </c>
      <c r="I1601" s="140" t="s">
        <v>21</v>
      </c>
      <c r="J1601" s="174"/>
    </row>
    <row r="1602" hidden="1" customHeight="1" spans="1:10">
      <c r="A1602" s="140" t="s">
        <v>386</v>
      </c>
      <c r="B1602" s="140" t="s">
        <v>354</v>
      </c>
      <c r="C1602" s="171">
        <v>45696</v>
      </c>
      <c r="D1602" s="172" t="s">
        <v>27</v>
      </c>
      <c r="E1602" s="140" t="s">
        <v>19</v>
      </c>
      <c r="F1602" s="140" t="s">
        <v>171</v>
      </c>
      <c r="G1602" s="140" t="s">
        <v>21</v>
      </c>
      <c r="H1602" s="140" t="s">
        <v>272</v>
      </c>
      <c r="I1602" s="140" t="s">
        <v>21</v>
      </c>
      <c r="J1602" s="174"/>
    </row>
    <row r="1603" hidden="1" customHeight="1" spans="1:10">
      <c r="A1603" s="140" t="s">
        <v>386</v>
      </c>
      <c r="B1603" s="140" t="s">
        <v>354</v>
      </c>
      <c r="C1603" s="171">
        <v>45697</v>
      </c>
      <c r="D1603" s="172" t="s">
        <v>15</v>
      </c>
      <c r="E1603" s="173" t="s">
        <v>13</v>
      </c>
      <c r="F1603" s="140" t="s">
        <v>14</v>
      </c>
      <c r="G1603" s="140" t="s">
        <v>14</v>
      </c>
      <c r="H1603" s="140" t="s">
        <v>14</v>
      </c>
      <c r="I1603" s="140" t="s">
        <v>14</v>
      </c>
      <c r="J1603" s="174"/>
    </row>
    <row r="1604" hidden="1" customHeight="1" spans="1:10">
      <c r="A1604" s="140" t="s">
        <v>386</v>
      </c>
      <c r="B1604" s="140" t="s">
        <v>354</v>
      </c>
      <c r="C1604" s="171">
        <v>45698</v>
      </c>
      <c r="D1604" s="172" t="s">
        <v>16</v>
      </c>
      <c r="E1604" s="140" t="s">
        <v>19</v>
      </c>
      <c r="F1604" s="140" t="s">
        <v>177</v>
      </c>
      <c r="G1604" s="140" t="s">
        <v>21</v>
      </c>
      <c r="H1604" s="140" t="s">
        <v>315</v>
      </c>
      <c r="I1604" s="140" t="s">
        <v>21</v>
      </c>
      <c r="J1604" s="174"/>
    </row>
    <row r="1605" hidden="1" customHeight="1" spans="1:10">
      <c r="A1605" s="140" t="s">
        <v>386</v>
      </c>
      <c r="B1605" s="140" t="s">
        <v>354</v>
      </c>
      <c r="C1605" s="171">
        <v>45699</v>
      </c>
      <c r="D1605" s="172" t="s">
        <v>17</v>
      </c>
      <c r="E1605" s="140" t="s">
        <v>19</v>
      </c>
      <c r="F1605" s="140" t="s">
        <v>108</v>
      </c>
      <c r="G1605" s="140" t="s">
        <v>21</v>
      </c>
      <c r="H1605" s="140" t="s">
        <v>388</v>
      </c>
      <c r="I1605" s="140" t="s">
        <v>21</v>
      </c>
      <c r="J1605" s="174"/>
    </row>
    <row r="1606" hidden="1" customHeight="1" spans="1:10">
      <c r="A1606" s="140" t="s">
        <v>386</v>
      </c>
      <c r="B1606" s="140" t="s">
        <v>354</v>
      </c>
      <c r="C1606" s="171">
        <v>45700</v>
      </c>
      <c r="D1606" s="172" t="s">
        <v>18</v>
      </c>
      <c r="E1606" s="140" t="s">
        <v>19</v>
      </c>
      <c r="F1606" s="140" t="s">
        <v>171</v>
      </c>
      <c r="G1606" s="140" t="s">
        <v>21</v>
      </c>
      <c r="H1606" s="140" t="s">
        <v>340</v>
      </c>
      <c r="I1606" s="140" t="s">
        <v>21</v>
      </c>
      <c r="J1606" s="174"/>
    </row>
    <row r="1607" customHeight="1" spans="1:10">
      <c r="A1607" s="140" t="s">
        <v>386</v>
      </c>
      <c r="B1607" s="140" t="s">
        <v>354</v>
      </c>
      <c r="C1607" s="171">
        <v>45701</v>
      </c>
      <c r="D1607" s="172" t="s">
        <v>23</v>
      </c>
      <c r="E1607" s="140" t="s">
        <v>19</v>
      </c>
      <c r="F1607" s="140" t="s">
        <v>14</v>
      </c>
      <c r="G1607" s="176" t="s">
        <v>68</v>
      </c>
      <c r="H1607" s="140" t="s">
        <v>160</v>
      </c>
      <c r="I1607" s="140" t="s">
        <v>21</v>
      </c>
      <c r="J1607" s="174" t="s">
        <v>69</v>
      </c>
    </row>
    <row r="1608" hidden="1" customHeight="1" spans="1:10">
      <c r="A1608" s="140" t="s">
        <v>386</v>
      </c>
      <c r="B1608" s="140" t="s">
        <v>354</v>
      </c>
      <c r="C1608" s="171">
        <v>45702</v>
      </c>
      <c r="D1608" s="172" t="s">
        <v>25</v>
      </c>
      <c r="E1608" s="140" t="s">
        <v>19</v>
      </c>
      <c r="F1608" s="140" t="s">
        <v>110</v>
      </c>
      <c r="G1608" s="140" t="s">
        <v>21</v>
      </c>
      <c r="H1608" s="140" t="s">
        <v>249</v>
      </c>
      <c r="I1608" s="140" t="s">
        <v>21</v>
      </c>
      <c r="J1608" s="174"/>
    </row>
    <row r="1609" hidden="1" customHeight="1" spans="1:10">
      <c r="A1609" s="140" t="s">
        <v>386</v>
      </c>
      <c r="B1609" s="140" t="s">
        <v>354</v>
      </c>
      <c r="C1609" s="171">
        <v>45703</v>
      </c>
      <c r="D1609" s="172" t="s">
        <v>27</v>
      </c>
      <c r="E1609" s="173" t="s">
        <v>13</v>
      </c>
      <c r="F1609" s="140" t="s">
        <v>14</v>
      </c>
      <c r="G1609" s="140" t="s">
        <v>14</v>
      </c>
      <c r="H1609" s="140" t="s">
        <v>14</v>
      </c>
      <c r="I1609" s="140" t="s">
        <v>14</v>
      </c>
      <c r="J1609" s="174"/>
    </row>
    <row r="1610" hidden="1" customHeight="1" spans="1:10">
      <c r="A1610" s="140" t="s">
        <v>386</v>
      </c>
      <c r="B1610" s="140" t="s">
        <v>354</v>
      </c>
      <c r="C1610" s="171">
        <v>45704</v>
      </c>
      <c r="D1610" s="172" t="s">
        <v>15</v>
      </c>
      <c r="E1610" s="173" t="s">
        <v>13</v>
      </c>
      <c r="F1610" s="140" t="s">
        <v>14</v>
      </c>
      <c r="G1610" s="140" t="s">
        <v>14</v>
      </c>
      <c r="H1610" s="140" t="s">
        <v>14</v>
      </c>
      <c r="I1610" s="140" t="s">
        <v>14</v>
      </c>
      <c r="J1610" s="174"/>
    </row>
    <row r="1611" hidden="1" customHeight="1" spans="1:10">
      <c r="A1611" s="140" t="s">
        <v>386</v>
      </c>
      <c r="B1611" s="140" t="s">
        <v>354</v>
      </c>
      <c r="C1611" s="171">
        <v>45705</v>
      </c>
      <c r="D1611" s="172" t="s">
        <v>16</v>
      </c>
      <c r="E1611" s="140" t="s">
        <v>19</v>
      </c>
      <c r="F1611" s="140" t="s">
        <v>157</v>
      </c>
      <c r="G1611" s="140" t="s">
        <v>21</v>
      </c>
      <c r="H1611" s="140" t="s">
        <v>389</v>
      </c>
      <c r="I1611" s="140" t="s">
        <v>21</v>
      </c>
      <c r="J1611" s="174"/>
    </row>
    <row r="1612" hidden="1" customHeight="1" spans="1:10">
      <c r="A1612" s="140" t="s">
        <v>386</v>
      </c>
      <c r="B1612" s="140" t="s">
        <v>354</v>
      </c>
      <c r="C1612" s="171">
        <v>45706</v>
      </c>
      <c r="D1612" s="172" t="s">
        <v>17</v>
      </c>
      <c r="E1612" s="140" t="s">
        <v>19</v>
      </c>
      <c r="F1612" s="140" t="s">
        <v>193</v>
      </c>
      <c r="G1612" s="140" t="s">
        <v>21</v>
      </c>
      <c r="H1612" s="140" t="s">
        <v>390</v>
      </c>
      <c r="I1612" s="140" t="s">
        <v>21</v>
      </c>
      <c r="J1612" s="174"/>
    </row>
    <row r="1613" hidden="1" customHeight="1" spans="1:10">
      <c r="A1613" s="140" t="s">
        <v>386</v>
      </c>
      <c r="B1613" s="140" t="s">
        <v>354</v>
      </c>
      <c r="C1613" s="171">
        <v>45707</v>
      </c>
      <c r="D1613" s="172" t="s">
        <v>18</v>
      </c>
      <c r="E1613" s="140" t="s">
        <v>19</v>
      </c>
      <c r="F1613" s="140" t="s">
        <v>137</v>
      </c>
      <c r="G1613" s="140" t="s">
        <v>21</v>
      </c>
      <c r="H1613" s="140" t="s">
        <v>109</v>
      </c>
      <c r="I1613" s="140" t="s">
        <v>21</v>
      </c>
      <c r="J1613" s="174"/>
    </row>
    <row r="1614" hidden="1" customHeight="1" spans="1:10">
      <c r="A1614" s="140" t="s">
        <v>386</v>
      </c>
      <c r="B1614" s="140" t="s">
        <v>354</v>
      </c>
      <c r="C1614" s="171">
        <v>45708</v>
      </c>
      <c r="D1614" s="172" t="s">
        <v>23</v>
      </c>
      <c r="E1614" s="140" t="s">
        <v>19</v>
      </c>
      <c r="F1614" s="140" t="s">
        <v>195</v>
      </c>
      <c r="G1614" s="140" t="s">
        <v>21</v>
      </c>
      <c r="H1614" s="140" t="s">
        <v>391</v>
      </c>
      <c r="I1614" s="140" t="s">
        <v>21</v>
      </c>
      <c r="J1614" s="174"/>
    </row>
    <row r="1615" hidden="1" customHeight="1" spans="1:10">
      <c r="A1615" s="140" t="s">
        <v>386</v>
      </c>
      <c r="B1615" s="140" t="s">
        <v>354</v>
      </c>
      <c r="C1615" s="171">
        <v>45709</v>
      </c>
      <c r="D1615" s="172" t="s">
        <v>25</v>
      </c>
      <c r="E1615" s="140" t="s">
        <v>19</v>
      </c>
      <c r="F1615" s="140" t="s">
        <v>108</v>
      </c>
      <c r="G1615" s="140" t="s">
        <v>21</v>
      </c>
      <c r="H1615" s="140" t="s">
        <v>392</v>
      </c>
      <c r="I1615" s="140" t="s">
        <v>21</v>
      </c>
      <c r="J1615" s="174"/>
    </row>
    <row r="1616" hidden="1" customHeight="1" spans="1:10">
      <c r="A1616" s="140" t="s">
        <v>386</v>
      </c>
      <c r="B1616" s="140" t="s">
        <v>354</v>
      </c>
      <c r="C1616" s="171">
        <v>45710</v>
      </c>
      <c r="D1616" s="172" t="s">
        <v>27</v>
      </c>
      <c r="E1616" s="173" t="s">
        <v>13</v>
      </c>
      <c r="F1616" s="140" t="s">
        <v>14</v>
      </c>
      <c r="G1616" s="140" t="s">
        <v>14</v>
      </c>
      <c r="H1616" s="140" t="s">
        <v>14</v>
      </c>
      <c r="I1616" s="140" t="s">
        <v>14</v>
      </c>
      <c r="J1616" s="174"/>
    </row>
    <row r="1617" hidden="1" customHeight="1" spans="1:10">
      <c r="A1617" s="140" t="s">
        <v>386</v>
      </c>
      <c r="B1617" s="140" t="s">
        <v>354</v>
      </c>
      <c r="C1617" s="171">
        <v>45711</v>
      </c>
      <c r="D1617" s="172" t="s">
        <v>15</v>
      </c>
      <c r="E1617" s="173" t="s">
        <v>13</v>
      </c>
      <c r="F1617" s="140" t="s">
        <v>14</v>
      </c>
      <c r="G1617" s="140" t="s">
        <v>14</v>
      </c>
      <c r="H1617" s="140" t="s">
        <v>14</v>
      </c>
      <c r="I1617" s="140" t="s">
        <v>14</v>
      </c>
      <c r="J1617" s="174"/>
    </row>
    <row r="1618" hidden="1" customHeight="1" spans="1:10">
      <c r="A1618" s="140" t="s">
        <v>386</v>
      </c>
      <c r="B1618" s="140" t="s">
        <v>354</v>
      </c>
      <c r="C1618" s="171">
        <v>45712</v>
      </c>
      <c r="D1618" s="172" t="s">
        <v>16</v>
      </c>
      <c r="E1618" s="140" t="s">
        <v>19</v>
      </c>
      <c r="F1618" s="140" t="s">
        <v>139</v>
      </c>
      <c r="G1618" s="140" t="s">
        <v>21</v>
      </c>
      <c r="H1618" s="140" t="s">
        <v>160</v>
      </c>
      <c r="I1618" s="140" t="s">
        <v>21</v>
      </c>
      <c r="J1618" s="174"/>
    </row>
    <row r="1619" hidden="1" customHeight="1" spans="1:10">
      <c r="A1619" s="140" t="s">
        <v>386</v>
      </c>
      <c r="B1619" s="140" t="s">
        <v>354</v>
      </c>
      <c r="C1619" s="171">
        <v>45713</v>
      </c>
      <c r="D1619" s="172" t="s">
        <v>17</v>
      </c>
      <c r="E1619" s="140" t="s">
        <v>19</v>
      </c>
      <c r="F1619" s="140" t="s">
        <v>40</v>
      </c>
      <c r="G1619" s="140" t="s">
        <v>21</v>
      </c>
      <c r="H1619" s="140" t="s">
        <v>106</v>
      </c>
      <c r="I1619" s="140" t="s">
        <v>21</v>
      </c>
      <c r="J1619" s="174"/>
    </row>
    <row r="1620" hidden="1" customHeight="1" spans="1:10">
      <c r="A1620" s="140" t="s">
        <v>386</v>
      </c>
      <c r="B1620" s="140" t="s">
        <v>354</v>
      </c>
      <c r="C1620" s="171">
        <v>45714</v>
      </c>
      <c r="D1620" s="172" t="s">
        <v>18</v>
      </c>
      <c r="E1620" s="140" t="s">
        <v>19</v>
      </c>
      <c r="F1620" s="140" t="s">
        <v>40</v>
      </c>
      <c r="G1620" s="140" t="s">
        <v>21</v>
      </c>
      <c r="H1620" s="140" t="s">
        <v>65</v>
      </c>
      <c r="I1620" s="140" t="s">
        <v>21</v>
      </c>
      <c r="J1620" s="174"/>
    </row>
    <row r="1621" hidden="1" customHeight="1" spans="1:10">
      <c r="A1621" s="140" t="s">
        <v>386</v>
      </c>
      <c r="B1621" s="140" t="s">
        <v>354</v>
      </c>
      <c r="C1621" s="171">
        <v>45715</v>
      </c>
      <c r="D1621" s="172" t="s">
        <v>23</v>
      </c>
      <c r="E1621" s="140" t="s">
        <v>19</v>
      </c>
      <c r="F1621" s="140" t="s">
        <v>150</v>
      </c>
      <c r="G1621" s="140" t="s">
        <v>21</v>
      </c>
      <c r="H1621" s="140" t="s">
        <v>393</v>
      </c>
      <c r="I1621" s="140" t="s">
        <v>21</v>
      </c>
      <c r="J1621" s="174"/>
    </row>
    <row r="1622" hidden="1" customHeight="1" spans="1:10">
      <c r="A1622" s="140" t="s">
        <v>386</v>
      </c>
      <c r="B1622" s="140" t="s">
        <v>354</v>
      </c>
      <c r="C1622" s="171">
        <v>45716</v>
      </c>
      <c r="D1622" s="172" t="s">
        <v>25</v>
      </c>
      <c r="E1622" s="140" t="s">
        <v>19</v>
      </c>
      <c r="F1622" s="140" t="s">
        <v>36</v>
      </c>
      <c r="G1622" s="140" t="s">
        <v>21</v>
      </c>
      <c r="H1622" s="140" t="s">
        <v>168</v>
      </c>
      <c r="I1622" s="140" t="s">
        <v>21</v>
      </c>
      <c r="J1622" s="175"/>
    </row>
    <row r="1623" hidden="1" customHeight="1" spans="1:10">
      <c r="A1623" s="140" t="s">
        <v>394</v>
      </c>
      <c r="B1623" s="140" t="s">
        <v>354</v>
      </c>
      <c r="C1623" s="171">
        <v>45689</v>
      </c>
      <c r="D1623" s="172" t="s">
        <v>12</v>
      </c>
      <c r="E1623" s="173" t="s">
        <v>13</v>
      </c>
      <c r="F1623" s="140" t="s">
        <v>14</v>
      </c>
      <c r="G1623" s="140" t="s">
        <v>14</v>
      </c>
      <c r="H1623" s="140" t="s">
        <v>14</v>
      </c>
      <c r="I1623" s="140" t="s">
        <v>14</v>
      </c>
      <c r="J1623" s="175"/>
    </row>
    <row r="1624" hidden="1" customHeight="1" spans="1:10">
      <c r="A1624" s="140" t="s">
        <v>394</v>
      </c>
      <c r="B1624" s="140" t="s">
        <v>354</v>
      </c>
      <c r="C1624" s="171">
        <v>45690</v>
      </c>
      <c r="D1624" s="172" t="s">
        <v>15</v>
      </c>
      <c r="E1624" s="173" t="s">
        <v>13</v>
      </c>
      <c r="F1624" s="140" t="s">
        <v>14</v>
      </c>
      <c r="G1624" s="140" t="s">
        <v>14</v>
      </c>
      <c r="H1624" s="140" t="s">
        <v>14</v>
      </c>
      <c r="I1624" s="140" t="s">
        <v>14</v>
      </c>
      <c r="J1624" s="174"/>
    </row>
    <row r="1625" hidden="1" customHeight="1" spans="1:10">
      <c r="A1625" s="140" t="s">
        <v>394</v>
      </c>
      <c r="B1625" s="140" t="s">
        <v>354</v>
      </c>
      <c r="C1625" s="171">
        <v>45691</v>
      </c>
      <c r="D1625" s="172" t="s">
        <v>16</v>
      </c>
      <c r="E1625" s="173" t="s">
        <v>13</v>
      </c>
      <c r="F1625" s="140" t="s">
        <v>14</v>
      </c>
      <c r="G1625" s="140" t="s">
        <v>14</v>
      </c>
      <c r="H1625" s="140" t="s">
        <v>14</v>
      </c>
      <c r="I1625" s="140" t="s">
        <v>14</v>
      </c>
      <c r="J1625" s="175"/>
    </row>
    <row r="1626" hidden="1" customHeight="1" spans="1:10">
      <c r="A1626" s="140" t="s">
        <v>394</v>
      </c>
      <c r="B1626" s="140" t="s">
        <v>354</v>
      </c>
      <c r="C1626" s="171">
        <v>45692</v>
      </c>
      <c r="D1626" s="172" t="s">
        <v>17</v>
      </c>
      <c r="E1626" s="173" t="s">
        <v>13</v>
      </c>
      <c r="F1626" s="140" t="s">
        <v>14</v>
      </c>
      <c r="G1626" s="140" t="s">
        <v>14</v>
      </c>
      <c r="H1626" s="140" t="s">
        <v>14</v>
      </c>
      <c r="I1626" s="140" t="s">
        <v>14</v>
      </c>
      <c r="J1626" s="174"/>
    </row>
    <row r="1627" hidden="1" customHeight="1" spans="1:10">
      <c r="A1627" s="140" t="s">
        <v>394</v>
      </c>
      <c r="B1627" s="140" t="s">
        <v>354</v>
      </c>
      <c r="C1627" s="171">
        <v>45693</v>
      </c>
      <c r="D1627" s="172" t="s">
        <v>18</v>
      </c>
      <c r="E1627" s="140" t="s">
        <v>19</v>
      </c>
      <c r="F1627" s="140" t="s">
        <v>40</v>
      </c>
      <c r="G1627" s="140" t="s">
        <v>21</v>
      </c>
      <c r="H1627" s="140" t="s">
        <v>337</v>
      </c>
      <c r="I1627" s="140" t="s">
        <v>21</v>
      </c>
      <c r="J1627" s="174"/>
    </row>
    <row r="1628" hidden="1" customHeight="1" spans="1:10">
      <c r="A1628" s="140" t="s">
        <v>394</v>
      </c>
      <c r="B1628" s="140" t="s">
        <v>354</v>
      </c>
      <c r="C1628" s="171">
        <v>45694</v>
      </c>
      <c r="D1628" s="172" t="s">
        <v>23</v>
      </c>
      <c r="E1628" s="140" t="s">
        <v>19</v>
      </c>
      <c r="F1628" s="140" t="s">
        <v>188</v>
      </c>
      <c r="G1628" s="140" t="s">
        <v>21</v>
      </c>
      <c r="H1628" s="140" t="s">
        <v>45</v>
      </c>
      <c r="I1628" s="140" t="s">
        <v>21</v>
      </c>
      <c r="J1628" s="174"/>
    </row>
    <row r="1629" hidden="1" customHeight="1" spans="1:10">
      <c r="A1629" s="140" t="s">
        <v>394</v>
      </c>
      <c r="B1629" s="140" t="s">
        <v>354</v>
      </c>
      <c r="C1629" s="171">
        <v>45695</v>
      </c>
      <c r="D1629" s="172" t="s">
        <v>25</v>
      </c>
      <c r="E1629" s="140" t="s">
        <v>19</v>
      </c>
      <c r="F1629" s="140" t="s">
        <v>139</v>
      </c>
      <c r="G1629" s="140" t="s">
        <v>21</v>
      </c>
      <c r="H1629" s="140" t="s">
        <v>80</v>
      </c>
      <c r="I1629" s="140" t="s">
        <v>21</v>
      </c>
      <c r="J1629" s="174"/>
    </row>
    <row r="1630" hidden="1" customHeight="1" spans="1:10">
      <c r="A1630" s="140" t="s">
        <v>394</v>
      </c>
      <c r="B1630" s="140" t="s">
        <v>354</v>
      </c>
      <c r="C1630" s="171">
        <v>45696</v>
      </c>
      <c r="D1630" s="172" t="s">
        <v>27</v>
      </c>
      <c r="E1630" s="140" t="s">
        <v>19</v>
      </c>
      <c r="F1630" s="140" t="s">
        <v>150</v>
      </c>
      <c r="G1630" s="140" t="s">
        <v>21</v>
      </c>
      <c r="H1630" s="140" t="s">
        <v>395</v>
      </c>
      <c r="I1630" s="140" t="s">
        <v>21</v>
      </c>
      <c r="J1630" s="174"/>
    </row>
    <row r="1631" hidden="1" customHeight="1" spans="1:10">
      <c r="A1631" s="140" t="s">
        <v>394</v>
      </c>
      <c r="B1631" s="140" t="s">
        <v>354</v>
      </c>
      <c r="C1631" s="171">
        <v>45697</v>
      </c>
      <c r="D1631" s="172" t="s">
        <v>15</v>
      </c>
      <c r="E1631" s="173" t="s">
        <v>13</v>
      </c>
      <c r="F1631" s="140" t="s">
        <v>14</v>
      </c>
      <c r="G1631" s="140" t="s">
        <v>14</v>
      </c>
      <c r="H1631" s="140" t="s">
        <v>14</v>
      </c>
      <c r="I1631" s="140" t="s">
        <v>14</v>
      </c>
      <c r="J1631" s="174"/>
    </row>
    <row r="1632" hidden="1" customHeight="1" spans="1:10">
      <c r="A1632" s="140" t="s">
        <v>394</v>
      </c>
      <c r="B1632" s="140" t="s">
        <v>354</v>
      </c>
      <c r="C1632" s="171">
        <v>45698</v>
      </c>
      <c r="D1632" s="172" t="s">
        <v>16</v>
      </c>
      <c r="E1632" s="140" t="s">
        <v>19</v>
      </c>
      <c r="F1632" s="140" t="s">
        <v>108</v>
      </c>
      <c r="G1632" s="140" t="s">
        <v>21</v>
      </c>
      <c r="H1632" s="140" t="s">
        <v>45</v>
      </c>
      <c r="I1632" s="140" t="s">
        <v>21</v>
      </c>
      <c r="J1632" s="174"/>
    </row>
    <row r="1633" hidden="1" customHeight="1" spans="1:10">
      <c r="A1633" s="140" t="s">
        <v>394</v>
      </c>
      <c r="B1633" s="140" t="s">
        <v>354</v>
      </c>
      <c r="C1633" s="171">
        <v>45699</v>
      </c>
      <c r="D1633" s="172" t="s">
        <v>17</v>
      </c>
      <c r="E1633" s="140" t="s">
        <v>19</v>
      </c>
      <c r="F1633" s="140" t="s">
        <v>188</v>
      </c>
      <c r="G1633" s="140" t="s">
        <v>21</v>
      </c>
      <c r="H1633" s="140" t="s">
        <v>174</v>
      </c>
      <c r="I1633" s="140" t="s">
        <v>21</v>
      </c>
      <c r="J1633" s="174"/>
    </row>
    <row r="1634" hidden="1" customHeight="1" spans="1:10">
      <c r="A1634" s="140" t="s">
        <v>394</v>
      </c>
      <c r="B1634" s="140" t="s">
        <v>354</v>
      </c>
      <c r="C1634" s="171">
        <v>45700</v>
      </c>
      <c r="D1634" s="172" t="s">
        <v>18</v>
      </c>
      <c r="E1634" s="140" t="s">
        <v>19</v>
      </c>
      <c r="F1634" s="140" t="s">
        <v>40</v>
      </c>
      <c r="G1634" s="140" t="s">
        <v>21</v>
      </c>
      <c r="H1634" s="140" t="s">
        <v>152</v>
      </c>
      <c r="I1634" s="140" t="s">
        <v>21</v>
      </c>
      <c r="J1634" s="174"/>
    </row>
    <row r="1635" hidden="1" customHeight="1" spans="1:10">
      <c r="A1635" s="140" t="s">
        <v>394</v>
      </c>
      <c r="B1635" s="140" t="s">
        <v>354</v>
      </c>
      <c r="C1635" s="171">
        <v>45701</v>
      </c>
      <c r="D1635" s="172" t="s">
        <v>23</v>
      </c>
      <c r="E1635" s="140" t="s">
        <v>19</v>
      </c>
      <c r="F1635" s="140" t="s">
        <v>40</v>
      </c>
      <c r="G1635" s="140" t="s">
        <v>21</v>
      </c>
      <c r="H1635" s="140" t="s">
        <v>168</v>
      </c>
      <c r="I1635" s="140" t="s">
        <v>21</v>
      </c>
      <c r="J1635" s="174"/>
    </row>
    <row r="1636" hidden="1" customHeight="1" spans="1:10">
      <c r="A1636" s="140" t="s">
        <v>394</v>
      </c>
      <c r="B1636" s="140" t="s">
        <v>354</v>
      </c>
      <c r="C1636" s="171">
        <v>45702</v>
      </c>
      <c r="D1636" s="172" t="s">
        <v>25</v>
      </c>
      <c r="E1636" s="140" t="s">
        <v>19</v>
      </c>
      <c r="F1636" s="140" t="s">
        <v>40</v>
      </c>
      <c r="G1636" s="140" t="s">
        <v>21</v>
      </c>
      <c r="H1636" s="140" t="s">
        <v>210</v>
      </c>
      <c r="I1636" s="140" t="s">
        <v>21</v>
      </c>
      <c r="J1636" s="174"/>
    </row>
    <row r="1637" hidden="1" customHeight="1" spans="1:10">
      <c r="A1637" s="140" t="s">
        <v>394</v>
      </c>
      <c r="B1637" s="140" t="s">
        <v>354</v>
      </c>
      <c r="C1637" s="171">
        <v>45703</v>
      </c>
      <c r="D1637" s="172" t="s">
        <v>27</v>
      </c>
      <c r="E1637" s="173" t="s">
        <v>13</v>
      </c>
      <c r="F1637" s="140" t="s">
        <v>14</v>
      </c>
      <c r="G1637" s="140" t="s">
        <v>14</v>
      </c>
      <c r="H1637" s="140" t="s">
        <v>14</v>
      </c>
      <c r="I1637" s="140" t="s">
        <v>14</v>
      </c>
      <c r="J1637" s="174"/>
    </row>
    <row r="1638" hidden="1" customHeight="1" spans="1:10">
      <c r="A1638" s="140" t="s">
        <v>394</v>
      </c>
      <c r="B1638" s="140" t="s">
        <v>354</v>
      </c>
      <c r="C1638" s="171">
        <v>45704</v>
      </c>
      <c r="D1638" s="172" t="s">
        <v>15</v>
      </c>
      <c r="E1638" s="173" t="s">
        <v>13</v>
      </c>
      <c r="F1638" s="140" t="s">
        <v>14</v>
      </c>
      <c r="G1638" s="140" t="s">
        <v>14</v>
      </c>
      <c r="H1638" s="140" t="s">
        <v>14</v>
      </c>
      <c r="I1638" s="140" t="s">
        <v>14</v>
      </c>
      <c r="J1638" s="174"/>
    </row>
    <row r="1639" hidden="1" customHeight="1" spans="1:10">
      <c r="A1639" s="140" t="s">
        <v>394</v>
      </c>
      <c r="B1639" s="140" t="s">
        <v>354</v>
      </c>
      <c r="C1639" s="171">
        <v>45705</v>
      </c>
      <c r="D1639" s="172" t="s">
        <v>16</v>
      </c>
      <c r="E1639" s="140" t="s">
        <v>19</v>
      </c>
      <c r="F1639" s="140" t="s">
        <v>188</v>
      </c>
      <c r="G1639" s="140" t="s">
        <v>21</v>
      </c>
      <c r="H1639" s="140" t="s">
        <v>50</v>
      </c>
      <c r="I1639" s="140" t="s">
        <v>21</v>
      </c>
      <c r="J1639" s="174"/>
    </row>
    <row r="1640" hidden="1" customHeight="1" spans="1:10">
      <c r="A1640" s="140" t="s">
        <v>394</v>
      </c>
      <c r="B1640" s="140" t="s">
        <v>354</v>
      </c>
      <c r="C1640" s="171">
        <v>45706</v>
      </c>
      <c r="D1640" s="172" t="s">
        <v>17</v>
      </c>
      <c r="E1640" s="140" t="s">
        <v>19</v>
      </c>
      <c r="F1640" s="140" t="s">
        <v>117</v>
      </c>
      <c r="G1640" s="140" t="s">
        <v>21</v>
      </c>
      <c r="H1640" s="140" t="s">
        <v>215</v>
      </c>
      <c r="I1640" s="140" t="s">
        <v>21</v>
      </c>
      <c r="J1640" s="174"/>
    </row>
    <row r="1641" hidden="1" customHeight="1" spans="1:10">
      <c r="A1641" s="140" t="s">
        <v>394</v>
      </c>
      <c r="B1641" s="140" t="s">
        <v>354</v>
      </c>
      <c r="C1641" s="171">
        <v>45707</v>
      </c>
      <c r="D1641" s="172" t="s">
        <v>18</v>
      </c>
      <c r="E1641" s="140" t="s">
        <v>19</v>
      </c>
      <c r="F1641" s="140" t="s">
        <v>195</v>
      </c>
      <c r="G1641" s="140" t="s">
        <v>21</v>
      </c>
      <c r="H1641" s="140" t="s">
        <v>80</v>
      </c>
      <c r="I1641" s="140" t="s">
        <v>21</v>
      </c>
      <c r="J1641" s="174"/>
    </row>
    <row r="1642" hidden="1" customHeight="1" spans="1:10">
      <c r="A1642" s="140" t="s">
        <v>394</v>
      </c>
      <c r="B1642" s="140" t="s">
        <v>354</v>
      </c>
      <c r="C1642" s="171">
        <v>45708</v>
      </c>
      <c r="D1642" s="172" t="s">
        <v>23</v>
      </c>
      <c r="E1642" s="140" t="s">
        <v>19</v>
      </c>
      <c r="F1642" s="140" t="s">
        <v>154</v>
      </c>
      <c r="G1642" s="140" t="s">
        <v>21</v>
      </c>
      <c r="H1642" s="140" t="s">
        <v>168</v>
      </c>
      <c r="I1642" s="140" t="s">
        <v>21</v>
      </c>
      <c r="J1642" s="174"/>
    </row>
    <row r="1643" hidden="1" customHeight="1" spans="1:10">
      <c r="A1643" s="140" t="s">
        <v>394</v>
      </c>
      <c r="B1643" s="140" t="s">
        <v>354</v>
      </c>
      <c r="C1643" s="171">
        <v>45709</v>
      </c>
      <c r="D1643" s="172" t="s">
        <v>25</v>
      </c>
      <c r="E1643" s="140" t="s">
        <v>19</v>
      </c>
      <c r="F1643" s="140" t="s">
        <v>193</v>
      </c>
      <c r="G1643" s="140" t="s">
        <v>21</v>
      </c>
      <c r="H1643" s="140" t="s">
        <v>395</v>
      </c>
      <c r="I1643" s="140" t="s">
        <v>21</v>
      </c>
      <c r="J1643" s="174"/>
    </row>
    <row r="1644" hidden="1" customHeight="1" spans="1:10">
      <c r="A1644" s="140" t="s">
        <v>394</v>
      </c>
      <c r="B1644" s="140" t="s">
        <v>354</v>
      </c>
      <c r="C1644" s="171">
        <v>45710</v>
      </c>
      <c r="D1644" s="172" t="s">
        <v>27</v>
      </c>
      <c r="E1644" s="173" t="s">
        <v>13</v>
      </c>
      <c r="F1644" s="140" t="s">
        <v>14</v>
      </c>
      <c r="G1644" s="140" t="s">
        <v>14</v>
      </c>
      <c r="H1644" s="140" t="s">
        <v>14</v>
      </c>
      <c r="I1644" s="140" t="s">
        <v>14</v>
      </c>
      <c r="J1644" s="174"/>
    </row>
    <row r="1645" hidden="1" customHeight="1" spans="1:10">
      <c r="A1645" s="140" t="s">
        <v>394</v>
      </c>
      <c r="B1645" s="140" t="s">
        <v>354</v>
      </c>
      <c r="C1645" s="171">
        <v>45711</v>
      </c>
      <c r="D1645" s="172" t="s">
        <v>15</v>
      </c>
      <c r="E1645" s="173" t="s">
        <v>13</v>
      </c>
      <c r="F1645" s="140" t="s">
        <v>14</v>
      </c>
      <c r="G1645" s="140" t="s">
        <v>14</v>
      </c>
      <c r="H1645" s="140" t="s">
        <v>14</v>
      </c>
      <c r="I1645" s="140" t="s">
        <v>14</v>
      </c>
      <c r="J1645" s="174"/>
    </row>
    <row r="1646" hidden="1" customHeight="1" spans="1:10">
      <c r="A1646" s="140" t="s">
        <v>394</v>
      </c>
      <c r="B1646" s="140" t="s">
        <v>354</v>
      </c>
      <c r="C1646" s="171">
        <v>45712</v>
      </c>
      <c r="D1646" s="172" t="s">
        <v>16</v>
      </c>
      <c r="E1646" s="140" t="s">
        <v>19</v>
      </c>
      <c r="F1646" s="140" t="s">
        <v>188</v>
      </c>
      <c r="G1646" s="140" t="s">
        <v>21</v>
      </c>
      <c r="H1646" s="140" t="s">
        <v>35</v>
      </c>
      <c r="I1646" s="140" t="s">
        <v>21</v>
      </c>
      <c r="J1646" s="174"/>
    </row>
    <row r="1647" hidden="1" customHeight="1" spans="1:10">
      <c r="A1647" s="140" t="s">
        <v>394</v>
      </c>
      <c r="B1647" s="140" t="s">
        <v>354</v>
      </c>
      <c r="C1647" s="171">
        <v>45713</v>
      </c>
      <c r="D1647" s="172" t="s">
        <v>17</v>
      </c>
      <c r="E1647" s="140" t="s">
        <v>19</v>
      </c>
      <c r="F1647" s="140" t="s">
        <v>188</v>
      </c>
      <c r="G1647" s="140" t="s">
        <v>21</v>
      </c>
      <c r="H1647" s="140" t="s">
        <v>396</v>
      </c>
      <c r="I1647" s="140" t="s">
        <v>21</v>
      </c>
      <c r="J1647" s="174"/>
    </row>
    <row r="1648" hidden="1" customHeight="1" spans="1:10">
      <c r="A1648" s="140" t="s">
        <v>394</v>
      </c>
      <c r="B1648" s="140" t="s">
        <v>354</v>
      </c>
      <c r="C1648" s="171">
        <v>45714</v>
      </c>
      <c r="D1648" s="172" t="s">
        <v>18</v>
      </c>
      <c r="E1648" s="140" t="s">
        <v>19</v>
      </c>
      <c r="F1648" s="140" t="s">
        <v>150</v>
      </c>
      <c r="G1648" s="140" t="s">
        <v>21</v>
      </c>
      <c r="H1648" s="140" t="s">
        <v>75</v>
      </c>
      <c r="I1648" s="140" t="s">
        <v>21</v>
      </c>
      <c r="J1648" s="174"/>
    </row>
    <row r="1649" hidden="1" customHeight="1" spans="1:10">
      <c r="A1649" s="140" t="s">
        <v>394</v>
      </c>
      <c r="B1649" s="140" t="s">
        <v>354</v>
      </c>
      <c r="C1649" s="171">
        <v>45715</v>
      </c>
      <c r="D1649" s="172" t="s">
        <v>23</v>
      </c>
      <c r="E1649" s="140" t="s">
        <v>19</v>
      </c>
      <c r="F1649" s="140" t="s">
        <v>188</v>
      </c>
      <c r="G1649" s="140" t="s">
        <v>21</v>
      </c>
      <c r="H1649" s="140" t="s">
        <v>393</v>
      </c>
      <c r="I1649" s="140" t="s">
        <v>21</v>
      </c>
      <c r="J1649" s="174"/>
    </row>
    <row r="1650" hidden="1" customHeight="1" spans="1:10">
      <c r="A1650" s="140" t="s">
        <v>394</v>
      </c>
      <c r="B1650" s="140" t="s">
        <v>354</v>
      </c>
      <c r="C1650" s="171">
        <v>45716</v>
      </c>
      <c r="D1650" s="172" t="s">
        <v>25</v>
      </c>
      <c r="E1650" s="140" t="s">
        <v>19</v>
      </c>
      <c r="F1650" s="140" t="s">
        <v>146</v>
      </c>
      <c r="G1650" s="140" t="s">
        <v>21</v>
      </c>
      <c r="H1650" s="140" t="s">
        <v>160</v>
      </c>
      <c r="I1650" s="140" t="s">
        <v>21</v>
      </c>
      <c r="J1650" s="174"/>
    </row>
    <row r="1651" hidden="1" customHeight="1" spans="1:10">
      <c r="A1651" s="140" t="s">
        <v>397</v>
      </c>
      <c r="B1651" s="140" t="s">
        <v>398</v>
      </c>
      <c r="C1651" s="171">
        <v>45689</v>
      </c>
      <c r="D1651" s="172" t="s">
        <v>12</v>
      </c>
      <c r="E1651" s="173" t="s">
        <v>13</v>
      </c>
      <c r="F1651" s="140" t="s">
        <v>14</v>
      </c>
      <c r="G1651" s="140" t="s">
        <v>14</v>
      </c>
      <c r="H1651" s="140" t="s">
        <v>14</v>
      </c>
      <c r="I1651" s="140" t="s">
        <v>14</v>
      </c>
      <c r="J1651" s="174"/>
    </row>
    <row r="1652" hidden="1" customHeight="1" spans="1:10">
      <c r="A1652" s="140" t="s">
        <v>397</v>
      </c>
      <c r="B1652" s="140" t="s">
        <v>398</v>
      </c>
      <c r="C1652" s="171">
        <v>45690</v>
      </c>
      <c r="D1652" s="172" t="s">
        <v>15</v>
      </c>
      <c r="E1652" s="173" t="s">
        <v>13</v>
      </c>
      <c r="F1652" s="140" t="s">
        <v>14</v>
      </c>
      <c r="G1652" s="140" t="s">
        <v>14</v>
      </c>
      <c r="H1652" s="140" t="s">
        <v>14</v>
      </c>
      <c r="I1652" s="140" t="s">
        <v>14</v>
      </c>
      <c r="J1652" s="174"/>
    </row>
    <row r="1653" hidden="1" customHeight="1" spans="1:10">
      <c r="A1653" s="140" t="s">
        <v>397</v>
      </c>
      <c r="B1653" s="140" t="s">
        <v>398</v>
      </c>
      <c r="C1653" s="171">
        <v>45691</v>
      </c>
      <c r="D1653" s="172" t="s">
        <v>16</v>
      </c>
      <c r="E1653" s="173" t="s">
        <v>13</v>
      </c>
      <c r="F1653" s="140" t="s">
        <v>14</v>
      </c>
      <c r="G1653" s="140" t="s">
        <v>14</v>
      </c>
      <c r="H1653" s="140" t="s">
        <v>14</v>
      </c>
      <c r="I1653" s="140" t="s">
        <v>14</v>
      </c>
      <c r="J1653" s="174"/>
    </row>
    <row r="1654" hidden="1" customHeight="1" spans="1:10">
      <c r="A1654" s="140" t="s">
        <v>397</v>
      </c>
      <c r="B1654" s="140" t="s">
        <v>398</v>
      </c>
      <c r="C1654" s="171">
        <v>45692</v>
      </c>
      <c r="D1654" s="172" t="s">
        <v>17</v>
      </c>
      <c r="E1654" s="173" t="s">
        <v>13</v>
      </c>
      <c r="F1654" s="140" t="s">
        <v>14</v>
      </c>
      <c r="G1654" s="140" t="s">
        <v>14</v>
      </c>
      <c r="H1654" s="140" t="s">
        <v>14</v>
      </c>
      <c r="I1654" s="140" t="s">
        <v>14</v>
      </c>
      <c r="J1654" s="174"/>
    </row>
    <row r="1655" hidden="1" customHeight="1" spans="1:10">
      <c r="A1655" s="140" t="s">
        <v>397</v>
      </c>
      <c r="B1655" s="140" t="s">
        <v>398</v>
      </c>
      <c r="C1655" s="171">
        <v>45693</v>
      </c>
      <c r="D1655" s="172" t="s">
        <v>18</v>
      </c>
      <c r="E1655" s="140" t="s">
        <v>19</v>
      </c>
      <c r="F1655" s="140" t="s">
        <v>195</v>
      </c>
      <c r="G1655" s="140" t="s">
        <v>21</v>
      </c>
      <c r="H1655" s="140" t="s">
        <v>186</v>
      </c>
      <c r="I1655" s="140" t="s">
        <v>21</v>
      </c>
      <c r="J1655" s="174"/>
    </row>
    <row r="1656" hidden="1" customHeight="1" spans="1:10">
      <c r="A1656" s="140" t="s">
        <v>397</v>
      </c>
      <c r="B1656" s="140" t="s">
        <v>398</v>
      </c>
      <c r="C1656" s="171">
        <v>45694</v>
      </c>
      <c r="D1656" s="172" t="s">
        <v>23</v>
      </c>
      <c r="E1656" s="140" t="s">
        <v>19</v>
      </c>
      <c r="F1656" s="140" t="s">
        <v>195</v>
      </c>
      <c r="G1656" s="140" t="s">
        <v>21</v>
      </c>
      <c r="H1656" s="140" t="s">
        <v>116</v>
      </c>
      <c r="I1656" s="140" t="s">
        <v>21</v>
      </c>
      <c r="J1656" s="174"/>
    </row>
    <row r="1657" hidden="1" customHeight="1" spans="1:10">
      <c r="A1657" s="140" t="s">
        <v>397</v>
      </c>
      <c r="B1657" s="140" t="s">
        <v>398</v>
      </c>
      <c r="C1657" s="171">
        <v>45695</v>
      </c>
      <c r="D1657" s="172" t="s">
        <v>25</v>
      </c>
      <c r="E1657" s="140" t="s">
        <v>19</v>
      </c>
      <c r="F1657" s="140" t="s">
        <v>40</v>
      </c>
      <c r="G1657" s="140" t="s">
        <v>21</v>
      </c>
      <c r="H1657" s="140" t="s">
        <v>239</v>
      </c>
      <c r="I1657" s="140" t="s">
        <v>21</v>
      </c>
      <c r="J1657" s="174"/>
    </row>
    <row r="1658" hidden="1" customHeight="1" spans="1:10">
      <c r="A1658" s="140" t="s">
        <v>397</v>
      </c>
      <c r="B1658" s="140" t="s">
        <v>398</v>
      </c>
      <c r="C1658" s="171">
        <v>45696</v>
      </c>
      <c r="D1658" s="172" t="s">
        <v>27</v>
      </c>
      <c r="E1658" s="140" t="s">
        <v>19</v>
      </c>
      <c r="F1658" s="140" t="s">
        <v>108</v>
      </c>
      <c r="G1658" s="140" t="s">
        <v>21</v>
      </c>
      <c r="H1658" s="140" t="s">
        <v>181</v>
      </c>
      <c r="I1658" s="140" t="s">
        <v>21</v>
      </c>
      <c r="J1658" s="174"/>
    </row>
    <row r="1659" hidden="1" customHeight="1" spans="1:10">
      <c r="A1659" s="140" t="s">
        <v>397</v>
      </c>
      <c r="B1659" s="140" t="s">
        <v>398</v>
      </c>
      <c r="C1659" s="171">
        <v>45697</v>
      </c>
      <c r="D1659" s="172" t="s">
        <v>15</v>
      </c>
      <c r="E1659" s="173" t="s">
        <v>13</v>
      </c>
      <c r="F1659" s="140" t="s">
        <v>14</v>
      </c>
      <c r="G1659" s="140" t="s">
        <v>14</v>
      </c>
      <c r="H1659" s="140" t="s">
        <v>14</v>
      </c>
      <c r="I1659" s="140" t="s">
        <v>14</v>
      </c>
      <c r="J1659" s="174"/>
    </row>
    <row r="1660" hidden="1" customHeight="1" spans="1:10">
      <c r="A1660" s="140" t="s">
        <v>397</v>
      </c>
      <c r="B1660" s="140" t="s">
        <v>398</v>
      </c>
      <c r="C1660" s="171">
        <v>45698</v>
      </c>
      <c r="D1660" s="172" t="s">
        <v>16</v>
      </c>
      <c r="E1660" s="140" t="s">
        <v>19</v>
      </c>
      <c r="F1660" s="140" t="s">
        <v>108</v>
      </c>
      <c r="G1660" s="140" t="s">
        <v>21</v>
      </c>
      <c r="H1660" s="140" t="s">
        <v>399</v>
      </c>
      <c r="I1660" s="140" t="s">
        <v>21</v>
      </c>
      <c r="J1660" s="174"/>
    </row>
    <row r="1661" hidden="1" customHeight="1" spans="1:10">
      <c r="A1661" s="140" t="s">
        <v>397</v>
      </c>
      <c r="B1661" s="140" t="s">
        <v>398</v>
      </c>
      <c r="C1661" s="171">
        <v>45699</v>
      </c>
      <c r="D1661" s="172" t="s">
        <v>17</v>
      </c>
      <c r="E1661" s="140" t="s">
        <v>19</v>
      </c>
      <c r="F1661" s="140" t="s">
        <v>154</v>
      </c>
      <c r="G1661" s="140" t="s">
        <v>21</v>
      </c>
      <c r="H1661" s="140" t="s">
        <v>106</v>
      </c>
      <c r="I1661" s="140" t="s">
        <v>21</v>
      </c>
      <c r="J1661" s="174"/>
    </row>
    <row r="1662" hidden="1" customHeight="1" spans="1:10">
      <c r="A1662" s="140" t="s">
        <v>397</v>
      </c>
      <c r="B1662" s="140" t="s">
        <v>398</v>
      </c>
      <c r="C1662" s="171">
        <v>45700</v>
      </c>
      <c r="D1662" s="172" t="s">
        <v>18</v>
      </c>
      <c r="E1662" s="140" t="s">
        <v>19</v>
      </c>
      <c r="F1662" s="140" t="s">
        <v>195</v>
      </c>
      <c r="G1662" s="140" t="s">
        <v>21</v>
      </c>
      <c r="H1662" s="140" t="s">
        <v>79</v>
      </c>
      <c r="I1662" s="140" t="s">
        <v>21</v>
      </c>
      <c r="J1662" s="174"/>
    </row>
    <row r="1663" hidden="1" customHeight="1" spans="1:10">
      <c r="A1663" s="140" t="s">
        <v>397</v>
      </c>
      <c r="B1663" s="140" t="s">
        <v>398</v>
      </c>
      <c r="C1663" s="171">
        <v>45701</v>
      </c>
      <c r="D1663" s="172" t="s">
        <v>23</v>
      </c>
      <c r="E1663" s="140" t="s">
        <v>19</v>
      </c>
      <c r="F1663" s="140" t="s">
        <v>195</v>
      </c>
      <c r="G1663" s="140" t="s">
        <v>21</v>
      </c>
      <c r="H1663" s="140" t="s">
        <v>116</v>
      </c>
      <c r="I1663" s="140" t="s">
        <v>21</v>
      </c>
      <c r="J1663" s="174"/>
    </row>
    <row r="1664" hidden="1" customHeight="1" spans="1:10">
      <c r="A1664" s="140" t="s">
        <v>397</v>
      </c>
      <c r="B1664" s="140" t="s">
        <v>398</v>
      </c>
      <c r="C1664" s="171">
        <v>45702</v>
      </c>
      <c r="D1664" s="172" t="s">
        <v>25</v>
      </c>
      <c r="E1664" s="140" t="s">
        <v>19</v>
      </c>
      <c r="F1664" s="140" t="s">
        <v>195</v>
      </c>
      <c r="G1664" s="140" t="s">
        <v>21</v>
      </c>
      <c r="H1664" s="140" t="s">
        <v>400</v>
      </c>
      <c r="I1664" s="140" t="s">
        <v>21</v>
      </c>
      <c r="J1664" s="174"/>
    </row>
    <row r="1665" hidden="1" customHeight="1" spans="1:10">
      <c r="A1665" s="140" t="s">
        <v>397</v>
      </c>
      <c r="B1665" s="140" t="s">
        <v>398</v>
      </c>
      <c r="C1665" s="171">
        <v>45703</v>
      </c>
      <c r="D1665" s="172" t="s">
        <v>27</v>
      </c>
      <c r="E1665" s="173" t="s">
        <v>13</v>
      </c>
      <c r="F1665" s="140" t="s">
        <v>14</v>
      </c>
      <c r="G1665" s="140" t="s">
        <v>14</v>
      </c>
      <c r="H1665" s="140" t="s">
        <v>14</v>
      </c>
      <c r="I1665" s="140" t="s">
        <v>14</v>
      </c>
      <c r="J1665" s="174"/>
    </row>
    <row r="1666" hidden="1" customHeight="1" spans="1:10">
      <c r="A1666" s="140" t="s">
        <v>397</v>
      </c>
      <c r="B1666" s="140" t="s">
        <v>398</v>
      </c>
      <c r="C1666" s="171">
        <v>45704</v>
      </c>
      <c r="D1666" s="172" t="s">
        <v>15</v>
      </c>
      <c r="E1666" s="173" t="s">
        <v>13</v>
      </c>
      <c r="F1666" s="140" t="s">
        <v>14</v>
      </c>
      <c r="G1666" s="140" t="s">
        <v>14</v>
      </c>
      <c r="H1666" s="140" t="s">
        <v>14</v>
      </c>
      <c r="I1666" s="140" t="s">
        <v>14</v>
      </c>
      <c r="J1666" s="174"/>
    </row>
    <row r="1667" hidden="1" customHeight="1" spans="1:10">
      <c r="A1667" s="140" t="s">
        <v>397</v>
      </c>
      <c r="B1667" s="140" t="s">
        <v>398</v>
      </c>
      <c r="C1667" s="171">
        <v>45705</v>
      </c>
      <c r="D1667" s="172" t="s">
        <v>16</v>
      </c>
      <c r="E1667" s="140" t="s">
        <v>19</v>
      </c>
      <c r="F1667" s="140" t="s">
        <v>150</v>
      </c>
      <c r="G1667" s="140" t="s">
        <v>21</v>
      </c>
      <c r="H1667" s="140" t="s">
        <v>116</v>
      </c>
      <c r="I1667" s="140" t="s">
        <v>21</v>
      </c>
      <c r="J1667" s="174"/>
    </row>
    <row r="1668" hidden="1" customHeight="1" spans="1:10">
      <c r="A1668" s="140" t="s">
        <v>397</v>
      </c>
      <c r="B1668" s="140" t="s">
        <v>398</v>
      </c>
      <c r="C1668" s="171">
        <v>45706</v>
      </c>
      <c r="D1668" s="172" t="s">
        <v>17</v>
      </c>
      <c r="E1668" s="140" t="s">
        <v>19</v>
      </c>
      <c r="F1668" s="140" t="s">
        <v>195</v>
      </c>
      <c r="G1668" s="140" t="s">
        <v>21</v>
      </c>
      <c r="H1668" s="140" t="s">
        <v>401</v>
      </c>
      <c r="I1668" s="140" t="s">
        <v>21</v>
      </c>
      <c r="J1668" s="174"/>
    </row>
    <row r="1669" hidden="1" customHeight="1" spans="1:10">
      <c r="A1669" s="140" t="s">
        <v>397</v>
      </c>
      <c r="B1669" s="140" t="s">
        <v>398</v>
      </c>
      <c r="C1669" s="171">
        <v>45707</v>
      </c>
      <c r="D1669" s="172" t="s">
        <v>18</v>
      </c>
      <c r="E1669" s="140" t="s">
        <v>19</v>
      </c>
      <c r="F1669" s="140" t="s">
        <v>143</v>
      </c>
      <c r="G1669" s="140" t="s">
        <v>21</v>
      </c>
      <c r="H1669" s="140" t="s">
        <v>402</v>
      </c>
      <c r="I1669" s="140" t="s">
        <v>21</v>
      </c>
      <c r="J1669" s="174"/>
    </row>
    <row r="1670" hidden="1" customHeight="1" spans="1:10">
      <c r="A1670" s="140" t="s">
        <v>397</v>
      </c>
      <c r="B1670" s="140" t="s">
        <v>398</v>
      </c>
      <c r="C1670" s="171">
        <v>45708</v>
      </c>
      <c r="D1670" s="172" t="s">
        <v>23</v>
      </c>
      <c r="E1670" s="140" t="s">
        <v>19</v>
      </c>
      <c r="F1670" s="140" t="s">
        <v>108</v>
      </c>
      <c r="G1670" s="140" t="s">
        <v>21</v>
      </c>
      <c r="H1670" s="140" t="s">
        <v>371</v>
      </c>
      <c r="I1670" s="140" t="s">
        <v>21</v>
      </c>
      <c r="J1670" s="174"/>
    </row>
    <row r="1671" hidden="1" customHeight="1" spans="1:10">
      <c r="A1671" s="140" t="s">
        <v>397</v>
      </c>
      <c r="B1671" s="140" t="s">
        <v>398</v>
      </c>
      <c r="C1671" s="171">
        <v>45709</v>
      </c>
      <c r="D1671" s="172" t="s">
        <v>25</v>
      </c>
      <c r="E1671" s="140" t="s">
        <v>19</v>
      </c>
      <c r="F1671" s="140" t="s">
        <v>195</v>
      </c>
      <c r="G1671" s="140" t="s">
        <v>21</v>
      </c>
      <c r="H1671" s="140" t="s">
        <v>118</v>
      </c>
      <c r="I1671" s="140" t="s">
        <v>21</v>
      </c>
      <c r="J1671" s="174"/>
    </row>
    <row r="1672" hidden="1" customHeight="1" spans="1:10">
      <c r="A1672" s="140" t="s">
        <v>397</v>
      </c>
      <c r="B1672" s="140" t="s">
        <v>398</v>
      </c>
      <c r="C1672" s="171">
        <v>45710</v>
      </c>
      <c r="D1672" s="172" t="s">
        <v>27</v>
      </c>
      <c r="E1672" s="173" t="s">
        <v>13</v>
      </c>
      <c r="F1672" s="140" t="s">
        <v>14</v>
      </c>
      <c r="G1672" s="140" t="s">
        <v>14</v>
      </c>
      <c r="H1672" s="140" t="s">
        <v>14</v>
      </c>
      <c r="I1672" s="140" t="s">
        <v>14</v>
      </c>
      <c r="J1672" s="174"/>
    </row>
    <row r="1673" hidden="1" customHeight="1" spans="1:10">
      <c r="A1673" s="140" t="s">
        <v>397</v>
      </c>
      <c r="B1673" s="140" t="s">
        <v>398</v>
      </c>
      <c r="C1673" s="171">
        <v>45711</v>
      </c>
      <c r="D1673" s="172" t="s">
        <v>15</v>
      </c>
      <c r="E1673" s="173" t="s">
        <v>13</v>
      </c>
      <c r="F1673" s="140" t="s">
        <v>14</v>
      </c>
      <c r="G1673" s="140" t="s">
        <v>14</v>
      </c>
      <c r="H1673" s="140" t="s">
        <v>14</v>
      </c>
      <c r="I1673" s="140" t="s">
        <v>14</v>
      </c>
      <c r="J1673" s="174"/>
    </row>
    <row r="1674" hidden="1" customHeight="1" spans="1:10">
      <c r="A1674" s="140" t="s">
        <v>397</v>
      </c>
      <c r="B1674" s="140" t="s">
        <v>398</v>
      </c>
      <c r="C1674" s="171">
        <v>45712</v>
      </c>
      <c r="D1674" s="172" t="s">
        <v>16</v>
      </c>
      <c r="E1674" s="140" t="s">
        <v>19</v>
      </c>
      <c r="F1674" s="140" t="s">
        <v>193</v>
      </c>
      <c r="G1674" s="140" t="s">
        <v>21</v>
      </c>
      <c r="H1674" s="140" t="s">
        <v>403</v>
      </c>
      <c r="I1674" s="140" t="s">
        <v>21</v>
      </c>
      <c r="J1674" s="174"/>
    </row>
    <row r="1675" hidden="1" customHeight="1" spans="1:10">
      <c r="A1675" s="140" t="s">
        <v>397</v>
      </c>
      <c r="B1675" s="140" t="s">
        <v>398</v>
      </c>
      <c r="C1675" s="171">
        <v>45713</v>
      </c>
      <c r="D1675" s="172" t="s">
        <v>17</v>
      </c>
      <c r="E1675" s="140" t="s">
        <v>19</v>
      </c>
      <c r="F1675" s="140" t="s">
        <v>195</v>
      </c>
      <c r="G1675" s="140" t="s">
        <v>21</v>
      </c>
      <c r="H1675" s="140" t="s">
        <v>224</v>
      </c>
      <c r="I1675" s="140" t="s">
        <v>21</v>
      </c>
      <c r="J1675" s="174"/>
    </row>
    <row r="1676" hidden="1" customHeight="1" spans="1:10">
      <c r="A1676" s="140" t="s">
        <v>397</v>
      </c>
      <c r="B1676" s="140" t="s">
        <v>398</v>
      </c>
      <c r="C1676" s="171">
        <v>45714</v>
      </c>
      <c r="D1676" s="172" t="s">
        <v>18</v>
      </c>
      <c r="E1676" s="140" t="s">
        <v>19</v>
      </c>
      <c r="F1676" s="140" t="s">
        <v>40</v>
      </c>
      <c r="G1676" s="140" t="s">
        <v>21</v>
      </c>
      <c r="H1676" s="140" t="s">
        <v>66</v>
      </c>
      <c r="I1676" s="140" t="s">
        <v>21</v>
      </c>
      <c r="J1676" s="174"/>
    </row>
    <row r="1677" hidden="1" customHeight="1" spans="1:10">
      <c r="A1677" s="140" t="s">
        <v>397</v>
      </c>
      <c r="B1677" s="140" t="s">
        <v>398</v>
      </c>
      <c r="C1677" s="171">
        <v>45715</v>
      </c>
      <c r="D1677" s="172" t="s">
        <v>23</v>
      </c>
      <c r="E1677" s="140" t="s">
        <v>19</v>
      </c>
      <c r="F1677" s="140" t="s">
        <v>40</v>
      </c>
      <c r="G1677" s="140" t="s">
        <v>21</v>
      </c>
      <c r="H1677" s="140" t="s">
        <v>215</v>
      </c>
      <c r="I1677" s="140" t="s">
        <v>21</v>
      </c>
      <c r="J1677" s="174"/>
    </row>
    <row r="1678" hidden="1" customHeight="1" spans="1:10">
      <c r="A1678" s="140" t="s">
        <v>397</v>
      </c>
      <c r="B1678" s="140" t="s">
        <v>398</v>
      </c>
      <c r="C1678" s="171">
        <v>45716</v>
      </c>
      <c r="D1678" s="172" t="s">
        <v>25</v>
      </c>
      <c r="E1678" s="140" t="s">
        <v>19</v>
      </c>
      <c r="F1678" s="140" t="s">
        <v>108</v>
      </c>
      <c r="G1678" s="140" t="s">
        <v>21</v>
      </c>
      <c r="H1678" s="140" t="s">
        <v>370</v>
      </c>
      <c r="I1678" s="140" t="s">
        <v>21</v>
      </c>
      <c r="J1678" s="174"/>
    </row>
    <row r="1679" hidden="1" customHeight="1" spans="1:10">
      <c r="A1679" s="140" t="s">
        <v>404</v>
      </c>
      <c r="B1679" s="140" t="s">
        <v>398</v>
      </c>
      <c r="C1679" s="171">
        <v>45689</v>
      </c>
      <c r="D1679" s="172" t="s">
        <v>12</v>
      </c>
      <c r="E1679" s="173" t="s">
        <v>13</v>
      </c>
      <c r="F1679" s="140" t="s">
        <v>14</v>
      </c>
      <c r="G1679" s="140" t="s">
        <v>14</v>
      </c>
      <c r="H1679" s="140" t="s">
        <v>14</v>
      </c>
      <c r="I1679" s="140" t="s">
        <v>14</v>
      </c>
      <c r="J1679" s="174"/>
    </row>
    <row r="1680" hidden="1" customHeight="1" spans="1:10">
      <c r="A1680" s="140" t="s">
        <v>404</v>
      </c>
      <c r="B1680" s="140" t="s">
        <v>398</v>
      </c>
      <c r="C1680" s="171">
        <v>45690</v>
      </c>
      <c r="D1680" s="172" t="s">
        <v>15</v>
      </c>
      <c r="E1680" s="173" t="s">
        <v>13</v>
      </c>
      <c r="F1680" s="140" t="s">
        <v>14</v>
      </c>
      <c r="G1680" s="140" t="s">
        <v>14</v>
      </c>
      <c r="H1680" s="140" t="s">
        <v>14</v>
      </c>
      <c r="I1680" s="140" t="s">
        <v>14</v>
      </c>
      <c r="J1680" s="174"/>
    </row>
    <row r="1681" hidden="1" customHeight="1" spans="1:10">
      <c r="A1681" s="140" t="s">
        <v>404</v>
      </c>
      <c r="B1681" s="140" t="s">
        <v>398</v>
      </c>
      <c r="C1681" s="171">
        <v>45691</v>
      </c>
      <c r="D1681" s="172" t="s">
        <v>16</v>
      </c>
      <c r="E1681" s="173" t="s">
        <v>13</v>
      </c>
      <c r="F1681" s="140" t="s">
        <v>14</v>
      </c>
      <c r="G1681" s="140" t="s">
        <v>14</v>
      </c>
      <c r="H1681" s="140" t="s">
        <v>14</v>
      </c>
      <c r="I1681" s="140" t="s">
        <v>14</v>
      </c>
      <c r="J1681" s="174"/>
    </row>
    <row r="1682" hidden="1" customHeight="1" spans="1:10">
      <c r="A1682" s="140" t="s">
        <v>404</v>
      </c>
      <c r="B1682" s="140" t="s">
        <v>398</v>
      </c>
      <c r="C1682" s="171">
        <v>45692</v>
      </c>
      <c r="D1682" s="172" t="s">
        <v>17</v>
      </c>
      <c r="E1682" s="173" t="s">
        <v>13</v>
      </c>
      <c r="F1682" s="140" t="s">
        <v>14</v>
      </c>
      <c r="G1682" s="140" t="s">
        <v>14</v>
      </c>
      <c r="H1682" s="140" t="s">
        <v>14</v>
      </c>
      <c r="I1682" s="140" t="s">
        <v>14</v>
      </c>
      <c r="J1682" s="174"/>
    </row>
    <row r="1683" hidden="1" customHeight="1" spans="1:10">
      <c r="A1683" s="140" t="s">
        <v>404</v>
      </c>
      <c r="B1683" s="140" t="s">
        <v>398</v>
      </c>
      <c r="C1683" s="171">
        <v>45693</v>
      </c>
      <c r="D1683" s="172" t="s">
        <v>18</v>
      </c>
      <c r="E1683" s="140" t="s">
        <v>19</v>
      </c>
      <c r="F1683" s="140" t="s">
        <v>193</v>
      </c>
      <c r="G1683" s="140" t="s">
        <v>21</v>
      </c>
      <c r="H1683" s="140" t="s">
        <v>78</v>
      </c>
      <c r="I1683" s="140" t="s">
        <v>21</v>
      </c>
      <c r="J1683" s="174"/>
    </row>
    <row r="1684" hidden="1" customHeight="1" spans="1:10">
      <c r="A1684" s="140" t="s">
        <v>404</v>
      </c>
      <c r="B1684" s="140" t="s">
        <v>398</v>
      </c>
      <c r="C1684" s="171">
        <v>45694</v>
      </c>
      <c r="D1684" s="172" t="s">
        <v>23</v>
      </c>
      <c r="E1684" s="140" t="s">
        <v>19</v>
      </c>
      <c r="F1684" s="140" t="s">
        <v>195</v>
      </c>
      <c r="G1684" s="140" t="s">
        <v>21</v>
      </c>
      <c r="H1684" s="140" t="s">
        <v>41</v>
      </c>
      <c r="I1684" s="140" t="s">
        <v>21</v>
      </c>
      <c r="J1684" s="174"/>
    </row>
    <row r="1685" hidden="1" customHeight="1" spans="1:10">
      <c r="A1685" s="140" t="s">
        <v>404</v>
      </c>
      <c r="B1685" s="140" t="s">
        <v>398</v>
      </c>
      <c r="C1685" s="171">
        <v>45695</v>
      </c>
      <c r="D1685" s="172" t="s">
        <v>25</v>
      </c>
      <c r="E1685" s="140" t="s">
        <v>19</v>
      </c>
      <c r="F1685" s="140" t="s">
        <v>154</v>
      </c>
      <c r="G1685" s="140" t="s">
        <v>21</v>
      </c>
      <c r="H1685" s="140" t="s">
        <v>26</v>
      </c>
      <c r="I1685" s="140" t="s">
        <v>21</v>
      </c>
      <c r="J1685" s="174"/>
    </row>
    <row r="1686" hidden="1" customHeight="1" spans="1:10">
      <c r="A1686" s="140" t="s">
        <v>404</v>
      </c>
      <c r="B1686" s="140" t="s">
        <v>398</v>
      </c>
      <c r="C1686" s="171">
        <v>45696</v>
      </c>
      <c r="D1686" s="172" t="s">
        <v>27</v>
      </c>
      <c r="E1686" s="140" t="s">
        <v>19</v>
      </c>
      <c r="F1686" s="140" t="s">
        <v>139</v>
      </c>
      <c r="G1686" s="140" t="s">
        <v>21</v>
      </c>
      <c r="H1686" s="140" t="s">
        <v>241</v>
      </c>
      <c r="I1686" s="140" t="s">
        <v>21</v>
      </c>
      <c r="J1686" s="174"/>
    </row>
    <row r="1687" hidden="1" customHeight="1" spans="1:10">
      <c r="A1687" s="140" t="s">
        <v>404</v>
      </c>
      <c r="B1687" s="140" t="s">
        <v>398</v>
      </c>
      <c r="C1687" s="171">
        <v>45697</v>
      </c>
      <c r="D1687" s="172" t="s">
        <v>15</v>
      </c>
      <c r="E1687" s="173" t="s">
        <v>13</v>
      </c>
      <c r="F1687" s="140" t="s">
        <v>14</v>
      </c>
      <c r="G1687" s="140" t="s">
        <v>14</v>
      </c>
      <c r="H1687" s="140" t="s">
        <v>14</v>
      </c>
      <c r="I1687" s="140" t="s">
        <v>14</v>
      </c>
      <c r="J1687" s="174"/>
    </row>
    <row r="1688" hidden="1" customHeight="1" spans="1:10">
      <c r="A1688" s="140" t="s">
        <v>404</v>
      </c>
      <c r="B1688" s="140" t="s">
        <v>398</v>
      </c>
      <c r="C1688" s="171">
        <v>45698</v>
      </c>
      <c r="D1688" s="172" t="s">
        <v>16</v>
      </c>
      <c r="E1688" s="140" t="s">
        <v>19</v>
      </c>
      <c r="F1688" s="140" t="s">
        <v>195</v>
      </c>
      <c r="G1688" s="140" t="s">
        <v>21</v>
      </c>
      <c r="H1688" s="140" t="s">
        <v>168</v>
      </c>
      <c r="I1688" s="140" t="s">
        <v>21</v>
      </c>
      <c r="J1688" s="174"/>
    </row>
    <row r="1689" hidden="1" customHeight="1" spans="1:10">
      <c r="A1689" s="140" t="s">
        <v>404</v>
      </c>
      <c r="B1689" s="140" t="s">
        <v>398</v>
      </c>
      <c r="C1689" s="171">
        <v>45699</v>
      </c>
      <c r="D1689" s="172" t="s">
        <v>17</v>
      </c>
      <c r="E1689" s="140" t="s">
        <v>19</v>
      </c>
      <c r="F1689" s="140" t="s">
        <v>173</v>
      </c>
      <c r="G1689" s="140" t="s">
        <v>21</v>
      </c>
      <c r="H1689" s="140" t="s">
        <v>272</v>
      </c>
      <c r="I1689" s="140" t="s">
        <v>21</v>
      </c>
      <c r="J1689" s="174"/>
    </row>
    <row r="1690" hidden="1" customHeight="1" spans="1:10">
      <c r="A1690" s="140" t="s">
        <v>404</v>
      </c>
      <c r="B1690" s="140" t="s">
        <v>398</v>
      </c>
      <c r="C1690" s="171">
        <v>45700</v>
      </c>
      <c r="D1690" s="172" t="s">
        <v>18</v>
      </c>
      <c r="E1690" s="140" t="s">
        <v>19</v>
      </c>
      <c r="F1690" s="140" t="s">
        <v>188</v>
      </c>
      <c r="G1690" s="140" t="s">
        <v>21</v>
      </c>
      <c r="H1690" s="140" t="s">
        <v>207</v>
      </c>
      <c r="I1690" s="140" t="s">
        <v>21</v>
      </c>
      <c r="J1690" s="175"/>
    </row>
    <row r="1691" hidden="1" customHeight="1" spans="1:10">
      <c r="A1691" s="140" t="s">
        <v>404</v>
      </c>
      <c r="B1691" s="140" t="s">
        <v>398</v>
      </c>
      <c r="C1691" s="171">
        <v>45701</v>
      </c>
      <c r="D1691" s="172" t="s">
        <v>23</v>
      </c>
      <c r="E1691" s="140" t="s">
        <v>19</v>
      </c>
      <c r="F1691" s="140" t="s">
        <v>146</v>
      </c>
      <c r="G1691" s="140" t="s">
        <v>21</v>
      </c>
      <c r="H1691" s="140" t="s">
        <v>41</v>
      </c>
      <c r="I1691" s="140" t="s">
        <v>21</v>
      </c>
      <c r="J1691" s="174"/>
    </row>
    <row r="1692" hidden="1" customHeight="1" spans="1:10">
      <c r="A1692" s="140" t="s">
        <v>404</v>
      </c>
      <c r="B1692" s="140" t="s">
        <v>398</v>
      </c>
      <c r="C1692" s="171">
        <v>45702</v>
      </c>
      <c r="D1692" s="172" t="s">
        <v>25</v>
      </c>
      <c r="E1692" s="140" t="s">
        <v>19</v>
      </c>
      <c r="F1692" s="140" t="s">
        <v>139</v>
      </c>
      <c r="G1692" s="140" t="s">
        <v>21</v>
      </c>
      <c r="H1692" s="140" t="s">
        <v>50</v>
      </c>
      <c r="I1692" s="140" t="s">
        <v>21</v>
      </c>
      <c r="J1692" s="174"/>
    </row>
    <row r="1693" hidden="1" customHeight="1" spans="1:10">
      <c r="A1693" s="140" t="s">
        <v>404</v>
      </c>
      <c r="B1693" s="140" t="s">
        <v>398</v>
      </c>
      <c r="C1693" s="171">
        <v>45703</v>
      </c>
      <c r="D1693" s="172" t="s">
        <v>27</v>
      </c>
      <c r="E1693" s="173" t="s">
        <v>13</v>
      </c>
      <c r="F1693" s="140" t="s">
        <v>14</v>
      </c>
      <c r="G1693" s="140" t="s">
        <v>14</v>
      </c>
      <c r="H1693" s="140" t="s">
        <v>14</v>
      </c>
      <c r="I1693" s="140" t="s">
        <v>14</v>
      </c>
      <c r="J1693" s="174"/>
    </row>
    <row r="1694" hidden="1" customHeight="1" spans="1:10">
      <c r="A1694" s="140" t="s">
        <v>404</v>
      </c>
      <c r="B1694" s="140" t="s">
        <v>398</v>
      </c>
      <c r="C1694" s="171">
        <v>45704</v>
      </c>
      <c r="D1694" s="172" t="s">
        <v>15</v>
      </c>
      <c r="E1694" s="173" t="s">
        <v>13</v>
      </c>
      <c r="F1694" s="140" t="s">
        <v>14</v>
      </c>
      <c r="G1694" s="140" t="s">
        <v>14</v>
      </c>
      <c r="H1694" s="140" t="s">
        <v>14</v>
      </c>
      <c r="I1694" s="140" t="s">
        <v>14</v>
      </c>
      <c r="J1694" s="174"/>
    </row>
    <row r="1695" hidden="1" customHeight="1" spans="1:10">
      <c r="A1695" s="140" t="s">
        <v>404</v>
      </c>
      <c r="B1695" s="140" t="s">
        <v>398</v>
      </c>
      <c r="C1695" s="171">
        <v>45705</v>
      </c>
      <c r="D1695" s="172" t="s">
        <v>16</v>
      </c>
      <c r="E1695" s="140" t="s">
        <v>19</v>
      </c>
      <c r="F1695" s="140" t="s">
        <v>150</v>
      </c>
      <c r="G1695" s="140" t="s">
        <v>21</v>
      </c>
      <c r="H1695" s="140" t="s">
        <v>168</v>
      </c>
      <c r="I1695" s="140" t="s">
        <v>21</v>
      </c>
      <c r="J1695" s="174"/>
    </row>
    <row r="1696" hidden="1" customHeight="1" spans="1:10">
      <c r="A1696" s="140" t="s">
        <v>404</v>
      </c>
      <c r="B1696" s="140" t="s">
        <v>398</v>
      </c>
      <c r="C1696" s="171">
        <v>45706</v>
      </c>
      <c r="D1696" s="172" t="s">
        <v>17</v>
      </c>
      <c r="E1696" s="140" t="s">
        <v>19</v>
      </c>
      <c r="F1696" s="140" t="s">
        <v>150</v>
      </c>
      <c r="G1696" s="140" t="s">
        <v>21</v>
      </c>
      <c r="H1696" s="140" t="s">
        <v>395</v>
      </c>
      <c r="I1696" s="140" t="s">
        <v>21</v>
      </c>
      <c r="J1696" s="174"/>
    </row>
    <row r="1697" hidden="1" customHeight="1" spans="1:10">
      <c r="A1697" s="140" t="s">
        <v>404</v>
      </c>
      <c r="B1697" s="140" t="s">
        <v>398</v>
      </c>
      <c r="C1697" s="171">
        <v>45707</v>
      </c>
      <c r="D1697" s="172" t="s">
        <v>18</v>
      </c>
      <c r="E1697" s="140" t="s">
        <v>19</v>
      </c>
      <c r="F1697" s="140" t="s">
        <v>193</v>
      </c>
      <c r="G1697" s="140" t="s">
        <v>21</v>
      </c>
      <c r="H1697" s="140" t="s">
        <v>52</v>
      </c>
      <c r="I1697" s="140" t="s">
        <v>21</v>
      </c>
      <c r="J1697" s="174"/>
    </row>
    <row r="1698" hidden="1" customHeight="1" spans="1:10">
      <c r="A1698" s="140" t="s">
        <v>404</v>
      </c>
      <c r="B1698" s="140" t="s">
        <v>398</v>
      </c>
      <c r="C1698" s="171">
        <v>45708</v>
      </c>
      <c r="D1698" s="172" t="s">
        <v>23</v>
      </c>
      <c r="E1698" s="140" t="s">
        <v>19</v>
      </c>
      <c r="F1698" s="140" t="s">
        <v>150</v>
      </c>
      <c r="G1698" s="140" t="s">
        <v>21</v>
      </c>
      <c r="H1698" s="140" t="s">
        <v>168</v>
      </c>
      <c r="I1698" s="140" t="s">
        <v>21</v>
      </c>
      <c r="J1698" s="174"/>
    </row>
    <row r="1699" hidden="1" customHeight="1" spans="1:10">
      <c r="A1699" s="140" t="s">
        <v>404</v>
      </c>
      <c r="B1699" s="140" t="s">
        <v>398</v>
      </c>
      <c r="C1699" s="171">
        <v>45709</v>
      </c>
      <c r="D1699" s="172" t="s">
        <v>25</v>
      </c>
      <c r="E1699" s="140" t="s">
        <v>19</v>
      </c>
      <c r="F1699" s="140" t="s">
        <v>150</v>
      </c>
      <c r="G1699" s="140" t="s">
        <v>21</v>
      </c>
      <c r="H1699" s="140" t="s">
        <v>218</v>
      </c>
      <c r="I1699" s="140" t="s">
        <v>21</v>
      </c>
      <c r="J1699" s="175"/>
    </row>
    <row r="1700" hidden="1" customHeight="1" spans="1:10">
      <c r="A1700" s="140" t="s">
        <v>404</v>
      </c>
      <c r="B1700" s="140" t="s">
        <v>398</v>
      </c>
      <c r="C1700" s="171">
        <v>45710</v>
      </c>
      <c r="D1700" s="172" t="s">
        <v>27</v>
      </c>
      <c r="E1700" s="173" t="s">
        <v>13</v>
      </c>
      <c r="F1700" s="140" t="s">
        <v>14</v>
      </c>
      <c r="G1700" s="140" t="s">
        <v>14</v>
      </c>
      <c r="H1700" s="140" t="s">
        <v>14</v>
      </c>
      <c r="I1700" s="140" t="s">
        <v>14</v>
      </c>
      <c r="J1700" s="174"/>
    </row>
    <row r="1701" hidden="1" customHeight="1" spans="1:10">
      <c r="A1701" s="140" t="s">
        <v>404</v>
      </c>
      <c r="B1701" s="140" t="s">
        <v>398</v>
      </c>
      <c r="C1701" s="171">
        <v>45711</v>
      </c>
      <c r="D1701" s="172" t="s">
        <v>15</v>
      </c>
      <c r="E1701" s="173" t="s">
        <v>13</v>
      </c>
      <c r="F1701" s="140" t="s">
        <v>14</v>
      </c>
      <c r="G1701" s="140" t="s">
        <v>14</v>
      </c>
      <c r="H1701" s="140" t="s">
        <v>14</v>
      </c>
      <c r="I1701" s="140" t="s">
        <v>14</v>
      </c>
      <c r="J1701" s="174"/>
    </row>
    <row r="1702" hidden="1" customHeight="1" spans="1:10">
      <c r="A1702" s="140" t="s">
        <v>404</v>
      </c>
      <c r="B1702" s="140" t="s">
        <v>398</v>
      </c>
      <c r="C1702" s="171">
        <v>45712</v>
      </c>
      <c r="D1702" s="172" t="s">
        <v>16</v>
      </c>
      <c r="E1702" s="140" t="s">
        <v>19</v>
      </c>
      <c r="F1702" s="140" t="s">
        <v>110</v>
      </c>
      <c r="G1702" s="140" t="s">
        <v>21</v>
      </c>
      <c r="H1702" s="140" t="s">
        <v>123</v>
      </c>
      <c r="I1702" s="140" t="s">
        <v>21</v>
      </c>
      <c r="J1702" s="174"/>
    </row>
    <row r="1703" customHeight="1" spans="1:10">
      <c r="A1703" s="140" t="s">
        <v>404</v>
      </c>
      <c r="B1703" s="140" t="s">
        <v>398</v>
      </c>
      <c r="C1703" s="171">
        <v>45713</v>
      </c>
      <c r="D1703" s="172" t="s">
        <v>17</v>
      </c>
      <c r="E1703" s="140" t="s">
        <v>19</v>
      </c>
      <c r="F1703" s="140" t="s">
        <v>14</v>
      </c>
      <c r="G1703" s="176" t="s">
        <v>68</v>
      </c>
      <c r="H1703" s="140" t="s">
        <v>14</v>
      </c>
      <c r="I1703" s="176" t="s">
        <v>68</v>
      </c>
      <c r="J1703" s="174" t="s">
        <v>234</v>
      </c>
    </row>
    <row r="1704" hidden="1" customHeight="1" spans="1:10">
      <c r="A1704" s="140" t="s">
        <v>404</v>
      </c>
      <c r="B1704" s="140" t="s">
        <v>398</v>
      </c>
      <c r="C1704" s="171">
        <v>45714</v>
      </c>
      <c r="D1704" s="172" t="s">
        <v>18</v>
      </c>
      <c r="E1704" s="140" t="s">
        <v>19</v>
      </c>
      <c r="F1704" s="140" t="s">
        <v>107</v>
      </c>
      <c r="G1704" s="140" t="s">
        <v>21</v>
      </c>
      <c r="H1704" s="140" t="s">
        <v>272</v>
      </c>
      <c r="I1704" s="140" t="s">
        <v>21</v>
      </c>
      <c r="J1704" s="174"/>
    </row>
    <row r="1705" hidden="1" customHeight="1" spans="1:10">
      <c r="A1705" s="140" t="s">
        <v>404</v>
      </c>
      <c r="B1705" s="140" t="s">
        <v>398</v>
      </c>
      <c r="C1705" s="171">
        <v>45715</v>
      </c>
      <c r="D1705" s="172" t="s">
        <v>23</v>
      </c>
      <c r="E1705" s="140" t="s">
        <v>19</v>
      </c>
      <c r="F1705" s="140" t="s">
        <v>150</v>
      </c>
      <c r="G1705" s="140" t="s">
        <v>21</v>
      </c>
      <c r="H1705" s="140" t="s">
        <v>31</v>
      </c>
      <c r="I1705" s="140" t="s">
        <v>21</v>
      </c>
      <c r="J1705" s="174"/>
    </row>
    <row r="1706" hidden="1" customHeight="1" spans="1:10">
      <c r="A1706" s="140" t="s">
        <v>404</v>
      </c>
      <c r="B1706" s="140" t="s">
        <v>398</v>
      </c>
      <c r="C1706" s="171">
        <v>45716</v>
      </c>
      <c r="D1706" s="172" t="s">
        <v>25</v>
      </c>
      <c r="E1706" s="140" t="s">
        <v>19</v>
      </c>
      <c r="F1706" s="140" t="s">
        <v>137</v>
      </c>
      <c r="G1706" s="140" t="s">
        <v>21</v>
      </c>
      <c r="H1706" s="140" t="s">
        <v>92</v>
      </c>
      <c r="I1706" s="140" t="s">
        <v>21</v>
      </c>
      <c r="J1706" s="174"/>
    </row>
    <row r="1707" hidden="1" customHeight="1" spans="1:10">
      <c r="A1707" s="140" t="s">
        <v>405</v>
      </c>
      <c r="B1707" s="140" t="s">
        <v>398</v>
      </c>
      <c r="C1707" s="171">
        <v>45689</v>
      </c>
      <c r="D1707" s="172" t="s">
        <v>12</v>
      </c>
      <c r="E1707" s="173" t="s">
        <v>13</v>
      </c>
      <c r="F1707" s="140" t="s">
        <v>14</v>
      </c>
      <c r="G1707" s="140" t="s">
        <v>14</v>
      </c>
      <c r="H1707" s="140" t="s">
        <v>14</v>
      </c>
      <c r="I1707" s="140" t="s">
        <v>14</v>
      </c>
      <c r="J1707" s="175"/>
    </row>
    <row r="1708" hidden="1" customHeight="1" spans="1:10">
      <c r="A1708" s="140" t="s">
        <v>405</v>
      </c>
      <c r="B1708" s="140" t="s">
        <v>398</v>
      </c>
      <c r="C1708" s="171">
        <v>45690</v>
      </c>
      <c r="D1708" s="172" t="s">
        <v>15</v>
      </c>
      <c r="E1708" s="173" t="s">
        <v>13</v>
      </c>
      <c r="F1708" s="140" t="s">
        <v>14</v>
      </c>
      <c r="G1708" s="140" t="s">
        <v>14</v>
      </c>
      <c r="H1708" s="140" t="s">
        <v>14</v>
      </c>
      <c r="I1708" s="140" t="s">
        <v>14</v>
      </c>
      <c r="J1708" s="174"/>
    </row>
    <row r="1709" hidden="1" customHeight="1" spans="1:10">
      <c r="A1709" s="140" t="s">
        <v>405</v>
      </c>
      <c r="B1709" s="140" t="s">
        <v>398</v>
      </c>
      <c r="C1709" s="171">
        <v>45691</v>
      </c>
      <c r="D1709" s="172" t="s">
        <v>16</v>
      </c>
      <c r="E1709" s="173" t="s">
        <v>13</v>
      </c>
      <c r="F1709" s="140" t="s">
        <v>14</v>
      </c>
      <c r="G1709" s="140" t="s">
        <v>14</v>
      </c>
      <c r="H1709" s="140" t="s">
        <v>14</v>
      </c>
      <c r="I1709" s="140" t="s">
        <v>14</v>
      </c>
      <c r="J1709" s="174"/>
    </row>
    <row r="1710" hidden="1" customHeight="1" spans="1:10">
      <c r="A1710" s="140" t="s">
        <v>405</v>
      </c>
      <c r="B1710" s="140" t="s">
        <v>398</v>
      </c>
      <c r="C1710" s="171">
        <v>45692</v>
      </c>
      <c r="D1710" s="172" t="s">
        <v>17</v>
      </c>
      <c r="E1710" s="173" t="s">
        <v>13</v>
      </c>
      <c r="F1710" s="140" t="s">
        <v>14</v>
      </c>
      <c r="G1710" s="140" t="s">
        <v>14</v>
      </c>
      <c r="H1710" s="140" t="s">
        <v>14</v>
      </c>
      <c r="I1710" s="140" t="s">
        <v>14</v>
      </c>
      <c r="J1710" s="175"/>
    </row>
    <row r="1711" hidden="1" customHeight="1" spans="1:10">
      <c r="A1711" s="140" t="s">
        <v>405</v>
      </c>
      <c r="B1711" s="140" t="s">
        <v>398</v>
      </c>
      <c r="C1711" s="171">
        <v>45693</v>
      </c>
      <c r="D1711" s="172" t="s">
        <v>18</v>
      </c>
      <c r="E1711" s="140" t="s">
        <v>19</v>
      </c>
      <c r="F1711" s="140" t="s">
        <v>150</v>
      </c>
      <c r="G1711" s="140" t="s">
        <v>21</v>
      </c>
      <c r="H1711" s="140" t="s">
        <v>32</v>
      </c>
      <c r="I1711" s="140" t="s">
        <v>21</v>
      </c>
      <c r="J1711" s="174"/>
    </row>
    <row r="1712" hidden="1" customHeight="1" spans="1:10">
      <c r="A1712" s="140" t="s">
        <v>405</v>
      </c>
      <c r="B1712" s="140" t="s">
        <v>398</v>
      </c>
      <c r="C1712" s="171">
        <v>45694</v>
      </c>
      <c r="D1712" s="172" t="s">
        <v>23</v>
      </c>
      <c r="E1712" s="140" t="s">
        <v>19</v>
      </c>
      <c r="F1712" s="140" t="s">
        <v>193</v>
      </c>
      <c r="G1712" s="140" t="s">
        <v>21</v>
      </c>
      <c r="H1712" s="140" t="s">
        <v>41</v>
      </c>
      <c r="I1712" s="140" t="s">
        <v>21</v>
      </c>
      <c r="J1712" s="174"/>
    </row>
    <row r="1713" hidden="1" customHeight="1" spans="1:10">
      <c r="A1713" s="140" t="s">
        <v>405</v>
      </c>
      <c r="B1713" s="140" t="s">
        <v>398</v>
      </c>
      <c r="C1713" s="171">
        <v>45695</v>
      </c>
      <c r="D1713" s="172" t="s">
        <v>25</v>
      </c>
      <c r="E1713" s="140" t="s">
        <v>19</v>
      </c>
      <c r="F1713" s="140" t="s">
        <v>139</v>
      </c>
      <c r="G1713" s="140" t="s">
        <v>21</v>
      </c>
      <c r="H1713" s="140" t="s">
        <v>55</v>
      </c>
      <c r="I1713" s="140" t="s">
        <v>21</v>
      </c>
      <c r="J1713" s="174"/>
    </row>
    <row r="1714" hidden="1" customHeight="1" spans="1:10">
      <c r="A1714" s="140" t="s">
        <v>405</v>
      </c>
      <c r="B1714" s="140" t="s">
        <v>398</v>
      </c>
      <c r="C1714" s="171">
        <v>45696</v>
      </c>
      <c r="D1714" s="172" t="s">
        <v>27</v>
      </c>
      <c r="E1714" s="140" t="s">
        <v>19</v>
      </c>
      <c r="F1714" s="140" t="s">
        <v>129</v>
      </c>
      <c r="G1714" s="140" t="s">
        <v>21</v>
      </c>
      <c r="H1714" s="140" t="s">
        <v>241</v>
      </c>
      <c r="I1714" s="140" t="s">
        <v>21</v>
      </c>
      <c r="J1714" s="174"/>
    </row>
    <row r="1715" hidden="1" customHeight="1" spans="1:10">
      <c r="A1715" s="140" t="s">
        <v>405</v>
      </c>
      <c r="B1715" s="140" t="s">
        <v>398</v>
      </c>
      <c r="C1715" s="171">
        <v>45697</v>
      </c>
      <c r="D1715" s="172" t="s">
        <v>15</v>
      </c>
      <c r="E1715" s="173" t="s">
        <v>13</v>
      </c>
      <c r="F1715" s="140" t="s">
        <v>14</v>
      </c>
      <c r="G1715" s="140" t="s">
        <v>14</v>
      </c>
      <c r="H1715" s="140" t="s">
        <v>14</v>
      </c>
      <c r="I1715" s="140" t="s">
        <v>14</v>
      </c>
      <c r="J1715" s="174"/>
    </row>
    <row r="1716" hidden="1" customHeight="1" spans="1:10">
      <c r="A1716" s="140" t="s">
        <v>405</v>
      </c>
      <c r="B1716" s="140" t="s">
        <v>398</v>
      </c>
      <c r="C1716" s="171">
        <v>45698</v>
      </c>
      <c r="D1716" s="172" t="s">
        <v>16</v>
      </c>
      <c r="E1716" s="140" t="s">
        <v>19</v>
      </c>
      <c r="F1716" s="140" t="s">
        <v>30</v>
      </c>
      <c r="G1716" s="140" t="s">
        <v>21</v>
      </c>
      <c r="H1716" s="140" t="s">
        <v>73</v>
      </c>
      <c r="I1716" s="140" t="s">
        <v>21</v>
      </c>
      <c r="J1716" s="174"/>
    </row>
    <row r="1717" hidden="1" customHeight="1" spans="1:10">
      <c r="A1717" s="140" t="s">
        <v>405</v>
      </c>
      <c r="B1717" s="140" t="s">
        <v>398</v>
      </c>
      <c r="C1717" s="171">
        <v>45699</v>
      </c>
      <c r="D1717" s="172" t="s">
        <v>17</v>
      </c>
      <c r="E1717" s="140" t="s">
        <v>19</v>
      </c>
      <c r="F1717" s="140" t="s">
        <v>146</v>
      </c>
      <c r="G1717" s="140" t="s">
        <v>21</v>
      </c>
      <c r="H1717" s="140" t="s">
        <v>220</v>
      </c>
      <c r="I1717" s="140" t="s">
        <v>21</v>
      </c>
      <c r="J1717" s="174"/>
    </row>
    <row r="1718" hidden="1" customHeight="1" spans="1:10">
      <c r="A1718" s="140" t="s">
        <v>405</v>
      </c>
      <c r="B1718" s="140" t="s">
        <v>398</v>
      </c>
      <c r="C1718" s="171">
        <v>45700</v>
      </c>
      <c r="D1718" s="172" t="s">
        <v>18</v>
      </c>
      <c r="E1718" s="140" t="s">
        <v>19</v>
      </c>
      <c r="F1718" s="140" t="s">
        <v>146</v>
      </c>
      <c r="G1718" s="140" t="s">
        <v>21</v>
      </c>
      <c r="H1718" s="140" t="s">
        <v>37</v>
      </c>
      <c r="I1718" s="140" t="s">
        <v>21</v>
      </c>
      <c r="J1718" s="174"/>
    </row>
    <row r="1719" hidden="1" customHeight="1" spans="1:10">
      <c r="A1719" s="140" t="s">
        <v>405</v>
      </c>
      <c r="B1719" s="140" t="s">
        <v>398</v>
      </c>
      <c r="C1719" s="171">
        <v>45701</v>
      </c>
      <c r="D1719" s="172" t="s">
        <v>23</v>
      </c>
      <c r="E1719" s="140" t="s">
        <v>19</v>
      </c>
      <c r="F1719" s="140" t="s">
        <v>193</v>
      </c>
      <c r="G1719" s="140" t="s">
        <v>21</v>
      </c>
      <c r="H1719" s="140" t="s">
        <v>123</v>
      </c>
      <c r="I1719" s="140" t="s">
        <v>21</v>
      </c>
      <c r="J1719" s="174"/>
    </row>
    <row r="1720" hidden="1" customHeight="1" spans="1:10">
      <c r="A1720" s="140" t="s">
        <v>405</v>
      </c>
      <c r="B1720" s="140" t="s">
        <v>398</v>
      </c>
      <c r="C1720" s="171">
        <v>45702</v>
      </c>
      <c r="D1720" s="172" t="s">
        <v>25</v>
      </c>
      <c r="E1720" s="140" t="s">
        <v>19</v>
      </c>
      <c r="F1720" s="140" t="s">
        <v>28</v>
      </c>
      <c r="G1720" s="140" t="s">
        <v>21</v>
      </c>
      <c r="H1720" s="140" t="s">
        <v>196</v>
      </c>
      <c r="I1720" s="140" t="s">
        <v>21</v>
      </c>
      <c r="J1720" s="174"/>
    </row>
    <row r="1721" hidden="1" customHeight="1" spans="1:10">
      <c r="A1721" s="140" t="s">
        <v>405</v>
      </c>
      <c r="B1721" s="140" t="s">
        <v>398</v>
      </c>
      <c r="C1721" s="171">
        <v>45703</v>
      </c>
      <c r="D1721" s="172" t="s">
        <v>27</v>
      </c>
      <c r="E1721" s="173" t="s">
        <v>13</v>
      </c>
      <c r="F1721" s="140" t="s">
        <v>14</v>
      </c>
      <c r="G1721" s="140" t="s">
        <v>14</v>
      </c>
      <c r="H1721" s="140" t="s">
        <v>14</v>
      </c>
      <c r="I1721" s="140" t="s">
        <v>14</v>
      </c>
      <c r="J1721" s="174"/>
    </row>
    <row r="1722" hidden="1" customHeight="1" spans="1:10">
      <c r="A1722" s="140" t="s">
        <v>405</v>
      </c>
      <c r="B1722" s="140" t="s">
        <v>398</v>
      </c>
      <c r="C1722" s="171">
        <v>45704</v>
      </c>
      <c r="D1722" s="172" t="s">
        <v>15</v>
      </c>
      <c r="E1722" s="173" t="s">
        <v>13</v>
      </c>
      <c r="F1722" s="140" t="s">
        <v>14</v>
      </c>
      <c r="G1722" s="140" t="s">
        <v>14</v>
      </c>
      <c r="H1722" s="140" t="s">
        <v>14</v>
      </c>
      <c r="I1722" s="140" t="s">
        <v>14</v>
      </c>
      <c r="J1722" s="174"/>
    </row>
    <row r="1723" hidden="1" customHeight="1" spans="1:10">
      <c r="A1723" s="140" t="s">
        <v>405</v>
      </c>
      <c r="B1723" s="140" t="s">
        <v>398</v>
      </c>
      <c r="C1723" s="171">
        <v>45705</v>
      </c>
      <c r="D1723" s="172" t="s">
        <v>16</v>
      </c>
      <c r="E1723" s="140" t="s">
        <v>19</v>
      </c>
      <c r="F1723" s="140" t="s">
        <v>28</v>
      </c>
      <c r="G1723" s="140" t="s">
        <v>21</v>
      </c>
      <c r="H1723" s="140" t="s">
        <v>254</v>
      </c>
      <c r="I1723" s="140" t="s">
        <v>21</v>
      </c>
      <c r="J1723" s="174"/>
    </row>
    <row r="1724" hidden="1" customHeight="1" spans="1:10">
      <c r="A1724" s="140" t="s">
        <v>405</v>
      </c>
      <c r="B1724" s="140" t="s">
        <v>398</v>
      </c>
      <c r="C1724" s="171">
        <v>45706</v>
      </c>
      <c r="D1724" s="172" t="s">
        <v>17</v>
      </c>
      <c r="E1724" s="140" t="s">
        <v>19</v>
      </c>
      <c r="F1724" s="140" t="s">
        <v>30</v>
      </c>
      <c r="G1724" s="140" t="s">
        <v>21</v>
      </c>
      <c r="H1724" s="140" t="s">
        <v>196</v>
      </c>
      <c r="I1724" s="140" t="s">
        <v>21</v>
      </c>
      <c r="J1724" s="174"/>
    </row>
    <row r="1725" hidden="1" customHeight="1" spans="1:10">
      <c r="A1725" s="140" t="s">
        <v>405</v>
      </c>
      <c r="B1725" s="140" t="s">
        <v>398</v>
      </c>
      <c r="C1725" s="171">
        <v>45707</v>
      </c>
      <c r="D1725" s="172" t="s">
        <v>18</v>
      </c>
      <c r="E1725" s="140" t="s">
        <v>19</v>
      </c>
      <c r="F1725" s="140" t="s">
        <v>30</v>
      </c>
      <c r="G1725" s="140" t="s">
        <v>21</v>
      </c>
      <c r="H1725" s="140" t="s">
        <v>152</v>
      </c>
      <c r="I1725" s="140" t="s">
        <v>21</v>
      </c>
      <c r="J1725" s="174"/>
    </row>
    <row r="1726" hidden="1" customHeight="1" spans="1:10">
      <c r="A1726" s="140" t="s">
        <v>405</v>
      </c>
      <c r="B1726" s="140" t="s">
        <v>398</v>
      </c>
      <c r="C1726" s="171">
        <v>45708</v>
      </c>
      <c r="D1726" s="172" t="s">
        <v>23</v>
      </c>
      <c r="E1726" s="140" t="s">
        <v>19</v>
      </c>
      <c r="F1726" s="140" t="s">
        <v>193</v>
      </c>
      <c r="G1726" s="140" t="s">
        <v>21</v>
      </c>
      <c r="H1726" s="140" t="s">
        <v>78</v>
      </c>
      <c r="I1726" s="140" t="s">
        <v>21</v>
      </c>
      <c r="J1726" s="174"/>
    </row>
    <row r="1727" hidden="1" customHeight="1" spans="1:10">
      <c r="A1727" s="140" t="s">
        <v>405</v>
      </c>
      <c r="B1727" s="140" t="s">
        <v>398</v>
      </c>
      <c r="C1727" s="171">
        <v>45709</v>
      </c>
      <c r="D1727" s="172" t="s">
        <v>25</v>
      </c>
      <c r="E1727" s="140" t="s">
        <v>19</v>
      </c>
      <c r="F1727" s="140" t="s">
        <v>36</v>
      </c>
      <c r="G1727" s="140" t="s">
        <v>21</v>
      </c>
      <c r="H1727" s="140" t="s">
        <v>89</v>
      </c>
      <c r="I1727" s="140" t="s">
        <v>21</v>
      </c>
      <c r="J1727" s="174"/>
    </row>
    <row r="1728" hidden="1" customHeight="1" spans="1:10">
      <c r="A1728" s="140" t="s">
        <v>405</v>
      </c>
      <c r="B1728" s="140" t="s">
        <v>398</v>
      </c>
      <c r="C1728" s="171">
        <v>45710</v>
      </c>
      <c r="D1728" s="172" t="s">
        <v>27</v>
      </c>
      <c r="E1728" s="173" t="s">
        <v>13</v>
      </c>
      <c r="F1728" s="140" t="s">
        <v>14</v>
      </c>
      <c r="G1728" s="140" t="s">
        <v>14</v>
      </c>
      <c r="H1728" s="140" t="s">
        <v>14</v>
      </c>
      <c r="I1728" s="140" t="s">
        <v>14</v>
      </c>
      <c r="J1728" s="174"/>
    </row>
    <row r="1729" hidden="1" customHeight="1" spans="1:10">
      <c r="A1729" s="140" t="s">
        <v>405</v>
      </c>
      <c r="B1729" s="140" t="s">
        <v>398</v>
      </c>
      <c r="C1729" s="171">
        <v>45711</v>
      </c>
      <c r="D1729" s="172" t="s">
        <v>15</v>
      </c>
      <c r="E1729" s="173" t="s">
        <v>13</v>
      </c>
      <c r="F1729" s="140" t="s">
        <v>14</v>
      </c>
      <c r="G1729" s="140" t="s">
        <v>14</v>
      </c>
      <c r="H1729" s="140" t="s">
        <v>14</v>
      </c>
      <c r="I1729" s="140" t="s">
        <v>14</v>
      </c>
      <c r="J1729" s="174"/>
    </row>
    <row r="1730" hidden="1" customHeight="1" spans="1:10">
      <c r="A1730" s="140" t="s">
        <v>405</v>
      </c>
      <c r="B1730" s="140" t="s">
        <v>398</v>
      </c>
      <c r="C1730" s="171">
        <v>45712</v>
      </c>
      <c r="D1730" s="172" t="s">
        <v>16</v>
      </c>
      <c r="E1730" s="140" t="s">
        <v>19</v>
      </c>
      <c r="F1730" s="140" t="s">
        <v>157</v>
      </c>
      <c r="G1730" s="140" t="s">
        <v>21</v>
      </c>
      <c r="H1730" s="140" t="s">
        <v>35</v>
      </c>
      <c r="I1730" s="140" t="s">
        <v>21</v>
      </c>
      <c r="J1730" s="174"/>
    </row>
    <row r="1731" hidden="1" customHeight="1" spans="1:10">
      <c r="A1731" s="140" t="s">
        <v>405</v>
      </c>
      <c r="B1731" s="140" t="s">
        <v>398</v>
      </c>
      <c r="C1731" s="171">
        <v>45713</v>
      </c>
      <c r="D1731" s="172" t="s">
        <v>17</v>
      </c>
      <c r="E1731" s="140" t="s">
        <v>19</v>
      </c>
      <c r="F1731" s="140" t="s">
        <v>146</v>
      </c>
      <c r="G1731" s="140" t="s">
        <v>21</v>
      </c>
      <c r="H1731" s="140" t="s">
        <v>202</v>
      </c>
      <c r="I1731" s="140" t="s">
        <v>21</v>
      </c>
      <c r="J1731" s="174"/>
    </row>
    <row r="1732" hidden="1" customHeight="1" spans="1:10">
      <c r="A1732" s="140" t="s">
        <v>405</v>
      </c>
      <c r="B1732" s="140" t="s">
        <v>398</v>
      </c>
      <c r="C1732" s="171">
        <v>45714</v>
      </c>
      <c r="D1732" s="172" t="s">
        <v>18</v>
      </c>
      <c r="E1732" s="140" t="s">
        <v>19</v>
      </c>
      <c r="F1732" s="140" t="s">
        <v>154</v>
      </c>
      <c r="G1732" s="140" t="s">
        <v>21</v>
      </c>
      <c r="H1732" s="140" t="s">
        <v>220</v>
      </c>
      <c r="I1732" s="140" t="s">
        <v>21</v>
      </c>
      <c r="J1732" s="174"/>
    </row>
    <row r="1733" hidden="1" customHeight="1" spans="1:10">
      <c r="A1733" s="140" t="s">
        <v>405</v>
      </c>
      <c r="B1733" s="140" t="s">
        <v>398</v>
      </c>
      <c r="C1733" s="171">
        <v>45715</v>
      </c>
      <c r="D1733" s="172" t="s">
        <v>23</v>
      </c>
      <c r="E1733" s="140" t="s">
        <v>19</v>
      </c>
      <c r="F1733" s="140" t="s">
        <v>30</v>
      </c>
      <c r="G1733" s="140" t="s">
        <v>21</v>
      </c>
      <c r="H1733" s="140" t="s">
        <v>45</v>
      </c>
      <c r="I1733" s="140" t="s">
        <v>21</v>
      </c>
      <c r="J1733" s="174"/>
    </row>
    <row r="1734" hidden="1" customHeight="1" spans="1:10">
      <c r="A1734" s="140" t="s">
        <v>405</v>
      </c>
      <c r="B1734" s="140" t="s">
        <v>398</v>
      </c>
      <c r="C1734" s="171">
        <v>45716</v>
      </c>
      <c r="D1734" s="172" t="s">
        <v>25</v>
      </c>
      <c r="E1734" s="140" t="s">
        <v>19</v>
      </c>
      <c r="F1734" s="140" t="s">
        <v>146</v>
      </c>
      <c r="G1734" s="140" t="s">
        <v>21</v>
      </c>
      <c r="H1734" s="140" t="s">
        <v>199</v>
      </c>
      <c r="I1734" s="140" t="s">
        <v>21</v>
      </c>
      <c r="J1734" s="174"/>
    </row>
    <row r="1735" hidden="1" customHeight="1" spans="1:10">
      <c r="A1735" s="140" t="s">
        <v>406</v>
      </c>
      <c r="B1735" s="140" t="s">
        <v>149</v>
      </c>
      <c r="C1735" s="171">
        <v>45689</v>
      </c>
      <c r="D1735" s="172" t="s">
        <v>12</v>
      </c>
      <c r="E1735" s="173" t="s">
        <v>13</v>
      </c>
      <c r="F1735" s="140" t="s">
        <v>14</v>
      </c>
      <c r="G1735" s="140" t="s">
        <v>14</v>
      </c>
      <c r="H1735" s="140" t="s">
        <v>14</v>
      </c>
      <c r="I1735" s="140" t="s">
        <v>14</v>
      </c>
      <c r="J1735" s="174"/>
    </row>
    <row r="1736" hidden="1" customHeight="1" spans="1:10">
      <c r="A1736" s="140" t="s">
        <v>406</v>
      </c>
      <c r="B1736" s="140" t="s">
        <v>149</v>
      </c>
      <c r="C1736" s="171">
        <v>45690</v>
      </c>
      <c r="D1736" s="172" t="s">
        <v>15</v>
      </c>
      <c r="E1736" s="173" t="s">
        <v>13</v>
      </c>
      <c r="F1736" s="140" t="s">
        <v>14</v>
      </c>
      <c r="G1736" s="140" t="s">
        <v>14</v>
      </c>
      <c r="H1736" s="140" t="s">
        <v>14</v>
      </c>
      <c r="I1736" s="140" t="s">
        <v>14</v>
      </c>
      <c r="J1736" s="174"/>
    </row>
    <row r="1737" hidden="1" customHeight="1" spans="1:10">
      <c r="A1737" s="140" t="s">
        <v>406</v>
      </c>
      <c r="B1737" s="140" t="s">
        <v>149</v>
      </c>
      <c r="C1737" s="171">
        <v>45691</v>
      </c>
      <c r="D1737" s="172" t="s">
        <v>16</v>
      </c>
      <c r="E1737" s="173" t="s">
        <v>13</v>
      </c>
      <c r="F1737" s="140" t="s">
        <v>14</v>
      </c>
      <c r="G1737" s="140" t="s">
        <v>14</v>
      </c>
      <c r="H1737" s="140" t="s">
        <v>14</v>
      </c>
      <c r="I1737" s="140" t="s">
        <v>14</v>
      </c>
      <c r="J1737" s="174"/>
    </row>
    <row r="1738" hidden="1" customHeight="1" spans="1:10">
      <c r="A1738" s="140" t="s">
        <v>406</v>
      </c>
      <c r="B1738" s="140" t="s">
        <v>149</v>
      </c>
      <c r="C1738" s="171">
        <v>45692</v>
      </c>
      <c r="D1738" s="172" t="s">
        <v>17</v>
      </c>
      <c r="E1738" s="173" t="s">
        <v>13</v>
      </c>
      <c r="F1738" s="140" t="s">
        <v>14</v>
      </c>
      <c r="G1738" s="140" t="s">
        <v>14</v>
      </c>
      <c r="H1738" s="140" t="s">
        <v>14</v>
      </c>
      <c r="I1738" s="140" t="s">
        <v>14</v>
      </c>
      <c r="J1738" s="175"/>
    </row>
    <row r="1739" hidden="1" customHeight="1" spans="1:10">
      <c r="A1739" s="140" t="s">
        <v>406</v>
      </c>
      <c r="B1739" s="140" t="s">
        <v>149</v>
      </c>
      <c r="C1739" s="171">
        <v>45693</v>
      </c>
      <c r="D1739" s="172" t="s">
        <v>18</v>
      </c>
      <c r="E1739" s="140" t="s">
        <v>19</v>
      </c>
      <c r="F1739" s="140" t="s">
        <v>135</v>
      </c>
      <c r="G1739" s="140" t="s">
        <v>21</v>
      </c>
      <c r="H1739" s="140" t="s">
        <v>78</v>
      </c>
      <c r="I1739" s="140" t="s">
        <v>21</v>
      </c>
      <c r="J1739" s="174"/>
    </row>
    <row r="1740" hidden="1" customHeight="1" spans="1:10">
      <c r="A1740" s="140" t="s">
        <v>406</v>
      </c>
      <c r="B1740" s="140" t="s">
        <v>149</v>
      </c>
      <c r="C1740" s="171">
        <v>45694</v>
      </c>
      <c r="D1740" s="172" t="s">
        <v>23</v>
      </c>
      <c r="E1740" s="140" t="s">
        <v>19</v>
      </c>
      <c r="F1740" s="140" t="s">
        <v>129</v>
      </c>
      <c r="G1740" s="140" t="s">
        <v>21</v>
      </c>
      <c r="H1740" s="140" t="s">
        <v>78</v>
      </c>
      <c r="I1740" s="140" t="s">
        <v>21</v>
      </c>
      <c r="J1740" s="174"/>
    </row>
    <row r="1741" hidden="1" customHeight="1" spans="1:10">
      <c r="A1741" s="140" t="s">
        <v>406</v>
      </c>
      <c r="B1741" s="140" t="s">
        <v>149</v>
      </c>
      <c r="C1741" s="171">
        <v>45695</v>
      </c>
      <c r="D1741" s="172" t="s">
        <v>25</v>
      </c>
      <c r="E1741" s="140" t="s">
        <v>19</v>
      </c>
      <c r="F1741" s="140" t="s">
        <v>49</v>
      </c>
      <c r="G1741" s="140" t="s">
        <v>21</v>
      </c>
      <c r="H1741" s="140" t="s">
        <v>142</v>
      </c>
      <c r="I1741" s="140" t="s">
        <v>21</v>
      </c>
      <c r="J1741" s="175"/>
    </row>
    <row r="1742" hidden="1" customHeight="1" spans="1:10">
      <c r="A1742" s="140" t="s">
        <v>406</v>
      </c>
      <c r="B1742" s="140" t="s">
        <v>149</v>
      </c>
      <c r="C1742" s="171">
        <v>45696</v>
      </c>
      <c r="D1742" s="172" t="s">
        <v>27</v>
      </c>
      <c r="E1742" s="140" t="s">
        <v>19</v>
      </c>
      <c r="F1742" s="140" t="s">
        <v>108</v>
      </c>
      <c r="G1742" s="140" t="s">
        <v>21</v>
      </c>
      <c r="H1742" s="140" t="s">
        <v>212</v>
      </c>
      <c r="I1742" s="140" t="s">
        <v>21</v>
      </c>
      <c r="J1742" s="174"/>
    </row>
    <row r="1743" hidden="1" customHeight="1" spans="1:10">
      <c r="A1743" s="140" t="s">
        <v>406</v>
      </c>
      <c r="B1743" s="140" t="s">
        <v>149</v>
      </c>
      <c r="C1743" s="171">
        <v>45697</v>
      </c>
      <c r="D1743" s="172" t="s">
        <v>15</v>
      </c>
      <c r="E1743" s="173" t="s">
        <v>13</v>
      </c>
      <c r="F1743" s="140" t="s">
        <v>14</v>
      </c>
      <c r="G1743" s="140" t="s">
        <v>14</v>
      </c>
      <c r="H1743" s="140" t="s">
        <v>14</v>
      </c>
      <c r="I1743" s="140" t="s">
        <v>14</v>
      </c>
      <c r="J1743" s="174"/>
    </row>
    <row r="1744" hidden="1" customHeight="1" spans="1:10">
      <c r="A1744" s="140" t="s">
        <v>406</v>
      </c>
      <c r="B1744" s="140" t="s">
        <v>149</v>
      </c>
      <c r="C1744" s="171">
        <v>45698</v>
      </c>
      <c r="D1744" s="172" t="s">
        <v>16</v>
      </c>
      <c r="E1744" s="140" t="s">
        <v>19</v>
      </c>
      <c r="F1744" s="140" t="s">
        <v>49</v>
      </c>
      <c r="G1744" s="140" t="s">
        <v>21</v>
      </c>
      <c r="H1744" s="140" t="s">
        <v>213</v>
      </c>
      <c r="I1744" s="140" t="s">
        <v>21</v>
      </c>
      <c r="J1744" s="174"/>
    </row>
    <row r="1745" hidden="1" customHeight="1" spans="1:10">
      <c r="A1745" s="140" t="s">
        <v>406</v>
      </c>
      <c r="B1745" s="140" t="s">
        <v>149</v>
      </c>
      <c r="C1745" s="171">
        <v>45699</v>
      </c>
      <c r="D1745" s="172" t="s">
        <v>17</v>
      </c>
      <c r="E1745" s="140" t="s">
        <v>19</v>
      </c>
      <c r="F1745" s="140" t="s">
        <v>143</v>
      </c>
      <c r="G1745" s="140" t="s">
        <v>21</v>
      </c>
      <c r="H1745" s="140" t="s">
        <v>385</v>
      </c>
      <c r="I1745" s="140" t="s">
        <v>21</v>
      </c>
      <c r="J1745" s="174"/>
    </row>
    <row r="1746" hidden="1" customHeight="1" spans="1:10">
      <c r="A1746" s="140" t="s">
        <v>406</v>
      </c>
      <c r="B1746" s="140" t="s">
        <v>149</v>
      </c>
      <c r="C1746" s="171">
        <v>45700</v>
      </c>
      <c r="D1746" s="172" t="s">
        <v>18</v>
      </c>
      <c r="E1746" s="140" t="s">
        <v>19</v>
      </c>
      <c r="F1746" s="140" t="s">
        <v>110</v>
      </c>
      <c r="G1746" s="140" t="s">
        <v>21</v>
      </c>
      <c r="H1746" s="140" t="s">
        <v>407</v>
      </c>
      <c r="I1746" s="140" t="s">
        <v>21</v>
      </c>
      <c r="J1746" s="174"/>
    </row>
    <row r="1747" hidden="1" customHeight="1" spans="1:10">
      <c r="A1747" s="140" t="s">
        <v>406</v>
      </c>
      <c r="B1747" s="140" t="s">
        <v>149</v>
      </c>
      <c r="C1747" s="171">
        <v>45701</v>
      </c>
      <c r="D1747" s="172" t="s">
        <v>23</v>
      </c>
      <c r="E1747" s="140" t="s">
        <v>19</v>
      </c>
      <c r="F1747" s="140" t="s">
        <v>117</v>
      </c>
      <c r="G1747" s="140" t="s">
        <v>21</v>
      </c>
      <c r="H1747" s="140" t="s">
        <v>54</v>
      </c>
      <c r="I1747" s="140" t="s">
        <v>21</v>
      </c>
      <c r="J1747" s="174"/>
    </row>
    <row r="1748" hidden="1" customHeight="1" spans="1:10">
      <c r="A1748" s="140" t="s">
        <v>406</v>
      </c>
      <c r="B1748" s="140" t="s">
        <v>149</v>
      </c>
      <c r="C1748" s="171">
        <v>45702</v>
      </c>
      <c r="D1748" s="172" t="s">
        <v>25</v>
      </c>
      <c r="E1748" s="140" t="s">
        <v>19</v>
      </c>
      <c r="F1748" s="140" t="s">
        <v>117</v>
      </c>
      <c r="G1748" s="140" t="s">
        <v>21</v>
      </c>
      <c r="H1748" s="140" t="s">
        <v>408</v>
      </c>
      <c r="I1748" s="140" t="s">
        <v>21</v>
      </c>
      <c r="J1748" s="174"/>
    </row>
    <row r="1749" hidden="1" customHeight="1" spans="1:10">
      <c r="A1749" s="140" t="s">
        <v>406</v>
      </c>
      <c r="B1749" s="140" t="s">
        <v>149</v>
      </c>
      <c r="C1749" s="171">
        <v>45703</v>
      </c>
      <c r="D1749" s="172" t="s">
        <v>27</v>
      </c>
      <c r="E1749" s="173" t="s">
        <v>13</v>
      </c>
      <c r="F1749" s="140" t="s">
        <v>14</v>
      </c>
      <c r="G1749" s="140" t="s">
        <v>14</v>
      </c>
      <c r="H1749" s="140" t="s">
        <v>14</v>
      </c>
      <c r="I1749" s="140" t="s">
        <v>14</v>
      </c>
      <c r="J1749" s="174"/>
    </row>
    <row r="1750" hidden="1" customHeight="1" spans="1:10">
      <c r="A1750" s="140" t="s">
        <v>406</v>
      </c>
      <c r="B1750" s="140" t="s">
        <v>149</v>
      </c>
      <c r="C1750" s="171">
        <v>45704</v>
      </c>
      <c r="D1750" s="172" t="s">
        <v>15</v>
      </c>
      <c r="E1750" s="173" t="s">
        <v>13</v>
      </c>
      <c r="F1750" s="140" t="s">
        <v>14</v>
      </c>
      <c r="G1750" s="140" t="s">
        <v>14</v>
      </c>
      <c r="H1750" s="140" t="s">
        <v>14</v>
      </c>
      <c r="I1750" s="140" t="s">
        <v>14</v>
      </c>
      <c r="J1750" s="174"/>
    </row>
    <row r="1751" customHeight="1" spans="1:10">
      <c r="A1751" s="140" t="s">
        <v>406</v>
      </c>
      <c r="B1751" s="140" t="s">
        <v>149</v>
      </c>
      <c r="C1751" s="171">
        <v>45705</v>
      </c>
      <c r="D1751" s="172" t="s">
        <v>16</v>
      </c>
      <c r="E1751" s="140" t="s">
        <v>19</v>
      </c>
      <c r="F1751" s="140" t="s">
        <v>14</v>
      </c>
      <c r="G1751" s="176" t="s">
        <v>68</v>
      </c>
      <c r="H1751" s="140" t="s">
        <v>78</v>
      </c>
      <c r="I1751" s="140" t="s">
        <v>21</v>
      </c>
      <c r="J1751" s="174" t="s">
        <v>69</v>
      </c>
    </row>
    <row r="1752" hidden="1" customHeight="1" spans="1:10">
      <c r="A1752" s="140" t="s">
        <v>406</v>
      </c>
      <c r="B1752" s="140" t="s">
        <v>149</v>
      </c>
      <c r="C1752" s="171">
        <v>45706</v>
      </c>
      <c r="D1752" s="172" t="s">
        <v>17</v>
      </c>
      <c r="E1752" s="140" t="s">
        <v>19</v>
      </c>
      <c r="F1752" s="140" t="s">
        <v>49</v>
      </c>
      <c r="G1752" s="140" t="s">
        <v>21</v>
      </c>
      <c r="H1752" s="140" t="s">
        <v>339</v>
      </c>
      <c r="I1752" s="140" t="s">
        <v>21</v>
      </c>
      <c r="J1752" s="174"/>
    </row>
    <row r="1753" hidden="1" customHeight="1" spans="1:10">
      <c r="A1753" s="140" t="s">
        <v>406</v>
      </c>
      <c r="B1753" s="140" t="s">
        <v>149</v>
      </c>
      <c r="C1753" s="171">
        <v>45707</v>
      </c>
      <c r="D1753" s="172" t="s">
        <v>18</v>
      </c>
      <c r="E1753" s="140" t="s">
        <v>19</v>
      </c>
      <c r="F1753" s="140" t="s">
        <v>117</v>
      </c>
      <c r="G1753" s="140" t="s">
        <v>21</v>
      </c>
      <c r="H1753" s="140" t="s">
        <v>176</v>
      </c>
      <c r="I1753" s="140" t="s">
        <v>21</v>
      </c>
      <c r="J1753" s="174"/>
    </row>
    <row r="1754" hidden="1" customHeight="1" spans="1:10">
      <c r="A1754" s="140" t="s">
        <v>406</v>
      </c>
      <c r="B1754" s="140" t="s">
        <v>149</v>
      </c>
      <c r="C1754" s="171">
        <v>45708</v>
      </c>
      <c r="D1754" s="172" t="s">
        <v>23</v>
      </c>
      <c r="E1754" s="140" t="s">
        <v>19</v>
      </c>
      <c r="F1754" s="140" t="s">
        <v>195</v>
      </c>
      <c r="G1754" s="140" t="s">
        <v>21</v>
      </c>
      <c r="H1754" s="140" t="s">
        <v>160</v>
      </c>
      <c r="I1754" s="140" t="s">
        <v>21</v>
      </c>
      <c r="J1754" s="174"/>
    </row>
    <row r="1755" hidden="1" customHeight="1" spans="1:10">
      <c r="A1755" s="140" t="s">
        <v>406</v>
      </c>
      <c r="B1755" s="140" t="s">
        <v>149</v>
      </c>
      <c r="C1755" s="171">
        <v>45709</v>
      </c>
      <c r="D1755" s="172" t="s">
        <v>25</v>
      </c>
      <c r="E1755" s="140" t="s">
        <v>19</v>
      </c>
      <c r="F1755" s="140" t="s">
        <v>188</v>
      </c>
      <c r="G1755" s="140" t="s">
        <v>21</v>
      </c>
      <c r="H1755" s="140" t="s">
        <v>124</v>
      </c>
      <c r="I1755" s="140" t="s">
        <v>21</v>
      </c>
      <c r="J1755" s="174"/>
    </row>
    <row r="1756" hidden="1" customHeight="1" spans="1:10">
      <c r="A1756" s="140" t="s">
        <v>406</v>
      </c>
      <c r="B1756" s="140" t="s">
        <v>149</v>
      </c>
      <c r="C1756" s="171">
        <v>45710</v>
      </c>
      <c r="D1756" s="172" t="s">
        <v>27</v>
      </c>
      <c r="E1756" s="173" t="s">
        <v>13</v>
      </c>
      <c r="F1756" s="140" t="s">
        <v>14</v>
      </c>
      <c r="G1756" s="140" t="s">
        <v>14</v>
      </c>
      <c r="H1756" s="140" t="s">
        <v>14</v>
      </c>
      <c r="I1756" s="140" t="s">
        <v>14</v>
      </c>
      <c r="J1756" s="174"/>
    </row>
    <row r="1757" hidden="1" customHeight="1" spans="1:10">
      <c r="A1757" s="140" t="s">
        <v>406</v>
      </c>
      <c r="B1757" s="140" t="s">
        <v>149</v>
      </c>
      <c r="C1757" s="171">
        <v>45711</v>
      </c>
      <c r="D1757" s="172" t="s">
        <v>15</v>
      </c>
      <c r="E1757" s="173" t="s">
        <v>13</v>
      </c>
      <c r="F1757" s="140" t="s">
        <v>14</v>
      </c>
      <c r="G1757" s="140" t="s">
        <v>14</v>
      </c>
      <c r="H1757" s="140" t="s">
        <v>14</v>
      </c>
      <c r="I1757" s="140" t="s">
        <v>14</v>
      </c>
      <c r="J1757" s="174"/>
    </row>
    <row r="1758" hidden="1" customHeight="1" spans="1:10">
      <c r="A1758" s="140" t="s">
        <v>406</v>
      </c>
      <c r="B1758" s="140" t="s">
        <v>149</v>
      </c>
      <c r="C1758" s="171">
        <v>45712</v>
      </c>
      <c r="D1758" s="172" t="s">
        <v>16</v>
      </c>
      <c r="E1758" s="140" t="s">
        <v>19</v>
      </c>
      <c r="F1758" s="140" t="s">
        <v>188</v>
      </c>
      <c r="G1758" s="140" t="s">
        <v>21</v>
      </c>
      <c r="H1758" s="140" t="s">
        <v>315</v>
      </c>
      <c r="I1758" s="140" t="s">
        <v>21</v>
      </c>
      <c r="J1758" s="174"/>
    </row>
    <row r="1759" hidden="1" customHeight="1" spans="1:10">
      <c r="A1759" s="140" t="s">
        <v>406</v>
      </c>
      <c r="B1759" s="140" t="s">
        <v>149</v>
      </c>
      <c r="C1759" s="171">
        <v>45713</v>
      </c>
      <c r="D1759" s="172" t="s">
        <v>17</v>
      </c>
      <c r="E1759" s="140" t="s">
        <v>19</v>
      </c>
      <c r="F1759" s="140" t="s">
        <v>195</v>
      </c>
      <c r="G1759" s="140" t="s">
        <v>21</v>
      </c>
      <c r="H1759" s="140" t="s">
        <v>409</v>
      </c>
      <c r="I1759" s="140" t="s">
        <v>21</v>
      </c>
      <c r="J1759" s="174"/>
    </row>
    <row r="1760" hidden="1" customHeight="1" spans="1:10">
      <c r="A1760" s="140" t="s">
        <v>406</v>
      </c>
      <c r="B1760" s="140" t="s">
        <v>149</v>
      </c>
      <c r="C1760" s="171">
        <v>45714</v>
      </c>
      <c r="D1760" s="172" t="s">
        <v>18</v>
      </c>
      <c r="E1760" s="140" t="s">
        <v>19</v>
      </c>
      <c r="F1760" s="140" t="s">
        <v>188</v>
      </c>
      <c r="G1760" s="140" t="s">
        <v>21</v>
      </c>
      <c r="H1760" s="140" t="s">
        <v>289</v>
      </c>
      <c r="I1760" s="140" t="s">
        <v>21</v>
      </c>
      <c r="J1760" s="174"/>
    </row>
    <row r="1761" hidden="1" customHeight="1" spans="1:10">
      <c r="A1761" s="140" t="s">
        <v>406</v>
      </c>
      <c r="B1761" s="140" t="s">
        <v>149</v>
      </c>
      <c r="C1761" s="171">
        <v>45715</v>
      </c>
      <c r="D1761" s="172" t="s">
        <v>23</v>
      </c>
      <c r="E1761" s="140" t="s">
        <v>19</v>
      </c>
      <c r="F1761" s="140" t="s">
        <v>193</v>
      </c>
      <c r="G1761" s="140" t="s">
        <v>21</v>
      </c>
      <c r="H1761" s="140" t="s">
        <v>213</v>
      </c>
      <c r="I1761" s="140" t="s">
        <v>21</v>
      </c>
      <c r="J1761" s="174"/>
    </row>
    <row r="1762" hidden="1" customHeight="1" spans="1:10">
      <c r="A1762" s="140" t="s">
        <v>406</v>
      </c>
      <c r="B1762" s="140" t="s">
        <v>149</v>
      </c>
      <c r="C1762" s="171">
        <v>45716</v>
      </c>
      <c r="D1762" s="172" t="s">
        <v>25</v>
      </c>
      <c r="E1762" s="140" t="s">
        <v>19</v>
      </c>
      <c r="F1762" s="140" t="s">
        <v>108</v>
      </c>
      <c r="G1762" s="140" t="s">
        <v>21</v>
      </c>
      <c r="H1762" s="140" t="s">
        <v>225</v>
      </c>
      <c r="I1762" s="140" t="s">
        <v>21</v>
      </c>
      <c r="J1762" s="174"/>
    </row>
    <row r="1763" hidden="1" customHeight="1" spans="1:10">
      <c r="A1763" s="140" t="s">
        <v>410</v>
      </c>
      <c r="B1763" s="140" t="s">
        <v>354</v>
      </c>
      <c r="C1763" s="171">
        <v>45689</v>
      </c>
      <c r="D1763" s="172" t="s">
        <v>12</v>
      </c>
      <c r="E1763" s="173" t="s">
        <v>13</v>
      </c>
      <c r="F1763" s="140" t="s">
        <v>14</v>
      </c>
      <c r="G1763" s="140" t="s">
        <v>14</v>
      </c>
      <c r="H1763" s="140" t="s">
        <v>14</v>
      </c>
      <c r="I1763" s="140" t="s">
        <v>14</v>
      </c>
      <c r="J1763" s="174"/>
    </row>
    <row r="1764" hidden="1" customHeight="1" spans="1:10">
      <c r="A1764" s="140" t="s">
        <v>410</v>
      </c>
      <c r="B1764" s="140" t="s">
        <v>354</v>
      </c>
      <c r="C1764" s="171">
        <v>45690</v>
      </c>
      <c r="D1764" s="172" t="s">
        <v>15</v>
      </c>
      <c r="E1764" s="173" t="s">
        <v>13</v>
      </c>
      <c r="F1764" s="140" t="s">
        <v>14</v>
      </c>
      <c r="G1764" s="140" t="s">
        <v>14</v>
      </c>
      <c r="H1764" s="140" t="s">
        <v>14</v>
      </c>
      <c r="I1764" s="140" t="s">
        <v>14</v>
      </c>
      <c r="J1764" s="174"/>
    </row>
    <row r="1765" hidden="1" customHeight="1" spans="1:10">
      <c r="A1765" s="140" t="s">
        <v>410</v>
      </c>
      <c r="B1765" s="140" t="s">
        <v>354</v>
      </c>
      <c r="C1765" s="171">
        <v>45691</v>
      </c>
      <c r="D1765" s="172" t="s">
        <v>16</v>
      </c>
      <c r="E1765" s="173" t="s">
        <v>13</v>
      </c>
      <c r="F1765" s="140" t="s">
        <v>14</v>
      </c>
      <c r="G1765" s="140" t="s">
        <v>14</v>
      </c>
      <c r="H1765" s="140" t="s">
        <v>14</v>
      </c>
      <c r="I1765" s="140" t="s">
        <v>14</v>
      </c>
      <c r="J1765" s="174"/>
    </row>
    <row r="1766" hidden="1" customHeight="1" spans="1:10">
      <c r="A1766" s="140" t="s">
        <v>410</v>
      </c>
      <c r="B1766" s="140" t="s">
        <v>354</v>
      </c>
      <c r="C1766" s="171">
        <v>45692</v>
      </c>
      <c r="D1766" s="172" t="s">
        <v>17</v>
      </c>
      <c r="E1766" s="173" t="s">
        <v>13</v>
      </c>
      <c r="F1766" s="140" t="s">
        <v>14</v>
      </c>
      <c r="G1766" s="140" t="s">
        <v>14</v>
      </c>
      <c r="H1766" s="140" t="s">
        <v>14</v>
      </c>
      <c r="I1766" s="140" t="s">
        <v>14</v>
      </c>
      <c r="J1766" s="174"/>
    </row>
    <row r="1767" hidden="1" customHeight="1" spans="1:10">
      <c r="A1767" s="140" t="s">
        <v>410</v>
      </c>
      <c r="B1767" s="140" t="s">
        <v>354</v>
      </c>
      <c r="C1767" s="171">
        <v>45693</v>
      </c>
      <c r="D1767" s="172" t="s">
        <v>18</v>
      </c>
      <c r="E1767" s="140" t="s">
        <v>19</v>
      </c>
      <c r="F1767" s="140" t="s">
        <v>195</v>
      </c>
      <c r="G1767" s="140" t="s">
        <v>21</v>
      </c>
      <c r="H1767" s="140" t="s">
        <v>235</v>
      </c>
      <c r="I1767" s="140" t="s">
        <v>21</v>
      </c>
      <c r="J1767" s="174"/>
    </row>
    <row r="1768" hidden="1" customHeight="1" spans="1:10">
      <c r="A1768" s="140" t="s">
        <v>410</v>
      </c>
      <c r="B1768" s="140" t="s">
        <v>354</v>
      </c>
      <c r="C1768" s="171">
        <v>45694</v>
      </c>
      <c r="D1768" s="172" t="s">
        <v>23</v>
      </c>
      <c r="E1768" s="140" t="s">
        <v>19</v>
      </c>
      <c r="F1768" s="140" t="s">
        <v>139</v>
      </c>
      <c r="G1768" s="140" t="s">
        <v>21</v>
      </c>
      <c r="H1768" s="140" t="s">
        <v>364</v>
      </c>
      <c r="I1768" s="140" t="s">
        <v>21</v>
      </c>
      <c r="J1768" s="174"/>
    </row>
    <row r="1769" hidden="1" customHeight="1" spans="1:10">
      <c r="A1769" s="140" t="s">
        <v>410</v>
      </c>
      <c r="B1769" s="140" t="s">
        <v>354</v>
      </c>
      <c r="C1769" s="171">
        <v>45695</v>
      </c>
      <c r="D1769" s="172" t="s">
        <v>25</v>
      </c>
      <c r="E1769" s="140" t="s">
        <v>19</v>
      </c>
      <c r="F1769" s="140" t="s">
        <v>193</v>
      </c>
      <c r="G1769" s="140" t="s">
        <v>21</v>
      </c>
      <c r="H1769" s="140" t="s">
        <v>31</v>
      </c>
      <c r="I1769" s="140" t="s">
        <v>21</v>
      </c>
      <c r="J1769" s="174"/>
    </row>
    <row r="1770" hidden="1" customHeight="1" spans="1:10">
      <c r="A1770" s="140" t="s">
        <v>410</v>
      </c>
      <c r="B1770" s="140" t="s">
        <v>354</v>
      </c>
      <c r="C1770" s="171">
        <v>45696</v>
      </c>
      <c r="D1770" s="172" t="s">
        <v>27</v>
      </c>
      <c r="E1770" s="140" t="s">
        <v>19</v>
      </c>
      <c r="F1770" s="140" t="s">
        <v>154</v>
      </c>
      <c r="G1770" s="140" t="s">
        <v>21</v>
      </c>
      <c r="H1770" s="140" t="s">
        <v>142</v>
      </c>
      <c r="I1770" s="140" t="s">
        <v>21</v>
      </c>
      <c r="J1770" s="174"/>
    </row>
    <row r="1771" hidden="1" customHeight="1" spans="1:10">
      <c r="A1771" s="140" t="s">
        <v>410</v>
      </c>
      <c r="B1771" s="140" t="s">
        <v>354</v>
      </c>
      <c r="C1771" s="171">
        <v>45697</v>
      </c>
      <c r="D1771" s="172" t="s">
        <v>15</v>
      </c>
      <c r="E1771" s="173" t="s">
        <v>13</v>
      </c>
      <c r="F1771" s="140" t="s">
        <v>14</v>
      </c>
      <c r="G1771" s="140" t="s">
        <v>14</v>
      </c>
      <c r="H1771" s="140" t="s">
        <v>14</v>
      </c>
      <c r="I1771" s="140" t="s">
        <v>14</v>
      </c>
      <c r="J1771" s="175"/>
    </row>
    <row r="1772" hidden="1" customHeight="1" spans="1:10">
      <c r="A1772" s="140" t="s">
        <v>410</v>
      </c>
      <c r="B1772" s="140" t="s">
        <v>354</v>
      </c>
      <c r="C1772" s="171">
        <v>45698</v>
      </c>
      <c r="D1772" s="172" t="s">
        <v>16</v>
      </c>
      <c r="E1772" s="140" t="s">
        <v>19</v>
      </c>
      <c r="F1772" s="140" t="s">
        <v>51</v>
      </c>
      <c r="G1772" s="140" t="s">
        <v>21</v>
      </c>
      <c r="H1772" s="140" t="s">
        <v>31</v>
      </c>
      <c r="I1772" s="140" t="s">
        <v>21</v>
      </c>
      <c r="J1772" s="175"/>
    </row>
    <row r="1773" customHeight="1" spans="1:10">
      <c r="A1773" s="140" t="s">
        <v>410</v>
      </c>
      <c r="B1773" s="140" t="s">
        <v>354</v>
      </c>
      <c r="C1773" s="171">
        <v>45699</v>
      </c>
      <c r="D1773" s="172" t="s">
        <v>17</v>
      </c>
      <c r="E1773" s="140" t="s">
        <v>19</v>
      </c>
      <c r="F1773" s="140" t="s">
        <v>14</v>
      </c>
      <c r="G1773" s="176" t="s">
        <v>68</v>
      </c>
      <c r="H1773" s="140" t="s">
        <v>189</v>
      </c>
      <c r="I1773" s="140" t="s">
        <v>21</v>
      </c>
      <c r="J1773" s="174" t="s">
        <v>69</v>
      </c>
    </row>
    <row r="1774" hidden="1" customHeight="1" spans="1:10">
      <c r="A1774" s="140" t="s">
        <v>410</v>
      </c>
      <c r="B1774" s="140" t="s">
        <v>354</v>
      </c>
      <c r="C1774" s="171">
        <v>45700</v>
      </c>
      <c r="D1774" s="172" t="s">
        <v>18</v>
      </c>
      <c r="E1774" s="140" t="s">
        <v>19</v>
      </c>
      <c r="F1774" s="140" t="s">
        <v>188</v>
      </c>
      <c r="G1774" s="140" t="s">
        <v>21</v>
      </c>
      <c r="H1774" s="140" t="s">
        <v>178</v>
      </c>
      <c r="I1774" s="140" t="s">
        <v>21</v>
      </c>
      <c r="J1774" s="174"/>
    </row>
    <row r="1775" hidden="1" customHeight="1" spans="1:10">
      <c r="A1775" s="140" t="s">
        <v>410</v>
      </c>
      <c r="B1775" s="140" t="s">
        <v>354</v>
      </c>
      <c r="C1775" s="171">
        <v>45701</v>
      </c>
      <c r="D1775" s="172" t="s">
        <v>23</v>
      </c>
      <c r="E1775" s="140" t="s">
        <v>19</v>
      </c>
      <c r="F1775" s="140" t="s">
        <v>36</v>
      </c>
      <c r="G1775" s="140" t="s">
        <v>21</v>
      </c>
      <c r="H1775" s="140" t="s">
        <v>364</v>
      </c>
      <c r="I1775" s="140" t="s">
        <v>21</v>
      </c>
      <c r="J1775" s="174"/>
    </row>
    <row r="1776" hidden="1" customHeight="1" spans="1:10">
      <c r="A1776" s="140" t="s">
        <v>410</v>
      </c>
      <c r="B1776" s="140" t="s">
        <v>354</v>
      </c>
      <c r="C1776" s="171">
        <v>45702</v>
      </c>
      <c r="D1776" s="172" t="s">
        <v>25</v>
      </c>
      <c r="E1776" s="140" t="s">
        <v>19</v>
      </c>
      <c r="F1776" s="140" t="s">
        <v>154</v>
      </c>
      <c r="G1776" s="140" t="s">
        <v>21</v>
      </c>
      <c r="H1776" s="140" t="s">
        <v>53</v>
      </c>
      <c r="I1776" s="140" t="s">
        <v>21</v>
      </c>
      <c r="J1776" s="174"/>
    </row>
    <row r="1777" hidden="1" customHeight="1" spans="1:10">
      <c r="A1777" s="140" t="s">
        <v>410</v>
      </c>
      <c r="B1777" s="140" t="s">
        <v>354</v>
      </c>
      <c r="C1777" s="171">
        <v>45703</v>
      </c>
      <c r="D1777" s="172" t="s">
        <v>27</v>
      </c>
      <c r="E1777" s="173" t="s">
        <v>13</v>
      </c>
      <c r="F1777" s="140" t="s">
        <v>14</v>
      </c>
      <c r="G1777" s="140" t="s">
        <v>14</v>
      </c>
      <c r="H1777" s="140" t="s">
        <v>14</v>
      </c>
      <c r="I1777" s="140" t="s">
        <v>14</v>
      </c>
      <c r="J1777" s="174"/>
    </row>
    <row r="1778" hidden="1" customHeight="1" spans="1:10">
      <c r="A1778" s="140" t="s">
        <v>410</v>
      </c>
      <c r="B1778" s="140" t="s">
        <v>354</v>
      </c>
      <c r="C1778" s="171">
        <v>45704</v>
      </c>
      <c r="D1778" s="172" t="s">
        <v>15</v>
      </c>
      <c r="E1778" s="173" t="s">
        <v>13</v>
      </c>
      <c r="F1778" s="140" t="s">
        <v>14</v>
      </c>
      <c r="G1778" s="140" t="s">
        <v>14</v>
      </c>
      <c r="H1778" s="140" t="s">
        <v>14</v>
      </c>
      <c r="I1778" s="140" t="s">
        <v>14</v>
      </c>
      <c r="J1778" s="174"/>
    </row>
    <row r="1779" customHeight="1" spans="1:10">
      <c r="A1779" s="140" t="s">
        <v>410</v>
      </c>
      <c r="B1779" s="140" t="s">
        <v>354</v>
      </c>
      <c r="C1779" s="171">
        <v>45705</v>
      </c>
      <c r="D1779" s="172" t="s">
        <v>16</v>
      </c>
      <c r="E1779" s="140" t="s">
        <v>19</v>
      </c>
      <c r="F1779" s="140" t="s">
        <v>40</v>
      </c>
      <c r="G1779" s="140" t="s">
        <v>21</v>
      </c>
      <c r="H1779" s="140" t="s">
        <v>14</v>
      </c>
      <c r="I1779" s="176" t="s">
        <v>68</v>
      </c>
      <c r="J1779" s="174" t="s">
        <v>69</v>
      </c>
    </row>
    <row r="1780" customHeight="1" spans="1:10">
      <c r="A1780" s="140" t="s">
        <v>410</v>
      </c>
      <c r="B1780" s="140" t="s">
        <v>354</v>
      </c>
      <c r="C1780" s="171">
        <v>45706</v>
      </c>
      <c r="D1780" s="172" t="s">
        <v>17</v>
      </c>
      <c r="E1780" s="140" t="s">
        <v>19</v>
      </c>
      <c r="F1780" s="140" t="s">
        <v>14</v>
      </c>
      <c r="G1780" s="176" t="s">
        <v>68</v>
      </c>
      <c r="H1780" s="140" t="s">
        <v>212</v>
      </c>
      <c r="I1780" s="140" t="s">
        <v>21</v>
      </c>
      <c r="J1780" s="174" t="s">
        <v>69</v>
      </c>
    </row>
    <row r="1781" hidden="1" customHeight="1" spans="1:10">
      <c r="A1781" s="140" t="s">
        <v>410</v>
      </c>
      <c r="B1781" s="140" t="s">
        <v>354</v>
      </c>
      <c r="C1781" s="171">
        <v>45707</v>
      </c>
      <c r="D1781" s="172" t="s">
        <v>18</v>
      </c>
      <c r="E1781" s="140" t="s">
        <v>19</v>
      </c>
      <c r="F1781" s="140" t="s">
        <v>36</v>
      </c>
      <c r="G1781" s="140" t="s">
        <v>21</v>
      </c>
      <c r="H1781" s="140" t="s">
        <v>212</v>
      </c>
      <c r="I1781" s="140" t="s">
        <v>21</v>
      </c>
      <c r="J1781" s="174"/>
    </row>
    <row r="1782" hidden="1" customHeight="1" spans="1:10">
      <c r="A1782" s="140" t="s">
        <v>410</v>
      </c>
      <c r="B1782" s="140" t="s">
        <v>354</v>
      </c>
      <c r="C1782" s="171">
        <v>45708</v>
      </c>
      <c r="D1782" s="172" t="s">
        <v>23</v>
      </c>
      <c r="E1782" s="140" t="s">
        <v>19</v>
      </c>
      <c r="F1782" s="140" t="s">
        <v>43</v>
      </c>
      <c r="G1782" s="140" t="s">
        <v>21</v>
      </c>
      <c r="H1782" s="140" t="s">
        <v>254</v>
      </c>
      <c r="I1782" s="140" t="s">
        <v>21</v>
      </c>
      <c r="J1782" s="174"/>
    </row>
    <row r="1783" hidden="1" customHeight="1" spans="1:10">
      <c r="A1783" s="140" t="s">
        <v>410</v>
      </c>
      <c r="B1783" s="140" t="s">
        <v>354</v>
      </c>
      <c r="C1783" s="171">
        <v>45709</v>
      </c>
      <c r="D1783" s="172" t="s">
        <v>25</v>
      </c>
      <c r="E1783" s="140" t="s">
        <v>19</v>
      </c>
      <c r="F1783" s="140" t="s">
        <v>43</v>
      </c>
      <c r="G1783" s="140" t="s">
        <v>21</v>
      </c>
      <c r="H1783" s="140" t="s">
        <v>52</v>
      </c>
      <c r="I1783" s="140" t="s">
        <v>21</v>
      </c>
      <c r="J1783" s="174"/>
    </row>
    <row r="1784" hidden="1" customHeight="1" spans="1:10">
      <c r="A1784" s="140" t="s">
        <v>410</v>
      </c>
      <c r="B1784" s="140" t="s">
        <v>354</v>
      </c>
      <c r="C1784" s="171">
        <v>45710</v>
      </c>
      <c r="D1784" s="172" t="s">
        <v>27</v>
      </c>
      <c r="E1784" s="173" t="s">
        <v>13</v>
      </c>
      <c r="F1784" s="140" t="s">
        <v>411</v>
      </c>
      <c r="G1784" s="140" t="s">
        <v>21</v>
      </c>
      <c r="H1784" s="140" t="s">
        <v>14</v>
      </c>
      <c r="I1784" s="140" t="s">
        <v>14</v>
      </c>
      <c r="J1784" s="175"/>
    </row>
    <row r="1785" hidden="1" customHeight="1" spans="1:10">
      <c r="A1785" s="140" t="s">
        <v>410</v>
      </c>
      <c r="B1785" s="140" t="s">
        <v>354</v>
      </c>
      <c r="C1785" s="171">
        <v>45711</v>
      </c>
      <c r="D1785" s="172" t="s">
        <v>15</v>
      </c>
      <c r="E1785" s="173" t="s">
        <v>13</v>
      </c>
      <c r="F1785" s="140" t="s">
        <v>14</v>
      </c>
      <c r="G1785" s="140" t="s">
        <v>14</v>
      </c>
      <c r="H1785" s="140" t="s">
        <v>14</v>
      </c>
      <c r="I1785" s="140" t="s">
        <v>14</v>
      </c>
      <c r="J1785" s="174"/>
    </row>
    <row r="1786" hidden="1" customHeight="1" spans="1:10">
      <c r="A1786" s="140" t="s">
        <v>410</v>
      </c>
      <c r="B1786" s="140" t="s">
        <v>354</v>
      </c>
      <c r="C1786" s="171">
        <v>45712</v>
      </c>
      <c r="D1786" s="172" t="s">
        <v>16</v>
      </c>
      <c r="E1786" s="140" t="s">
        <v>19</v>
      </c>
      <c r="F1786" s="140" t="s">
        <v>28</v>
      </c>
      <c r="G1786" s="140" t="s">
        <v>21</v>
      </c>
      <c r="H1786" s="140" t="s">
        <v>273</v>
      </c>
      <c r="I1786" s="140" t="s">
        <v>21</v>
      </c>
      <c r="J1786" s="174"/>
    </row>
    <row r="1787" hidden="1" customHeight="1" spans="1:10">
      <c r="A1787" s="140" t="s">
        <v>410</v>
      </c>
      <c r="B1787" s="140" t="s">
        <v>354</v>
      </c>
      <c r="C1787" s="171">
        <v>45713</v>
      </c>
      <c r="D1787" s="172" t="s">
        <v>17</v>
      </c>
      <c r="E1787" s="140" t="s">
        <v>19</v>
      </c>
      <c r="F1787" s="140" t="s">
        <v>30</v>
      </c>
      <c r="G1787" s="140" t="s">
        <v>21</v>
      </c>
      <c r="H1787" s="140" t="s">
        <v>41</v>
      </c>
      <c r="I1787" s="140" t="s">
        <v>21</v>
      </c>
      <c r="J1787" s="174"/>
    </row>
    <row r="1788" hidden="1" customHeight="1" spans="1:10">
      <c r="A1788" s="140" t="s">
        <v>410</v>
      </c>
      <c r="B1788" s="140" t="s">
        <v>354</v>
      </c>
      <c r="C1788" s="171">
        <v>45714</v>
      </c>
      <c r="D1788" s="172" t="s">
        <v>18</v>
      </c>
      <c r="E1788" s="140" t="s">
        <v>19</v>
      </c>
      <c r="F1788" s="140" t="s">
        <v>33</v>
      </c>
      <c r="G1788" s="140" t="s">
        <v>21</v>
      </c>
      <c r="H1788" s="140" t="s">
        <v>151</v>
      </c>
      <c r="I1788" s="140" t="s">
        <v>21</v>
      </c>
      <c r="J1788" s="174"/>
    </row>
    <row r="1789" hidden="1" customHeight="1" spans="1:10">
      <c r="A1789" s="140" t="s">
        <v>410</v>
      </c>
      <c r="B1789" s="140" t="s">
        <v>354</v>
      </c>
      <c r="C1789" s="171">
        <v>45715</v>
      </c>
      <c r="D1789" s="172" t="s">
        <v>23</v>
      </c>
      <c r="E1789" s="140" t="s">
        <v>19</v>
      </c>
      <c r="F1789" s="140" t="s">
        <v>135</v>
      </c>
      <c r="G1789" s="140" t="s">
        <v>21</v>
      </c>
      <c r="H1789" s="140" t="s">
        <v>78</v>
      </c>
      <c r="I1789" s="140" t="s">
        <v>21</v>
      </c>
      <c r="J1789" s="174"/>
    </row>
    <row r="1790" customHeight="1" spans="1:10">
      <c r="A1790" s="140" t="s">
        <v>410</v>
      </c>
      <c r="B1790" s="140" t="s">
        <v>354</v>
      </c>
      <c r="C1790" s="171">
        <v>45716</v>
      </c>
      <c r="D1790" s="172" t="s">
        <v>25</v>
      </c>
      <c r="E1790" s="140" t="s">
        <v>19</v>
      </c>
      <c r="F1790" s="140" t="s">
        <v>143</v>
      </c>
      <c r="G1790" s="140" t="s">
        <v>21</v>
      </c>
      <c r="H1790" s="140" t="s">
        <v>412</v>
      </c>
      <c r="I1790" s="180" t="s">
        <v>413</v>
      </c>
      <c r="J1790" s="174" t="s">
        <v>270</v>
      </c>
    </row>
    <row r="1791" hidden="1" customHeight="1" spans="1:10">
      <c r="A1791" s="140" t="s">
        <v>414</v>
      </c>
      <c r="B1791" s="140" t="s">
        <v>298</v>
      </c>
      <c r="C1791" s="171">
        <v>45689</v>
      </c>
      <c r="D1791" s="172" t="s">
        <v>12</v>
      </c>
      <c r="E1791" s="173" t="s">
        <v>13</v>
      </c>
      <c r="F1791" s="140" t="s">
        <v>14</v>
      </c>
      <c r="G1791" s="140" t="s">
        <v>14</v>
      </c>
      <c r="H1791" s="140" t="s">
        <v>14</v>
      </c>
      <c r="I1791" s="140" t="s">
        <v>14</v>
      </c>
      <c r="J1791" s="174"/>
    </row>
    <row r="1792" hidden="1" customHeight="1" spans="1:10">
      <c r="A1792" s="140" t="s">
        <v>414</v>
      </c>
      <c r="B1792" s="140" t="s">
        <v>298</v>
      </c>
      <c r="C1792" s="171">
        <v>45690</v>
      </c>
      <c r="D1792" s="172" t="s">
        <v>15</v>
      </c>
      <c r="E1792" s="173" t="s">
        <v>13</v>
      </c>
      <c r="F1792" s="140" t="s">
        <v>14</v>
      </c>
      <c r="G1792" s="140" t="s">
        <v>14</v>
      </c>
      <c r="H1792" s="140" t="s">
        <v>14</v>
      </c>
      <c r="I1792" s="140" t="s">
        <v>14</v>
      </c>
      <c r="J1792" s="174"/>
    </row>
    <row r="1793" hidden="1" customHeight="1" spans="1:10">
      <c r="A1793" s="140" t="s">
        <v>414</v>
      </c>
      <c r="B1793" s="140" t="s">
        <v>298</v>
      </c>
      <c r="C1793" s="171">
        <v>45691</v>
      </c>
      <c r="D1793" s="172" t="s">
        <v>16</v>
      </c>
      <c r="E1793" s="173" t="s">
        <v>13</v>
      </c>
      <c r="F1793" s="140" t="s">
        <v>14</v>
      </c>
      <c r="G1793" s="140" t="s">
        <v>14</v>
      </c>
      <c r="H1793" s="140" t="s">
        <v>14</v>
      </c>
      <c r="I1793" s="140" t="s">
        <v>14</v>
      </c>
      <c r="J1793" s="175"/>
    </row>
    <row r="1794" hidden="1" customHeight="1" spans="1:10">
      <c r="A1794" s="140" t="s">
        <v>414</v>
      </c>
      <c r="B1794" s="140" t="s">
        <v>298</v>
      </c>
      <c r="C1794" s="171">
        <v>45692</v>
      </c>
      <c r="D1794" s="172" t="s">
        <v>17</v>
      </c>
      <c r="E1794" s="173" t="s">
        <v>13</v>
      </c>
      <c r="F1794" s="140" t="s">
        <v>14</v>
      </c>
      <c r="G1794" s="140" t="s">
        <v>14</v>
      </c>
      <c r="H1794" s="140" t="s">
        <v>14</v>
      </c>
      <c r="I1794" s="140" t="s">
        <v>14</v>
      </c>
      <c r="J1794" s="174"/>
    </row>
    <row r="1795" customHeight="1" spans="1:10">
      <c r="A1795" s="140" t="s">
        <v>414</v>
      </c>
      <c r="B1795" s="140" t="s">
        <v>298</v>
      </c>
      <c r="C1795" s="171">
        <v>45693</v>
      </c>
      <c r="D1795" s="172" t="s">
        <v>18</v>
      </c>
      <c r="E1795" s="140" t="s">
        <v>19</v>
      </c>
      <c r="F1795" s="140" t="s">
        <v>14</v>
      </c>
      <c r="G1795" s="176" t="s">
        <v>68</v>
      </c>
      <c r="H1795" s="140" t="s">
        <v>14</v>
      </c>
      <c r="I1795" s="176" t="s">
        <v>68</v>
      </c>
      <c r="J1795" s="174" t="s">
        <v>234</v>
      </c>
    </row>
    <row r="1796" hidden="1" customHeight="1" spans="1:10">
      <c r="A1796" s="140" t="s">
        <v>414</v>
      </c>
      <c r="B1796" s="140" t="s">
        <v>298</v>
      </c>
      <c r="C1796" s="171">
        <v>45694</v>
      </c>
      <c r="D1796" s="172" t="s">
        <v>23</v>
      </c>
      <c r="E1796" s="140" t="s">
        <v>19</v>
      </c>
      <c r="F1796" s="140" t="s">
        <v>117</v>
      </c>
      <c r="G1796" s="140" t="s">
        <v>21</v>
      </c>
      <c r="H1796" s="140" t="s">
        <v>269</v>
      </c>
      <c r="I1796" s="140" t="s">
        <v>21</v>
      </c>
      <c r="J1796" s="174"/>
    </row>
    <row r="1797" hidden="1" customHeight="1" spans="1:10">
      <c r="A1797" s="140" t="s">
        <v>414</v>
      </c>
      <c r="B1797" s="140" t="s">
        <v>298</v>
      </c>
      <c r="C1797" s="171">
        <v>45695</v>
      </c>
      <c r="D1797" s="172" t="s">
        <v>25</v>
      </c>
      <c r="E1797" s="140" t="s">
        <v>19</v>
      </c>
      <c r="F1797" s="140" t="s">
        <v>117</v>
      </c>
      <c r="G1797" s="140" t="s">
        <v>21</v>
      </c>
      <c r="H1797" s="140" t="s">
        <v>373</v>
      </c>
      <c r="I1797" s="140" t="s">
        <v>21</v>
      </c>
      <c r="J1797" s="174"/>
    </row>
    <row r="1798" hidden="1" customHeight="1" spans="1:10">
      <c r="A1798" s="140" t="s">
        <v>414</v>
      </c>
      <c r="B1798" s="140" t="s">
        <v>298</v>
      </c>
      <c r="C1798" s="171">
        <v>45696</v>
      </c>
      <c r="D1798" s="172" t="s">
        <v>27</v>
      </c>
      <c r="E1798" s="140" t="s">
        <v>19</v>
      </c>
      <c r="F1798" s="140" t="s">
        <v>143</v>
      </c>
      <c r="G1798" s="140" t="s">
        <v>21</v>
      </c>
      <c r="H1798" s="140" t="s">
        <v>189</v>
      </c>
      <c r="I1798" s="140" t="s">
        <v>21</v>
      </c>
      <c r="J1798" s="174"/>
    </row>
    <row r="1799" hidden="1" customHeight="1" spans="1:10">
      <c r="A1799" s="140" t="s">
        <v>414</v>
      </c>
      <c r="B1799" s="140" t="s">
        <v>298</v>
      </c>
      <c r="C1799" s="171">
        <v>45697</v>
      </c>
      <c r="D1799" s="172" t="s">
        <v>15</v>
      </c>
      <c r="E1799" s="173" t="s">
        <v>13</v>
      </c>
      <c r="F1799" s="140" t="s">
        <v>14</v>
      </c>
      <c r="G1799" s="140" t="s">
        <v>14</v>
      </c>
      <c r="H1799" s="140" t="s">
        <v>14</v>
      </c>
      <c r="I1799" s="140" t="s">
        <v>14</v>
      </c>
      <c r="J1799" s="174"/>
    </row>
    <row r="1800" hidden="1" customHeight="1" spans="1:10">
      <c r="A1800" s="140" t="s">
        <v>414</v>
      </c>
      <c r="B1800" s="140" t="s">
        <v>298</v>
      </c>
      <c r="C1800" s="171">
        <v>45698</v>
      </c>
      <c r="D1800" s="172" t="s">
        <v>16</v>
      </c>
      <c r="E1800" s="140" t="s">
        <v>19</v>
      </c>
      <c r="F1800" s="140" t="s">
        <v>117</v>
      </c>
      <c r="G1800" s="140" t="s">
        <v>21</v>
      </c>
      <c r="H1800" s="140" t="s">
        <v>160</v>
      </c>
      <c r="I1800" s="140" t="s">
        <v>21</v>
      </c>
      <c r="J1800" s="174"/>
    </row>
    <row r="1801" hidden="1" customHeight="1" spans="1:10">
      <c r="A1801" s="140" t="s">
        <v>414</v>
      </c>
      <c r="B1801" s="140" t="s">
        <v>298</v>
      </c>
      <c r="C1801" s="171">
        <v>45699</v>
      </c>
      <c r="D1801" s="172" t="s">
        <v>17</v>
      </c>
      <c r="E1801" s="140" t="s">
        <v>19</v>
      </c>
      <c r="F1801" s="140" t="s">
        <v>195</v>
      </c>
      <c r="G1801" s="140" t="s">
        <v>21</v>
      </c>
      <c r="H1801" s="140" t="s">
        <v>189</v>
      </c>
      <c r="I1801" s="140" t="s">
        <v>21</v>
      </c>
      <c r="J1801" s="174"/>
    </row>
    <row r="1802" hidden="1" customHeight="1" spans="1:10">
      <c r="A1802" s="140" t="s">
        <v>414</v>
      </c>
      <c r="B1802" s="140" t="s">
        <v>298</v>
      </c>
      <c r="C1802" s="171">
        <v>45700</v>
      </c>
      <c r="D1802" s="172" t="s">
        <v>18</v>
      </c>
      <c r="E1802" s="140" t="s">
        <v>19</v>
      </c>
      <c r="F1802" s="140" t="s">
        <v>108</v>
      </c>
      <c r="G1802" s="140" t="s">
        <v>21</v>
      </c>
      <c r="H1802" s="140" t="s">
        <v>167</v>
      </c>
      <c r="I1802" s="140" t="s">
        <v>21</v>
      </c>
      <c r="J1802" s="174"/>
    </row>
    <row r="1803" hidden="1" customHeight="1" spans="1:10">
      <c r="A1803" s="140" t="s">
        <v>414</v>
      </c>
      <c r="B1803" s="140" t="s">
        <v>298</v>
      </c>
      <c r="C1803" s="171">
        <v>45701</v>
      </c>
      <c r="D1803" s="172" t="s">
        <v>23</v>
      </c>
      <c r="E1803" s="140" t="s">
        <v>19</v>
      </c>
      <c r="F1803" s="140" t="s">
        <v>150</v>
      </c>
      <c r="G1803" s="140" t="s">
        <v>21</v>
      </c>
      <c r="H1803" s="140" t="s">
        <v>130</v>
      </c>
      <c r="I1803" s="140" t="s">
        <v>21</v>
      </c>
      <c r="J1803" s="174"/>
    </row>
    <row r="1804" hidden="1" customHeight="1" spans="1:10">
      <c r="A1804" s="140" t="s">
        <v>414</v>
      </c>
      <c r="B1804" s="140" t="s">
        <v>298</v>
      </c>
      <c r="C1804" s="171">
        <v>45702</v>
      </c>
      <c r="D1804" s="172" t="s">
        <v>25</v>
      </c>
      <c r="E1804" s="140" t="s">
        <v>19</v>
      </c>
      <c r="F1804" s="140" t="s">
        <v>40</v>
      </c>
      <c r="G1804" s="140" t="s">
        <v>21</v>
      </c>
      <c r="H1804" s="140" t="s">
        <v>175</v>
      </c>
      <c r="I1804" s="140" t="s">
        <v>21</v>
      </c>
      <c r="J1804" s="174"/>
    </row>
    <row r="1805" hidden="1" customHeight="1" spans="1:10">
      <c r="A1805" s="140" t="s">
        <v>414</v>
      </c>
      <c r="B1805" s="140" t="s">
        <v>298</v>
      </c>
      <c r="C1805" s="171">
        <v>45703</v>
      </c>
      <c r="D1805" s="172" t="s">
        <v>27</v>
      </c>
      <c r="E1805" s="173" t="s">
        <v>13</v>
      </c>
      <c r="F1805" s="140" t="s">
        <v>14</v>
      </c>
      <c r="G1805" s="140" t="s">
        <v>14</v>
      </c>
      <c r="H1805" s="140" t="s">
        <v>14</v>
      </c>
      <c r="I1805" s="140" t="s">
        <v>14</v>
      </c>
      <c r="J1805" s="174"/>
    </row>
    <row r="1806" hidden="1" customHeight="1" spans="1:10">
      <c r="A1806" s="140" t="s">
        <v>414</v>
      </c>
      <c r="B1806" s="140" t="s">
        <v>298</v>
      </c>
      <c r="C1806" s="171">
        <v>45704</v>
      </c>
      <c r="D1806" s="172" t="s">
        <v>15</v>
      </c>
      <c r="E1806" s="173" t="s">
        <v>13</v>
      </c>
      <c r="F1806" s="140" t="s">
        <v>14</v>
      </c>
      <c r="G1806" s="140" t="s">
        <v>14</v>
      </c>
      <c r="H1806" s="140" t="s">
        <v>14</v>
      </c>
      <c r="I1806" s="140" t="s">
        <v>14</v>
      </c>
      <c r="J1806" s="174"/>
    </row>
    <row r="1807" hidden="1" customHeight="1" spans="1:10">
      <c r="A1807" s="140" t="s">
        <v>414</v>
      </c>
      <c r="B1807" s="140" t="s">
        <v>298</v>
      </c>
      <c r="C1807" s="171">
        <v>45705</v>
      </c>
      <c r="D1807" s="172" t="s">
        <v>16</v>
      </c>
      <c r="E1807" s="140" t="s">
        <v>19</v>
      </c>
      <c r="F1807" s="140" t="s">
        <v>110</v>
      </c>
      <c r="G1807" s="140" t="s">
        <v>21</v>
      </c>
      <c r="H1807" s="140" t="s">
        <v>123</v>
      </c>
      <c r="I1807" s="140" t="s">
        <v>21</v>
      </c>
      <c r="J1807" s="174"/>
    </row>
    <row r="1808" hidden="1" customHeight="1" spans="1:10">
      <c r="A1808" s="140" t="s">
        <v>414</v>
      </c>
      <c r="B1808" s="140" t="s">
        <v>298</v>
      </c>
      <c r="C1808" s="171">
        <v>45706</v>
      </c>
      <c r="D1808" s="172" t="s">
        <v>17</v>
      </c>
      <c r="E1808" s="140" t="s">
        <v>19</v>
      </c>
      <c r="F1808" s="140" t="s">
        <v>117</v>
      </c>
      <c r="G1808" s="140" t="s">
        <v>21</v>
      </c>
      <c r="H1808" s="140" t="s">
        <v>278</v>
      </c>
      <c r="I1808" s="140" t="s">
        <v>21</v>
      </c>
      <c r="J1808" s="174"/>
    </row>
    <row r="1809" hidden="1" customHeight="1" spans="1:10">
      <c r="A1809" s="140" t="s">
        <v>414</v>
      </c>
      <c r="B1809" s="140" t="s">
        <v>298</v>
      </c>
      <c r="C1809" s="171">
        <v>45707</v>
      </c>
      <c r="D1809" s="172" t="s">
        <v>18</v>
      </c>
      <c r="E1809" s="140" t="s">
        <v>19</v>
      </c>
      <c r="F1809" s="140" t="s">
        <v>117</v>
      </c>
      <c r="G1809" s="140" t="s">
        <v>21</v>
      </c>
      <c r="H1809" s="140" t="s">
        <v>180</v>
      </c>
      <c r="I1809" s="140" t="s">
        <v>21</v>
      </c>
      <c r="J1809" s="174"/>
    </row>
    <row r="1810" hidden="1" customHeight="1" spans="1:10">
      <c r="A1810" s="140" t="s">
        <v>414</v>
      </c>
      <c r="B1810" s="140" t="s">
        <v>298</v>
      </c>
      <c r="C1810" s="171">
        <v>45708</v>
      </c>
      <c r="D1810" s="172" t="s">
        <v>23</v>
      </c>
      <c r="E1810" s="140" t="s">
        <v>19</v>
      </c>
      <c r="F1810" s="140" t="s">
        <v>188</v>
      </c>
      <c r="G1810" s="140" t="s">
        <v>21</v>
      </c>
      <c r="H1810" s="140" t="s">
        <v>54</v>
      </c>
      <c r="I1810" s="140" t="s">
        <v>21</v>
      </c>
      <c r="J1810" s="174"/>
    </row>
    <row r="1811" hidden="1" customHeight="1" spans="1:10">
      <c r="A1811" s="140" t="s">
        <v>414</v>
      </c>
      <c r="B1811" s="140" t="s">
        <v>298</v>
      </c>
      <c r="C1811" s="171">
        <v>45709</v>
      </c>
      <c r="D1811" s="172" t="s">
        <v>25</v>
      </c>
      <c r="E1811" s="140" t="s">
        <v>19</v>
      </c>
      <c r="F1811" s="140" t="s">
        <v>150</v>
      </c>
      <c r="G1811" s="140" t="s">
        <v>21</v>
      </c>
      <c r="H1811" s="140" t="s">
        <v>79</v>
      </c>
      <c r="I1811" s="140" t="s">
        <v>21</v>
      </c>
      <c r="J1811" s="174"/>
    </row>
    <row r="1812" hidden="1" customHeight="1" spans="1:10">
      <c r="A1812" s="140" t="s">
        <v>414</v>
      </c>
      <c r="B1812" s="140" t="s">
        <v>298</v>
      </c>
      <c r="C1812" s="171">
        <v>45710</v>
      </c>
      <c r="D1812" s="172" t="s">
        <v>27</v>
      </c>
      <c r="E1812" s="173" t="s">
        <v>13</v>
      </c>
      <c r="F1812" s="140" t="s">
        <v>14</v>
      </c>
      <c r="G1812" s="140" t="s">
        <v>14</v>
      </c>
      <c r="H1812" s="140" t="s">
        <v>14</v>
      </c>
      <c r="I1812" s="140" t="s">
        <v>14</v>
      </c>
      <c r="J1812" s="174"/>
    </row>
    <row r="1813" hidden="1" customHeight="1" spans="1:10">
      <c r="A1813" s="140" t="s">
        <v>414</v>
      </c>
      <c r="B1813" s="140" t="s">
        <v>298</v>
      </c>
      <c r="C1813" s="171">
        <v>45711</v>
      </c>
      <c r="D1813" s="172" t="s">
        <v>15</v>
      </c>
      <c r="E1813" s="173" t="s">
        <v>13</v>
      </c>
      <c r="F1813" s="140" t="s">
        <v>14</v>
      </c>
      <c r="G1813" s="140" t="s">
        <v>14</v>
      </c>
      <c r="H1813" s="140" t="s">
        <v>14</v>
      </c>
      <c r="I1813" s="140" t="s">
        <v>14</v>
      </c>
      <c r="J1813" s="174"/>
    </row>
    <row r="1814" hidden="1" customHeight="1" spans="1:10">
      <c r="A1814" s="140" t="s">
        <v>414</v>
      </c>
      <c r="B1814" s="140" t="s">
        <v>298</v>
      </c>
      <c r="C1814" s="171">
        <v>45712</v>
      </c>
      <c r="D1814" s="172" t="s">
        <v>16</v>
      </c>
      <c r="E1814" s="140" t="s">
        <v>19</v>
      </c>
      <c r="F1814" s="140" t="s">
        <v>150</v>
      </c>
      <c r="G1814" s="140" t="s">
        <v>21</v>
      </c>
      <c r="H1814" s="140" t="s">
        <v>91</v>
      </c>
      <c r="I1814" s="140" t="s">
        <v>21</v>
      </c>
      <c r="J1814" s="174"/>
    </row>
    <row r="1815" hidden="1" customHeight="1" spans="1:10">
      <c r="A1815" s="140" t="s">
        <v>414</v>
      </c>
      <c r="B1815" s="140" t="s">
        <v>298</v>
      </c>
      <c r="C1815" s="171">
        <v>45713</v>
      </c>
      <c r="D1815" s="172" t="s">
        <v>17</v>
      </c>
      <c r="E1815" s="140" t="s">
        <v>19</v>
      </c>
      <c r="F1815" s="140" t="s">
        <v>40</v>
      </c>
      <c r="G1815" s="140" t="s">
        <v>21</v>
      </c>
      <c r="H1815" s="140" t="s">
        <v>125</v>
      </c>
      <c r="I1815" s="140" t="s">
        <v>21</v>
      </c>
      <c r="J1815" s="175"/>
    </row>
    <row r="1816" hidden="1" customHeight="1" spans="1:10">
      <c r="A1816" s="140" t="s">
        <v>414</v>
      </c>
      <c r="B1816" s="140" t="s">
        <v>298</v>
      </c>
      <c r="C1816" s="171">
        <v>45714</v>
      </c>
      <c r="D1816" s="172" t="s">
        <v>18</v>
      </c>
      <c r="E1816" s="140" t="s">
        <v>19</v>
      </c>
      <c r="F1816" s="140" t="s">
        <v>188</v>
      </c>
      <c r="G1816" s="140" t="s">
        <v>21</v>
      </c>
      <c r="H1816" s="140" t="s">
        <v>80</v>
      </c>
      <c r="I1816" s="140" t="s">
        <v>21</v>
      </c>
      <c r="J1816" s="174"/>
    </row>
    <row r="1817" hidden="1" customHeight="1" spans="1:10">
      <c r="A1817" s="140" t="s">
        <v>414</v>
      </c>
      <c r="B1817" s="140" t="s">
        <v>298</v>
      </c>
      <c r="C1817" s="171">
        <v>45715</v>
      </c>
      <c r="D1817" s="172" t="s">
        <v>23</v>
      </c>
      <c r="E1817" s="140" t="s">
        <v>19</v>
      </c>
      <c r="F1817" s="140" t="s">
        <v>188</v>
      </c>
      <c r="G1817" s="140" t="s">
        <v>21</v>
      </c>
      <c r="H1817" s="140" t="s">
        <v>78</v>
      </c>
      <c r="I1817" s="140" t="s">
        <v>21</v>
      </c>
      <c r="J1817" s="174"/>
    </row>
    <row r="1818" hidden="1" customHeight="1" spans="1:10">
      <c r="A1818" s="140" t="s">
        <v>414</v>
      </c>
      <c r="B1818" s="140" t="s">
        <v>298</v>
      </c>
      <c r="C1818" s="171">
        <v>45716</v>
      </c>
      <c r="D1818" s="172" t="s">
        <v>25</v>
      </c>
      <c r="E1818" s="140" t="s">
        <v>19</v>
      </c>
      <c r="F1818" s="140" t="s">
        <v>40</v>
      </c>
      <c r="G1818" s="140" t="s">
        <v>21</v>
      </c>
      <c r="H1818" s="140" t="s">
        <v>53</v>
      </c>
      <c r="I1818" s="140" t="s">
        <v>21</v>
      </c>
      <c r="J1818" s="174"/>
    </row>
    <row r="1819" hidden="1" customHeight="1" spans="1:10">
      <c r="A1819" s="140" t="s">
        <v>415</v>
      </c>
      <c r="B1819" s="140" t="s">
        <v>237</v>
      </c>
      <c r="C1819" s="171">
        <v>45689</v>
      </c>
      <c r="D1819" s="172" t="s">
        <v>12</v>
      </c>
      <c r="E1819" s="173" t="s">
        <v>13</v>
      </c>
      <c r="F1819" s="140" t="s">
        <v>14</v>
      </c>
      <c r="G1819" s="140" t="s">
        <v>14</v>
      </c>
      <c r="H1819" s="140" t="s">
        <v>14</v>
      </c>
      <c r="I1819" s="140" t="s">
        <v>14</v>
      </c>
      <c r="J1819" s="174"/>
    </row>
    <row r="1820" hidden="1" customHeight="1" spans="1:10">
      <c r="A1820" s="140" t="s">
        <v>415</v>
      </c>
      <c r="B1820" s="140" t="s">
        <v>237</v>
      </c>
      <c r="C1820" s="171">
        <v>45690</v>
      </c>
      <c r="D1820" s="172" t="s">
        <v>15</v>
      </c>
      <c r="E1820" s="173" t="s">
        <v>13</v>
      </c>
      <c r="F1820" s="140" t="s">
        <v>14</v>
      </c>
      <c r="G1820" s="140" t="s">
        <v>14</v>
      </c>
      <c r="H1820" s="140" t="s">
        <v>14</v>
      </c>
      <c r="I1820" s="140" t="s">
        <v>14</v>
      </c>
      <c r="J1820" s="174"/>
    </row>
    <row r="1821" hidden="1" customHeight="1" spans="1:10">
      <c r="A1821" s="140" t="s">
        <v>415</v>
      </c>
      <c r="B1821" s="140" t="s">
        <v>237</v>
      </c>
      <c r="C1821" s="171">
        <v>45691</v>
      </c>
      <c r="D1821" s="172" t="s">
        <v>16</v>
      </c>
      <c r="E1821" s="173" t="s">
        <v>13</v>
      </c>
      <c r="F1821" s="140" t="s">
        <v>14</v>
      </c>
      <c r="G1821" s="140" t="s">
        <v>14</v>
      </c>
      <c r="H1821" s="140" t="s">
        <v>14</v>
      </c>
      <c r="I1821" s="140" t="s">
        <v>14</v>
      </c>
      <c r="J1821" s="174"/>
    </row>
    <row r="1822" hidden="1" customHeight="1" spans="1:10">
      <c r="A1822" s="140" t="s">
        <v>415</v>
      </c>
      <c r="B1822" s="140" t="s">
        <v>237</v>
      </c>
      <c r="C1822" s="171">
        <v>45692</v>
      </c>
      <c r="D1822" s="172" t="s">
        <v>17</v>
      </c>
      <c r="E1822" s="173" t="s">
        <v>13</v>
      </c>
      <c r="F1822" s="140" t="s">
        <v>14</v>
      </c>
      <c r="G1822" s="140" t="s">
        <v>14</v>
      </c>
      <c r="H1822" s="140" t="s">
        <v>14</v>
      </c>
      <c r="I1822" s="140" t="s">
        <v>14</v>
      </c>
      <c r="J1822" s="175"/>
    </row>
    <row r="1823" hidden="1" customHeight="1" spans="1:10">
      <c r="A1823" s="140" t="s">
        <v>415</v>
      </c>
      <c r="B1823" s="140" t="s">
        <v>237</v>
      </c>
      <c r="C1823" s="171">
        <v>45693</v>
      </c>
      <c r="D1823" s="172" t="s">
        <v>18</v>
      </c>
      <c r="E1823" s="140" t="s">
        <v>19</v>
      </c>
      <c r="F1823" s="140" t="s">
        <v>143</v>
      </c>
      <c r="G1823" s="140" t="s">
        <v>21</v>
      </c>
      <c r="H1823" s="140" t="s">
        <v>210</v>
      </c>
      <c r="I1823" s="140" t="s">
        <v>21</v>
      </c>
      <c r="J1823" s="174"/>
    </row>
    <row r="1824" hidden="1" customHeight="1" spans="1:10">
      <c r="A1824" s="140" t="s">
        <v>415</v>
      </c>
      <c r="B1824" s="140" t="s">
        <v>237</v>
      </c>
      <c r="C1824" s="171">
        <v>45694</v>
      </c>
      <c r="D1824" s="172" t="s">
        <v>23</v>
      </c>
      <c r="E1824" s="140" t="s">
        <v>19</v>
      </c>
      <c r="F1824" s="140" t="s">
        <v>110</v>
      </c>
      <c r="G1824" s="140" t="s">
        <v>21</v>
      </c>
      <c r="H1824" s="140" t="s">
        <v>196</v>
      </c>
      <c r="I1824" s="140" t="s">
        <v>21</v>
      </c>
      <c r="J1824" s="174"/>
    </row>
    <row r="1825" hidden="1" customHeight="1" spans="1:10">
      <c r="A1825" s="140" t="s">
        <v>415</v>
      </c>
      <c r="B1825" s="140" t="s">
        <v>237</v>
      </c>
      <c r="C1825" s="171">
        <v>45695</v>
      </c>
      <c r="D1825" s="172" t="s">
        <v>25</v>
      </c>
      <c r="E1825" s="140" t="s">
        <v>19</v>
      </c>
      <c r="F1825" s="140" t="s">
        <v>110</v>
      </c>
      <c r="G1825" s="140" t="s">
        <v>21</v>
      </c>
      <c r="H1825" s="140" t="s">
        <v>175</v>
      </c>
      <c r="I1825" s="140" t="s">
        <v>21</v>
      </c>
      <c r="J1825" s="174"/>
    </row>
    <row r="1826" hidden="1" customHeight="1" spans="1:10">
      <c r="A1826" s="140" t="s">
        <v>415</v>
      </c>
      <c r="B1826" s="140" t="s">
        <v>237</v>
      </c>
      <c r="C1826" s="171">
        <v>45696</v>
      </c>
      <c r="D1826" s="172" t="s">
        <v>27</v>
      </c>
      <c r="E1826" s="140" t="s">
        <v>19</v>
      </c>
      <c r="F1826" s="140" t="s">
        <v>135</v>
      </c>
      <c r="G1826" s="140" t="s">
        <v>21</v>
      </c>
      <c r="H1826" s="140" t="s">
        <v>175</v>
      </c>
      <c r="I1826" s="140" t="s">
        <v>21</v>
      </c>
      <c r="J1826" s="174"/>
    </row>
    <row r="1827" hidden="1" customHeight="1" spans="1:10">
      <c r="A1827" s="140" t="s">
        <v>415</v>
      </c>
      <c r="B1827" s="140" t="s">
        <v>237</v>
      </c>
      <c r="C1827" s="171">
        <v>45697</v>
      </c>
      <c r="D1827" s="172" t="s">
        <v>15</v>
      </c>
      <c r="E1827" s="173" t="s">
        <v>13</v>
      </c>
      <c r="F1827" s="140" t="s">
        <v>14</v>
      </c>
      <c r="G1827" s="140" t="s">
        <v>14</v>
      </c>
      <c r="H1827" s="140" t="s">
        <v>14</v>
      </c>
      <c r="I1827" s="140" t="s">
        <v>14</v>
      </c>
      <c r="J1827" s="174"/>
    </row>
    <row r="1828" hidden="1" customHeight="1" spans="1:10">
      <c r="A1828" s="140" t="s">
        <v>415</v>
      </c>
      <c r="B1828" s="140" t="s">
        <v>237</v>
      </c>
      <c r="C1828" s="171">
        <v>45698</v>
      </c>
      <c r="D1828" s="172" t="s">
        <v>16</v>
      </c>
      <c r="E1828" s="140" t="s">
        <v>19</v>
      </c>
      <c r="F1828" s="140" t="s">
        <v>117</v>
      </c>
      <c r="G1828" s="140" t="s">
        <v>21</v>
      </c>
      <c r="H1828" s="140" t="s">
        <v>416</v>
      </c>
      <c r="I1828" s="140" t="s">
        <v>21</v>
      </c>
      <c r="J1828" s="174"/>
    </row>
    <row r="1829" hidden="1" customHeight="1" spans="1:10">
      <c r="A1829" s="140" t="s">
        <v>415</v>
      </c>
      <c r="B1829" s="140" t="s">
        <v>237</v>
      </c>
      <c r="C1829" s="171">
        <v>45699</v>
      </c>
      <c r="D1829" s="172" t="s">
        <v>17</v>
      </c>
      <c r="E1829" s="140" t="s">
        <v>19</v>
      </c>
      <c r="F1829" s="140" t="s">
        <v>188</v>
      </c>
      <c r="G1829" s="140" t="s">
        <v>21</v>
      </c>
      <c r="H1829" s="140" t="s">
        <v>170</v>
      </c>
      <c r="I1829" s="140" t="s">
        <v>21</v>
      </c>
      <c r="J1829" s="174"/>
    </row>
    <row r="1830" hidden="1" customHeight="1" spans="1:10">
      <c r="A1830" s="140" t="s">
        <v>415</v>
      </c>
      <c r="B1830" s="140" t="s">
        <v>237</v>
      </c>
      <c r="C1830" s="171">
        <v>45700</v>
      </c>
      <c r="D1830" s="172" t="s">
        <v>18</v>
      </c>
      <c r="E1830" s="140" t="s">
        <v>19</v>
      </c>
      <c r="F1830" s="140" t="s">
        <v>195</v>
      </c>
      <c r="G1830" s="140" t="s">
        <v>21</v>
      </c>
      <c r="H1830" s="140" t="s">
        <v>210</v>
      </c>
      <c r="I1830" s="140" t="s">
        <v>21</v>
      </c>
      <c r="J1830" s="174"/>
    </row>
    <row r="1831" hidden="1" customHeight="1" spans="1:10">
      <c r="A1831" s="140" t="s">
        <v>415</v>
      </c>
      <c r="B1831" s="140" t="s">
        <v>237</v>
      </c>
      <c r="C1831" s="171">
        <v>45701</v>
      </c>
      <c r="D1831" s="172" t="s">
        <v>23</v>
      </c>
      <c r="E1831" s="140" t="s">
        <v>19</v>
      </c>
      <c r="F1831" s="140" t="s">
        <v>108</v>
      </c>
      <c r="G1831" s="140" t="s">
        <v>21</v>
      </c>
      <c r="H1831" s="140" t="s">
        <v>45</v>
      </c>
      <c r="I1831" s="140" t="s">
        <v>21</v>
      </c>
      <c r="J1831" s="174"/>
    </row>
    <row r="1832" hidden="1" customHeight="1" spans="1:10">
      <c r="A1832" s="140" t="s">
        <v>415</v>
      </c>
      <c r="B1832" s="140" t="s">
        <v>237</v>
      </c>
      <c r="C1832" s="171">
        <v>45702</v>
      </c>
      <c r="D1832" s="172" t="s">
        <v>25</v>
      </c>
      <c r="E1832" s="140" t="s">
        <v>19</v>
      </c>
      <c r="F1832" s="140" t="s">
        <v>40</v>
      </c>
      <c r="G1832" s="140" t="s">
        <v>21</v>
      </c>
      <c r="H1832" s="140" t="s">
        <v>191</v>
      </c>
      <c r="I1832" s="140" t="s">
        <v>21</v>
      </c>
      <c r="J1832" s="174"/>
    </row>
    <row r="1833" hidden="1" customHeight="1" spans="1:10">
      <c r="A1833" s="140" t="s">
        <v>415</v>
      </c>
      <c r="B1833" s="140" t="s">
        <v>237</v>
      </c>
      <c r="C1833" s="171">
        <v>45703</v>
      </c>
      <c r="D1833" s="172" t="s">
        <v>27</v>
      </c>
      <c r="E1833" s="173" t="s">
        <v>13</v>
      </c>
      <c r="F1833" s="140" t="s">
        <v>14</v>
      </c>
      <c r="G1833" s="140" t="s">
        <v>14</v>
      </c>
      <c r="H1833" s="140" t="s">
        <v>14</v>
      </c>
      <c r="I1833" s="140" t="s">
        <v>14</v>
      </c>
      <c r="J1833" s="174"/>
    </row>
    <row r="1834" hidden="1" customHeight="1" spans="1:10">
      <c r="A1834" s="140" t="s">
        <v>415</v>
      </c>
      <c r="B1834" s="140" t="s">
        <v>237</v>
      </c>
      <c r="C1834" s="171">
        <v>45704</v>
      </c>
      <c r="D1834" s="172" t="s">
        <v>15</v>
      </c>
      <c r="E1834" s="173" t="s">
        <v>13</v>
      </c>
      <c r="F1834" s="140" t="s">
        <v>14</v>
      </c>
      <c r="G1834" s="140" t="s">
        <v>14</v>
      </c>
      <c r="H1834" s="140" t="s">
        <v>14</v>
      </c>
      <c r="I1834" s="140" t="s">
        <v>14</v>
      </c>
      <c r="J1834" s="174"/>
    </row>
    <row r="1835" hidden="1" customHeight="1" spans="1:10">
      <c r="A1835" s="140" t="s">
        <v>415</v>
      </c>
      <c r="B1835" s="140" t="s">
        <v>237</v>
      </c>
      <c r="C1835" s="171">
        <v>45705</v>
      </c>
      <c r="D1835" s="172" t="s">
        <v>16</v>
      </c>
      <c r="E1835" s="140" t="s">
        <v>19</v>
      </c>
      <c r="F1835" s="140" t="s">
        <v>94</v>
      </c>
      <c r="G1835" s="140" t="s">
        <v>21</v>
      </c>
      <c r="H1835" s="140" t="s">
        <v>172</v>
      </c>
      <c r="I1835" s="140" t="s">
        <v>21</v>
      </c>
      <c r="J1835" s="174"/>
    </row>
    <row r="1836" hidden="1" customHeight="1" spans="1:10">
      <c r="A1836" s="140" t="s">
        <v>415</v>
      </c>
      <c r="B1836" s="140" t="s">
        <v>237</v>
      </c>
      <c r="C1836" s="171">
        <v>45706</v>
      </c>
      <c r="D1836" s="172" t="s">
        <v>17</v>
      </c>
      <c r="E1836" s="140" t="s">
        <v>19</v>
      </c>
      <c r="F1836" s="140" t="s">
        <v>40</v>
      </c>
      <c r="G1836" s="140" t="s">
        <v>21</v>
      </c>
      <c r="H1836" s="140" t="s">
        <v>205</v>
      </c>
      <c r="I1836" s="140" t="s">
        <v>21</v>
      </c>
      <c r="J1836" s="174"/>
    </row>
    <row r="1837" hidden="1" customHeight="1" spans="1:10">
      <c r="A1837" s="140" t="s">
        <v>415</v>
      </c>
      <c r="B1837" s="140" t="s">
        <v>237</v>
      </c>
      <c r="C1837" s="171">
        <v>45707</v>
      </c>
      <c r="D1837" s="172" t="s">
        <v>18</v>
      </c>
      <c r="E1837" s="140" t="s">
        <v>19</v>
      </c>
      <c r="F1837" s="140" t="s">
        <v>108</v>
      </c>
      <c r="G1837" s="140" t="s">
        <v>21</v>
      </c>
      <c r="H1837" s="140" t="s">
        <v>417</v>
      </c>
      <c r="I1837" s="140" t="s">
        <v>21</v>
      </c>
      <c r="J1837" s="174"/>
    </row>
    <row r="1838" hidden="1" customHeight="1" spans="1:10">
      <c r="A1838" s="140" t="s">
        <v>415</v>
      </c>
      <c r="B1838" s="140" t="s">
        <v>237</v>
      </c>
      <c r="C1838" s="171">
        <v>45708</v>
      </c>
      <c r="D1838" s="172" t="s">
        <v>23</v>
      </c>
      <c r="E1838" s="140" t="s">
        <v>19</v>
      </c>
      <c r="F1838" s="140" t="s">
        <v>143</v>
      </c>
      <c r="G1838" s="140" t="s">
        <v>21</v>
      </c>
      <c r="H1838" s="140" t="s">
        <v>254</v>
      </c>
      <c r="I1838" s="140" t="s">
        <v>21</v>
      </c>
      <c r="J1838" s="174"/>
    </row>
    <row r="1839" hidden="1" customHeight="1" spans="1:10">
      <c r="A1839" s="140" t="s">
        <v>415</v>
      </c>
      <c r="B1839" s="140" t="s">
        <v>237</v>
      </c>
      <c r="C1839" s="171">
        <v>45709</v>
      </c>
      <c r="D1839" s="172" t="s">
        <v>25</v>
      </c>
      <c r="E1839" s="140" t="s">
        <v>19</v>
      </c>
      <c r="F1839" s="140" t="s">
        <v>107</v>
      </c>
      <c r="G1839" s="140" t="s">
        <v>21</v>
      </c>
      <c r="H1839" s="140" t="s">
        <v>210</v>
      </c>
      <c r="I1839" s="140" t="s">
        <v>21</v>
      </c>
      <c r="J1839" s="174"/>
    </row>
    <row r="1840" hidden="1" customHeight="1" spans="1:10">
      <c r="A1840" s="140" t="s">
        <v>415</v>
      </c>
      <c r="B1840" s="140" t="s">
        <v>237</v>
      </c>
      <c r="C1840" s="171">
        <v>45710</v>
      </c>
      <c r="D1840" s="172" t="s">
        <v>27</v>
      </c>
      <c r="E1840" s="173" t="s">
        <v>13</v>
      </c>
      <c r="F1840" s="140" t="s">
        <v>418</v>
      </c>
      <c r="G1840" s="140" t="s">
        <v>21</v>
      </c>
      <c r="H1840" s="140" t="s">
        <v>419</v>
      </c>
      <c r="I1840" s="140" t="s">
        <v>21</v>
      </c>
      <c r="J1840" s="174"/>
    </row>
    <row r="1841" hidden="1" customHeight="1" spans="1:10">
      <c r="A1841" s="140" t="s">
        <v>415</v>
      </c>
      <c r="B1841" s="140" t="s">
        <v>237</v>
      </c>
      <c r="C1841" s="171">
        <v>45711</v>
      </c>
      <c r="D1841" s="172" t="s">
        <v>15</v>
      </c>
      <c r="E1841" s="173" t="s">
        <v>13</v>
      </c>
      <c r="F1841" s="140" t="s">
        <v>14</v>
      </c>
      <c r="G1841" s="140" t="s">
        <v>14</v>
      </c>
      <c r="H1841" s="140" t="s">
        <v>14</v>
      </c>
      <c r="I1841" s="140" t="s">
        <v>14</v>
      </c>
      <c r="J1841" s="174"/>
    </row>
    <row r="1842" hidden="1" customHeight="1" spans="1:10">
      <c r="A1842" s="140" t="s">
        <v>415</v>
      </c>
      <c r="B1842" s="140" t="s">
        <v>237</v>
      </c>
      <c r="C1842" s="171">
        <v>45712</v>
      </c>
      <c r="D1842" s="172" t="s">
        <v>16</v>
      </c>
      <c r="E1842" s="140" t="s">
        <v>19</v>
      </c>
      <c r="F1842" s="140" t="s">
        <v>40</v>
      </c>
      <c r="G1842" s="140" t="s">
        <v>21</v>
      </c>
      <c r="H1842" s="140" t="s">
        <v>50</v>
      </c>
      <c r="I1842" s="140" t="s">
        <v>21</v>
      </c>
      <c r="J1842" s="174"/>
    </row>
    <row r="1843" hidden="1" customHeight="1" spans="1:10">
      <c r="A1843" s="140" t="s">
        <v>415</v>
      </c>
      <c r="B1843" s="140" t="s">
        <v>237</v>
      </c>
      <c r="C1843" s="171">
        <v>45713</v>
      </c>
      <c r="D1843" s="172" t="s">
        <v>17</v>
      </c>
      <c r="E1843" s="140" t="s">
        <v>19</v>
      </c>
      <c r="F1843" s="140" t="s">
        <v>146</v>
      </c>
      <c r="G1843" s="140" t="s">
        <v>21</v>
      </c>
      <c r="H1843" s="140" t="s">
        <v>212</v>
      </c>
      <c r="I1843" s="140" t="s">
        <v>21</v>
      </c>
      <c r="J1843" s="174"/>
    </row>
    <row r="1844" hidden="1" customHeight="1" spans="1:10">
      <c r="A1844" s="140" t="s">
        <v>415</v>
      </c>
      <c r="B1844" s="140" t="s">
        <v>237</v>
      </c>
      <c r="C1844" s="171">
        <v>45714</v>
      </c>
      <c r="D1844" s="172" t="s">
        <v>18</v>
      </c>
      <c r="E1844" s="140" t="s">
        <v>19</v>
      </c>
      <c r="F1844" s="140" t="s">
        <v>108</v>
      </c>
      <c r="G1844" s="140" t="s">
        <v>21</v>
      </c>
      <c r="H1844" s="140" t="s">
        <v>210</v>
      </c>
      <c r="I1844" s="140" t="s">
        <v>21</v>
      </c>
      <c r="J1844" s="174"/>
    </row>
    <row r="1845" hidden="1" customHeight="1" spans="1:10">
      <c r="A1845" s="140" t="s">
        <v>415</v>
      </c>
      <c r="B1845" s="140" t="s">
        <v>237</v>
      </c>
      <c r="C1845" s="171">
        <v>45715</v>
      </c>
      <c r="D1845" s="172" t="s">
        <v>23</v>
      </c>
      <c r="E1845" s="140" t="s">
        <v>19</v>
      </c>
      <c r="F1845" s="140" t="s">
        <v>117</v>
      </c>
      <c r="G1845" s="140" t="s">
        <v>21</v>
      </c>
      <c r="H1845" s="140" t="s">
        <v>73</v>
      </c>
      <c r="I1845" s="140" t="s">
        <v>21</v>
      </c>
      <c r="J1845" s="174"/>
    </row>
    <row r="1846" hidden="1" customHeight="1" spans="1:10">
      <c r="A1846" s="140" t="s">
        <v>415</v>
      </c>
      <c r="B1846" s="140" t="s">
        <v>237</v>
      </c>
      <c r="C1846" s="171">
        <v>45716</v>
      </c>
      <c r="D1846" s="172" t="s">
        <v>25</v>
      </c>
      <c r="E1846" s="140" t="s">
        <v>19</v>
      </c>
      <c r="F1846" s="140" t="s">
        <v>157</v>
      </c>
      <c r="G1846" s="140" t="s">
        <v>21</v>
      </c>
      <c r="H1846" s="140" t="s">
        <v>205</v>
      </c>
      <c r="I1846" s="140" t="s">
        <v>21</v>
      </c>
      <c r="J1846" s="174"/>
    </row>
    <row r="1847" hidden="1" customHeight="1" spans="1:10">
      <c r="A1847" s="140" t="s">
        <v>420</v>
      </c>
      <c r="B1847" s="140" t="s">
        <v>237</v>
      </c>
      <c r="C1847" s="171">
        <v>45689</v>
      </c>
      <c r="D1847" s="172" t="s">
        <v>12</v>
      </c>
      <c r="E1847" s="173" t="s">
        <v>13</v>
      </c>
      <c r="F1847" s="140" t="s">
        <v>14</v>
      </c>
      <c r="G1847" s="140" t="s">
        <v>14</v>
      </c>
      <c r="H1847" s="140" t="s">
        <v>14</v>
      </c>
      <c r="I1847" s="140" t="s">
        <v>14</v>
      </c>
      <c r="J1847" s="174"/>
    </row>
    <row r="1848" hidden="1" customHeight="1" spans="1:10">
      <c r="A1848" s="140" t="s">
        <v>420</v>
      </c>
      <c r="B1848" s="140" t="s">
        <v>237</v>
      </c>
      <c r="C1848" s="171">
        <v>45690</v>
      </c>
      <c r="D1848" s="172" t="s">
        <v>15</v>
      </c>
      <c r="E1848" s="173" t="s">
        <v>13</v>
      </c>
      <c r="F1848" s="140" t="s">
        <v>14</v>
      </c>
      <c r="G1848" s="140" t="s">
        <v>14</v>
      </c>
      <c r="H1848" s="140" t="s">
        <v>14</v>
      </c>
      <c r="I1848" s="140" t="s">
        <v>14</v>
      </c>
      <c r="J1848" s="174"/>
    </row>
    <row r="1849" hidden="1" customHeight="1" spans="1:10">
      <c r="A1849" s="140" t="s">
        <v>420</v>
      </c>
      <c r="B1849" s="140" t="s">
        <v>237</v>
      </c>
      <c r="C1849" s="171">
        <v>45691</v>
      </c>
      <c r="D1849" s="172" t="s">
        <v>16</v>
      </c>
      <c r="E1849" s="173" t="s">
        <v>13</v>
      </c>
      <c r="F1849" s="140" t="s">
        <v>14</v>
      </c>
      <c r="G1849" s="140" t="s">
        <v>14</v>
      </c>
      <c r="H1849" s="140" t="s">
        <v>14</v>
      </c>
      <c r="I1849" s="140" t="s">
        <v>14</v>
      </c>
      <c r="J1849" s="174"/>
    </row>
    <row r="1850" hidden="1" customHeight="1" spans="1:10">
      <c r="A1850" s="140" t="s">
        <v>420</v>
      </c>
      <c r="B1850" s="140" t="s">
        <v>237</v>
      </c>
      <c r="C1850" s="171">
        <v>45692</v>
      </c>
      <c r="D1850" s="172" t="s">
        <v>17</v>
      </c>
      <c r="E1850" s="173" t="s">
        <v>13</v>
      </c>
      <c r="F1850" s="140" t="s">
        <v>14</v>
      </c>
      <c r="G1850" s="140" t="s">
        <v>14</v>
      </c>
      <c r="H1850" s="140" t="s">
        <v>14</v>
      </c>
      <c r="I1850" s="140" t="s">
        <v>14</v>
      </c>
      <c r="J1850" s="174"/>
    </row>
    <row r="1851" hidden="1" customHeight="1" spans="1:10">
      <c r="A1851" s="140" t="s">
        <v>420</v>
      </c>
      <c r="B1851" s="140" t="s">
        <v>237</v>
      </c>
      <c r="C1851" s="171">
        <v>45693</v>
      </c>
      <c r="D1851" s="172" t="s">
        <v>18</v>
      </c>
      <c r="E1851" s="140" t="s">
        <v>19</v>
      </c>
      <c r="F1851" s="140" t="s">
        <v>51</v>
      </c>
      <c r="G1851" s="140" t="s">
        <v>21</v>
      </c>
      <c r="H1851" s="140" t="s">
        <v>213</v>
      </c>
      <c r="I1851" s="140" t="s">
        <v>21</v>
      </c>
      <c r="J1851" s="174"/>
    </row>
    <row r="1852" customHeight="1" spans="1:10">
      <c r="A1852" s="140" t="s">
        <v>420</v>
      </c>
      <c r="B1852" s="140" t="s">
        <v>237</v>
      </c>
      <c r="C1852" s="171">
        <v>45694</v>
      </c>
      <c r="D1852" s="172" t="s">
        <v>23</v>
      </c>
      <c r="E1852" s="140" t="s">
        <v>19</v>
      </c>
      <c r="F1852" s="140" t="s">
        <v>14</v>
      </c>
      <c r="G1852" s="176" t="s">
        <v>68</v>
      </c>
      <c r="H1852" s="140" t="s">
        <v>50</v>
      </c>
      <c r="I1852" s="140" t="s">
        <v>21</v>
      </c>
      <c r="J1852" s="174" t="s">
        <v>69</v>
      </c>
    </row>
    <row r="1853" hidden="1" customHeight="1" spans="1:10">
      <c r="A1853" s="140" t="s">
        <v>420</v>
      </c>
      <c r="B1853" s="140" t="s">
        <v>237</v>
      </c>
      <c r="C1853" s="171">
        <v>45695</v>
      </c>
      <c r="D1853" s="172" t="s">
        <v>25</v>
      </c>
      <c r="E1853" s="140" t="s">
        <v>19</v>
      </c>
      <c r="F1853" s="140" t="s">
        <v>20</v>
      </c>
      <c r="G1853" s="140" t="s">
        <v>21</v>
      </c>
      <c r="H1853" s="140" t="s">
        <v>213</v>
      </c>
      <c r="I1853" s="140" t="s">
        <v>21</v>
      </c>
      <c r="J1853" s="174"/>
    </row>
    <row r="1854" hidden="1" customHeight="1" spans="1:10">
      <c r="A1854" s="140" t="s">
        <v>420</v>
      </c>
      <c r="B1854" s="140" t="s">
        <v>237</v>
      </c>
      <c r="C1854" s="171">
        <v>45696</v>
      </c>
      <c r="D1854" s="172" t="s">
        <v>27</v>
      </c>
      <c r="E1854" s="140" t="s">
        <v>19</v>
      </c>
      <c r="F1854" s="140" t="s">
        <v>51</v>
      </c>
      <c r="G1854" s="140" t="s">
        <v>21</v>
      </c>
      <c r="H1854" s="140" t="s">
        <v>210</v>
      </c>
      <c r="I1854" s="140" t="s">
        <v>21</v>
      </c>
      <c r="J1854" s="174"/>
    </row>
    <row r="1855" hidden="1" customHeight="1" spans="1:10">
      <c r="A1855" s="140" t="s">
        <v>420</v>
      </c>
      <c r="B1855" s="140" t="s">
        <v>237</v>
      </c>
      <c r="C1855" s="171">
        <v>45697</v>
      </c>
      <c r="D1855" s="172" t="s">
        <v>15</v>
      </c>
      <c r="E1855" s="173" t="s">
        <v>13</v>
      </c>
      <c r="F1855" s="140" t="s">
        <v>14</v>
      </c>
      <c r="G1855" s="140" t="s">
        <v>14</v>
      </c>
      <c r="H1855" s="140" t="s">
        <v>14</v>
      </c>
      <c r="I1855" s="140" t="s">
        <v>14</v>
      </c>
      <c r="J1855" s="174"/>
    </row>
    <row r="1856" hidden="1" customHeight="1" spans="1:10">
      <c r="A1856" s="140" t="s">
        <v>420</v>
      </c>
      <c r="B1856" s="140" t="s">
        <v>237</v>
      </c>
      <c r="C1856" s="171">
        <v>45698</v>
      </c>
      <c r="D1856" s="172" t="s">
        <v>16</v>
      </c>
      <c r="E1856" s="140" t="s">
        <v>19</v>
      </c>
      <c r="F1856" s="140" t="s">
        <v>209</v>
      </c>
      <c r="G1856" s="140" t="s">
        <v>21</v>
      </c>
      <c r="H1856" s="140" t="s">
        <v>50</v>
      </c>
      <c r="I1856" s="140" t="s">
        <v>21</v>
      </c>
      <c r="J1856" s="174"/>
    </row>
    <row r="1857" hidden="1" customHeight="1" spans="1:10">
      <c r="A1857" s="140" t="s">
        <v>420</v>
      </c>
      <c r="B1857" s="140" t="s">
        <v>237</v>
      </c>
      <c r="C1857" s="171">
        <v>45699</v>
      </c>
      <c r="D1857" s="172" t="s">
        <v>17</v>
      </c>
      <c r="E1857" s="140" t="s">
        <v>19</v>
      </c>
      <c r="F1857" s="140" t="s">
        <v>209</v>
      </c>
      <c r="G1857" s="140" t="s">
        <v>21</v>
      </c>
      <c r="H1857" s="140" t="s">
        <v>340</v>
      </c>
      <c r="I1857" s="140" t="s">
        <v>21</v>
      </c>
      <c r="J1857" s="174"/>
    </row>
    <row r="1858" hidden="1" customHeight="1" spans="1:10">
      <c r="A1858" s="140" t="s">
        <v>420</v>
      </c>
      <c r="B1858" s="140" t="s">
        <v>237</v>
      </c>
      <c r="C1858" s="171">
        <v>45700</v>
      </c>
      <c r="D1858" s="172" t="s">
        <v>18</v>
      </c>
      <c r="E1858" s="140" t="s">
        <v>19</v>
      </c>
      <c r="F1858" s="140" t="s">
        <v>90</v>
      </c>
      <c r="G1858" s="140" t="s">
        <v>21</v>
      </c>
      <c r="H1858" s="140" t="s">
        <v>213</v>
      </c>
      <c r="I1858" s="140" t="s">
        <v>21</v>
      </c>
      <c r="J1858" s="174"/>
    </row>
    <row r="1859" customHeight="1" spans="1:10">
      <c r="A1859" s="140" t="s">
        <v>420</v>
      </c>
      <c r="B1859" s="140" t="s">
        <v>237</v>
      </c>
      <c r="C1859" s="171">
        <v>45701</v>
      </c>
      <c r="D1859" s="172" t="s">
        <v>23</v>
      </c>
      <c r="E1859" s="140" t="s">
        <v>19</v>
      </c>
      <c r="F1859" s="140" t="s">
        <v>14</v>
      </c>
      <c r="G1859" s="176" t="s">
        <v>68</v>
      </c>
      <c r="H1859" s="140" t="s">
        <v>41</v>
      </c>
      <c r="I1859" s="140" t="s">
        <v>21</v>
      </c>
      <c r="J1859" s="174" t="s">
        <v>69</v>
      </c>
    </row>
    <row r="1860" hidden="1" customHeight="1" spans="1:10">
      <c r="A1860" s="140" t="s">
        <v>420</v>
      </c>
      <c r="B1860" s="140" t="s">
        <v>237</v>
      </c>
      <c r="C1860" s="171">
        <v>45702</v>
      </c>
      <c r="D1860" s="172" t="s">
        <v>25</v>
      </c>
      <c r="E1860" s="140" t="s">
        <v>19</v>
      </c>
      <c r="F1860" s="140" t="s">
        <v>209</v>
      </c>
      <c r="G1860" s="140" t="s">
        <v>21</v>
      </c>
      <c r="H1860" s="140" t="s">
        <v>212</v>
      </c>
      <c r="I1860" s="140" t="s">
        <v>21</v>
      </c>
      <c r="J1860" s="174"/>
    </row>
    <row r="1861" hidden="1" customHeight="1" spans="1:10">
      <c r="A1861" s="140" t="s">
        <v>420</v>
      </c>
      <c r="B1861" s="140" t="s">
        <v>237</v>
      </c>
      <c r="C1861" s="171">
        <v>45703</v>
      </c>
      <c r="D1861" s="172" t="s">
        <v>27</v>
      </c>
      <c r="E1861" s="173" t="s">
        <v>13</v>
      </c>
      <c r="F1861" s="140" t="s">
        <v>14</v>
      </c>
      <c r="G1861" s="140" t="s">
        <v>14</v>
      </c>
      <c r="H1861" s="140" t="s">
        <v>14</v>
      </c>
      <c r="I1861" s="140" t="s">
        <v>14</v>
      </c>
      <c r="J1861" s="175"/>
    </row>
    <row r="1862" hidden="1" customHeight="1" spans="1:10">
      <c r="A1862" s="140" t="s">
        <v>420</v>
      </c>
      <c r="B1862" s="140" t="s">
        <v>237</v>
      </c>
      <c r="C1862" s="171">
        <v>45704</v>
      </c>
      <c r="D1862" s="172" t="s">
        <v>15</v>
      </c>
      <c r="E1862" s="173" t="s">
        <v>13</v>
      </c>
      <c r="F1862" s="140" t="s">
        <v>14</v>
      </c>
      <c r="G1862" s="140" t="s">
        <v>14</v>
      </c>
      <c r="H1862" s="140" t="s">
        <v>14</v>
      </c>
      <c r="I1862" s="140" t="s">
        <v>14</v>
      </c>
      <c r="J1862" s="174"/>
    </row>
    <row r="1863" customHeight="1" spans="1:10">
      <c r="A1863" s="140" t="s">
        <v>420</v>
      </c>
      <c r="B1863" s="140" t="s">
        <v>237</v>
      </c>
      <c r="C1863" s="171">
        <v>45705</v>
      </c>
      <c r="D1863" s="172" t="s">
        <v>16</v>
      </c>
      <c r="E1863" s="140" t="s">
        <v>19</v>
      </c>
      <c r="F1863" s="140" t="s">
        <v>267</v>
      </c>
      <c r="G1863" s="177" t="s">
        <v>103</v>
      </c>
      <c r="H1863" s="140" t="s">
        <v>421</v>
      </c>
      <c r="I1863" s="140" t="s">
        <v>21</v>
      </c>
      <c r="J1863" s="181" t="s">
        <v>164</v>
      </c>
    </row>
    <row r="1864" hidden="1" customHeight="1" spans="1:10">
      <c r="A1864" s="140" t="s">
        <v>420</v>
      </c>
      <c r="B1864" s="140" t="s">
        <v>237</v>
      </c>
      <c r="C1864" s="171">
        <v>45706</v>
      </c>
      <c r="D1864" s="172" t="s">
        <v>17</v>
      </c>
      <c r="E1864" s="140" t="s">
        <v>19</v>
      </c>
      <c r="F1864" s="140" t="s">
        <v>209</v>
      </c>
      <c r="G1864" s="140" t="s">
        <v>21</v>
      </c>
      <c r="H1864" s="140" t="s">
        <v>205</v>
      </c>
      <c r="I1864" s="140" t="s">
        <v>21</v>
      </c>
      <c r="J1864" s="174"/>
    </row>
    <row r="1865" hidden="1" customHeight="1" spans="1:10">
      <c r="A1865" s="140" t="s">
        <v>420</v>
      </c>
      <c r="B1865" s="140" t="s">
        <v>237</v>
      </c>
      <c r="C1865" s="171">
        <v>45707</v>
      </c>
      <c r="D1865" s="172" t="s">
        <v>18</v>
      </c>
      <c r="E1865" s="140" t="s">
        <v>19</v>
      </c>
      <c r="F1865" s="140" t="s">
        <v>90</v>
      </c>
      <c r="G1865" s="140" t="s">
        <v>21</v>
      </c>
      <c r="H1865" s="140" t="s">
        <v>89</v>
      </c>
      <c r="I1865" s="140" t="s">
        <v>21</v>
      </c>
      <c r="J1865" s="174"/>
    </row>
    <row r="1866" hidden="1" customHeight="1" spans="1:10">
      <c r="A1866" s="140" t="s">
        <v>420</v>
      </c>
      <c r="B1866" s="140" t="s">
        <v>237</v>
      </c>
      <c r="C1866" s="171">
        <v>45708</v>
      </c>
      <c r="D1866" s="172" t="s">
        <v>23</v>
      </c>
      <c r="E1866" s="140" t="s">
        <v>19</v>
      </c>
      <c r="F1866" s="140" t="s">
        <v>90</v>
      </c>
      <c r="G1866" s="140" t="s">
        <v>21</v>
      </c>
      <c r="H1866" s="140" t="s">
        <v>273</v>
      </c>
      <c r="I1866" s="140" t="s">
        <v>21</v>
      </c>
      <c r="J1866" s="174"/>
    </row>
    <row r="1867" customHeight="1" spans="1:10">
      <c r="A1867" s="140" t="s">
        <v>420</v>
      </c>
      <c r="B1867" s="140" t="s">
        <v>237</v>
      </c>
      <c r="C1867" s="171">
        <v>45709</v>
      </c>
      <c r="D1867" s="172" t="s">
        <v>25</v>
      </c>
      <c r="E1867" s="140" t="s">
        <v>19</v>
      </c>
      <c r="F1867" s="140" t="s">
        <v>14</v>
      </c>
      <c r="G1867" s="176" t="s">
        <v>68</v>
      </c>
      <c r="H1867" s="140" t="s">
        <v>342</v>
      </c>
      <c r="I1867" s="140" t="s">
        <v>21</v>
      </c>
      <c r="J1867" s="174" t="s">
        <v>69</v>
      </c>
    </row>
    <row r="1868" hidden="1" customHeight="1" spans="1:10">
      <c r="A1868" s="140" t="s">
        <v>420</v>
      </c>
      <c r="B1868" s="140" t="s">
        <v>237</v>
      </c>
      <c r="C1868" s="171">
        <v>45710</v>
      </c>
      <c r="D1868" s="172" t="s">
        <v>27</v>
      </c>
      <c r="E1868" s="173" t="s">
        <v>13</v>
      </c>
      <c r="F1868" s="140" t="s">
        <v>14</v>
      </c>
      <c r="G1868" s="140" t="s">
        <v>14</v>
      </c>
      <c r="H1868" s="140" t="s">
        <v>14</v>
      </c>
      <c r="I1868" s="140" t="s">
        <v>14</v>
      </c>
      <c r="J1868" s="174"/>
    </row>
    <row r="1869" hidden="1" customHeight="1" spans="1:10">
      <c r="A1869" s="140" t="s">
        <v>420</v>
      </c>
      <c r="B1869" s="140" t="s">
        <v>237</v>
      </c>
      <c r="C1869" s="171">
        <v>45711</v>
      </c>
      <c r="D1869" s="172" t="s">
        <v>15</v>
      </c>
      <c r="E1869" s="173" t="s">
        <v>13</v>
      </c>
      <c r="F1869" s="140" t="s">
        <v>14</v>
      </c>
      <c r="G1869" s="140" t="s">
        <v>14</v>
      </c>
      <c r="H1869" s="140" t="s">
        <v>14</v>
      </c>
      <c r="I1869" s="140" t="s">
        <v>14</v>
      </c>
      <c r="J1869" s="174"/>
    </row>
    <row r="1870" hidden="1" customHeight="1" spans="1:10">
      <c r="A1870" s="140" t="s">
        <v>420</v>
      </c>
      <c r="B1870" s="140" t="s">
        <v>237</v>
      </c>
      <c r="C1870" s="171">
        <v>45712</v>
      </c>
      <c r="D1870" s="172" t="s">
        <v>16</v>
      </c>
      <c r="E1870" s="140" t="s">
        <v>19</v>
      </c>
      <c r="F1870" s="140" t="s">
        <v>209</v>
      </c>
      <c r="G1870" s="140" t="s">
        <v>21</v>
      </c>
      <c r="H1870" s="140" t="s">
        <v>45</v>
      </c>
      <c r="I1870" s="140" t="s">
        <v>21</v>
      </c>
      <c r="J1870" s="174"/>
    </row>
    <row r="1871" hidden="1" customHeight="1" spans="1:10">
      <c r="A1871" s="140" t="s">
        <v>420</v>
      </c>
      <c r="B1871" s="140" t="s">
        <v>237</v>
      </c>
      <c r="C1871" s="171">
        <v>45713</v>
      </c>
      <c r="D1871" s="172" t="s">
        <v>17</v>
      </c>
      <c r="E1871" s="140" t="s">
        <v>19</v>
      </c>
      <c r="F1871" s="140" t="s">
        <v>209</v>
      </c>
      <c r="G1871" s="140" t="s">
        <v>21</v>
      </c>
      <c r="H1871" s="140" t="s">
        <v>213</v>
      </c>
      <c r="I1871" s="140" t="s">
        <v>21</v>
      </c>
      <c r="J1871" s="174"/>
    </row>
    <row r="1872" hidden="1" customHeight="1" spans="1:10">
      <c r="A1872" s="140" t="s">
        <v>420</v>
      </c>
      <c r="B1872" s="140" t="s">
        <v>237</v>
      </c>
      <c r="C1872" s="171">
        <v>45714</v>
      </c>
      <c r="D1872" s="172" t="s">
        <v>18</v>
      </c>
      <c r="E1872" s="140" t="s">
        <v>19</v>
      </c>
      <c r="F1872" s="140" t="s">
        <v>90</v>
      </c>
      <c r="G1872" s="140" t="s">
        <v>21</v>
      </c>
      <c r="H1872" s="140" t="s">
        <v>175</v>
      </c>
      <c r="I1872" s="140" t="s">
        <v>21</v>
      </c>
      <c r="J1872" s="174"/>
    </row>
    <row r="1873" hidden="1" customHeight="1" spans="1:10">
      <c r="A1873" s="140" t="s">
        <v>420</v>
      </c>
      <c r="B1873" s="140" t="s">
        <v>237</v>
      </c>
      <c r="C1873" s="171">
        <v>45715</v>
      </c>
      <c r="D1873" s="172" t="s">
        <v>23</v>
      </c>
      <c r="E1873" s="140" t="s">
        <v>19</v>
      </c>
      <c r="F1873" s="140" t="s">
        <v>209</v>
      </c>
      <c r="G1873" s="140" t="s">
        <v>21</v>
      </c>
      <c r="H1873" s="140" t="s">
        <v>422</v>
      </c>
      <c r="I1873" s="140" t="s">
        <v>21</v>
      </c>
      <c r="J1873" s="174"/>
    </row>
    <row r="1874" hidden="1" customHeight="1" spans="1:10">
      <c r="A1874" s="140" t="s">
        <v>420</v>
      </c>
      <c r="B1874" s="140" t="s">
        <v>237</v>
      </c>
      <c r="C1874" s="171">
        <v>45716</v>
      </c>
      <c r="D1874" s="172" t="s">
        <v>25</v>
      </c>
      <c r="E1874" s="140" t="s">
        <v>19</v>
      </c>
      <c r="F1874" s="140" t="s">
        <v>209</v>
      </c>
      <c r="G1874" s="140" t="s">
        <v>21</v>
      </c>
      <c r="H1874" s="140" t="s">
        <v>42</v>
      </c>
      <c r="I1874" s="140" t="s">
        <v>21</v>
      </c>
      <c r="J1874" s="175"/>
    </row>
    <row r="1875" hidden="1" customHeight="1" spans="1:10">
      <c r="A1875" s="140" t="s">
        <v>423</v>
      </c>
      <c r="B1875" s="140" t="s">
        <v>424</v>
      </c>
      <c r="C1875" s="171">
        <v>45689</v>
      </c>
      <c r="D1875" s="172" t="s">
        <v>12</v>
      </c>
      <c r="E1875" s="173" t="s">
        <v>13</v>
      </c>
      <c r="F1875" s="140" t="s">
        <v>14</v>
      </c>
      <c r="G1875" s="140" t="s">
        <v>14</v>
      </c>
      <c r="H1875" s="140" t="s">
        <v>14</v>
      </c>
      <c r="I1875" s="140" t="s">
        <v>14</v>
      </c>
      <c r="J1875" s="174"/>
    </row>
    <row r="1876" hidden="1" customHeight="1" spans="1:10">
      <c r="A1876" s="140" t="s">
        <v>423</v>
      </c>
      <c r="B1876" s="140" t="s">
        <v>424</v>
      </c>
      <c r="C1876" s="171">
        <v>45690</v>
      </c>
      <c r="D1876" s="172" t="s">
        <v>15</v>
      </c>
      <c r="E1876" s="173" t="s">
        <v>13</v>
      </c>
      <c r="F1876" s="140" t="s">
        <v>14</v>
      </c>
      <c r="G1876" s="140" t="s">
        <v>14</v>
      </c>
      <c r="H1876" s="140" t="s">
        <v>14</v>
      </c>
      <c r="I1876" s="140" t="s">
        <v>14</v>
      </c>
      <c r="J1876" s="174"/>
    </row>
    <row r="1877" hidden="1" customHeight="1" spans="1:10">
      <c r="A1877" s="140" t="s">
        <v>423</v>
      </c>
      <c r="B1877" s="140" t="s">
        <v>424</v>
      </c>
      <c r="C1877" s="171">
        <v>45691</v>
      </c>
      <c r="D1877" s="172" t="s">
        <v>16</v>
      </c>
      <c r="E1877" s="173" t="s">
        <v>13</v>
      </c>
      <c r="F1877" s="140" t="s">
        <v>14</v>
      </c>
      <c r="G1877" s="140" t="s">
        <v>14</v>
      </c>
      <c r="H1877" s="140" t="s">
        <v>14</v>
      </c>
      <c r="I1877" s="140" t="s">
        <v>14</v>
      </c>
      <c r="J1877" s="174"/>
    </row>
    <row r="1878" hidden="1" customHeight="1" spans="1:10">
      <c r="A1878" s="140" t="s">
        <v>423</v>
      </c>
      <c r="B1878" s="140" t="s">
        <v>424</v>
      </c>
      <c r="C1878" s="171">
        <v>45692</v>
      </c>
      <c r="D1878" s="172" t="s">
        <v>17</v>
      </c>
      <c r="E1878" s="173" t="s">
        <v>13</v>
      </c>
      <c r="F1878" s="140" t="s">
        <v>14</v>
      </c>
      <c r="G1878" s="140" t="s">
        <v>14</v>
      </c>
      <c r="H1878" s="140" t="s">
        <v>14</v>
      </c>
      <c r="I1878" s="140" t="s">
        <v>14</v>
      </c>
      <c r="J1878" s="174"/>
    </row>
    <row r="1879" hidden="1" customHeight="1" spans="1:10">
      <c r="A1879" s="140" t="s">
        <v>423</v>
      </c>
      <c r="B1879" s="140" t="s">
        <v>424</v>
      </c>
      <c r="C1879" s="171">
        <v>45693</v>
      </c>
      <c r="D1879" s="172" t="s">
        <v>18</v>
      </c>
      <c r="E1879" s="140" t="s">
        <v>19</v>
      </c>
      <c r="F1879" s="140" t="s">
        <v>117</v>
      </c>
      <c r="G1879" s="140" t="s">
        <v>21</v>
      </c>
      <c r="H1879" s="140" t="s">
        <v>191</v>
      </c>
      <c r="I1879" s="140" t="s">
        <v>21</v>
      </c>
      <c r="J1879" s="175"/>
    </row>
    <row r="1880" hidden="1" customHeight="1" spans="1:10">
      <c r="A1880" s="140" t="s">
        <v>423</v>
      </c>
      <c r="B1880" s="140" t="s">
        <v>424</v>
      </c>
      <c r="C1880" s="171">
        <v>45694</v>
      </c>
      <c r="D1880" s="172" t="s">
        <v>23</v>
      </c>
      <c r="E1880" s="140" t="s">
        <v>19</v>
      </c>
      <c r="F1880" s="140" t="s">
        <v>43</v>
      </c>
      <c r="G1880" s="140" t="s">
        <v>21</v>
      </c>
      <c r="H1880" s="140" t="s">
        <v>283</v>
      </c>
      <c r="I1880" s="140" t="s">
        <v>21</v>
      </c>
      <c r="J1880" s="174"/>
    </row>
    <row r="1881" hidden="1" customHeight="1" spans="1:10">
      <c r="A1881" s="140" t="s">
        <v>423</v>
      </c>
      <c r="B1881" s="140" t="s">
        <v>424</v>
      </c>
      <c r="C1881" s="171">
        <v>45695</v>
      </c>
      <c r="D1881" s="172" t="s">
        <v>25</v>
      </c>
      <c r="E1881" s="140" t="s">
        <v>19</v>
      </c>
      <c r="F1881" s="140" t="s">
        <v>51</v>
      </c>
      <c r="G1881" s="140" t="s">
        <v>21</v>
      </c>
      <c r="H1881" s="140" t="s">
        <v>389</v>
      </c>
      <c r="I1881" s="140" t="s">
        <v>21</v>
      </c>
      <c r="J1881" s="174"/>
    </row>
    <row r="1882" customHeight="1" spans="1:10">
      <c r="A1882" s="140" t="s">
        <v>423</v>
      </c>
      <c r="B1882" s="140" t="s">
        <v>424</v>
      </c>
      <c r="C1882" s="171">
        <v>45696</v>
      </c>
      <c r="D1882" s="172" t="s">
        <v>27</v>
      </c>
      <c r="E1882" s="140" t="s">
        <v>19</v>
      </c>
      <c r="F1882" s="140" t="s">
        <v>14</v>
      </c>
      <c r="G1882" s="176" t="s">
        <v>68</v>
      </c>
      <c r="H1882" s="140" t="s">
        <v>14</v>
      </c>
      <c r="I1882" s="176" t="s">
        <v>68</v>
      </c>
      <c r="J1882" s="174" t="s">
        <v>234</v>
      </c>
    </row>
    <row r="1883" hidden="1" customHeight="1" spans="1:10">
      <c r="A1883" s="140" t="s">
        <v>423</v>
      </c>
      <c r="B1883" s="140" t="s">
        <v>424</v>
      </c>
      <c r="C1883" s="171">
        <v>45697</v>
      </c>
      <c r="D1883" s="172" t="s">
        <v>15</v>
      </c>
      <c r="E1883" s="173" t="s">
        <v>13</v>
      </c>
      <c r="F1883" s="140" t="s">
        <v>425</v>
      </c>
      <c r="G1883" s="140" t="s">
        <v>21</v>
      </c>
      <c r="H1883" s="140" t="s">
        <v>426</v>
      </c>
      <c r="I1883" s="140" t="s">
        <v>21</v>
      </c>
      <c r="J1883" s="174"/>
    </row>
    <row r="1884" hidden="1" customHeight="1" spans="1:10">
      <c r="A1884" s="140" t="s">
        <v>423</v>
      </c>
      <c r="B1884" s="140" t="s">
        <v>424</v>
      </c>
      <c r="C1884" s="171">
        <v>45698</v>
      </c>
      <c r="D1884" s="172" t="s">
        <v>16</v>
      </c>
      <c r="E1884" s="140" t="s">
        <v>19</v>
      </c>
      <c r="F1884" s="140" t="s">
        <v>20</v>
      </c>
      <c r="G1884" s="140" t="s">
        <v>21</v>
      </c>
      <c r="H1884" s="140" t="s">
        <v>45</v>
      </c>
      <c r="I1884" s="140" t="s">
        <v>21</v>
      </c>
      <c r="J1884" s="174"/>
    </row>
    <row r="1885" hidden="1" customHeight="1" spans="1:10">
      <c r="A1885" s="140" t="s">
        <v>423</v>
      </c>
      <c r="B1885" s="140" t="s">
        <v>424</v>
      </c>
      <c r="C1885" s="171">
        <v>45699</v>
      </c>
      <c r="D1885" s="172" t="s">
        <v>17</v>
      </c>
      <c r="E1885" s="140" t="s">
        <v>19</v>
      </c>
      <c r="F1885" s="140" t="s">
        <v>20</v>
      </c>
      <c r="G1885" s="140" t="s">
        <v>21</v>
      </c>
      <c r="H1885" s="140" t="s">
        <v>347</v>
      </c>
      <c r="I1885" s="140" t="s">
        <v>21</v>
      </c>
      <c r="J1885" s="174"/>
    </row>
    <row r="1886" customHeight="1" spans="1:10">
      <c r="A1886" s="140" t="s">
        <v>423</v>
      </c>
      <c r="B1886" s="140" t="s">
        <v>424</v>
      </c>
      <c r="C1886" s="171">
        <v>45700</v>
      </c>
      <c r="D1886" s="172" t="s">
        <v>18</v>
      </c>
      <c r="E1886" s="140" t="s">
        <v>19</v>
      </c>
      <c r="F1886" s="140" t="s">
        <v>14</v>
      </c>
      <c r="G1886" s="176" t="s">
        <v>68</v>
      </c>
      <c r="H1886" s="140" t="s">
        <v>170</v>
      </c>
      <c r="I1886" s="140" t="s">
        <v>21</v>
      </c>
      <c r="J1886" s="174" t="s">
        <v>69</v>
      </c>
    </row>
    <row r="1887" customHeight="1" spans="1:10">
      <c r="A1887" s="140" t="s">
        <v>423</v>
      </c>
      <c r="B1887" s="140" t="s">
        <v>424</v>
      </c>
      <c r="C1887" s="171">
        <v>45701</v>
      </c>
      <c r="D1887" s="172" t="s">
        <v>23</v>
      </c>
      <c r="E1887" s="140" t="s">
        <v>19</v>
      </c>
      <c r="F1887" s="140" t="s">
        <v>14</v>
      </c>
      <c r="G1887" s="176" t="s">
        <v>68</v>
      </c>
      <c r="H1887" s="140" t="s">
        <v>116</v>
      </c>
      <c r="I1887" s="140" t="s">
        <v>21</v>
      </c>
      <c r="J1887" s="174" t="s">
        <v>69</v>
      </c>
    </row>
    <row r="1888" hidden="1" customHeight="1" spans="1:10">
      <c r="A1888" s="140" t="s">
        <v>423</v>
      </c>
      <c r="B1888" s="140" t="s">
        <v>424</v>
      </c>
      <c r="C1888" s="171">
        <v>45702</v>
      </c>
      <c r="D1888" s="172" t="s">
        <v>25</v>
      </c>
      <c r="E1888" s="140" t="s">
        <v>19</v>
      </c>
      <c r="F1888" s="140" t="s">
        <v>90</v>
      </c>
      <c r="G1888" s="140" t="s">
        <v>21</v>
      </c>
      <c r="H1888" s="140" t="s">
        <v>178</v>
      </c>
      <c r="I1888" s="140" t="s">
        <v>21</v>
      </c>
      <c r="J1888" s="174"/>
    </row>
    <row r="1889" hidden="1" customHeight="1" spans="1:10">
      <c r="A1889" s="140" t="s">
        <v>423</v>
      </c>
      <c r="B1889" s="140" t="s">
        <v>424</v>
      </c>
      <c r="C1889" s="171">
        <v>45703</v>
      </c>
      <c r="D1889" s="172" t="s">
        <v>27</v>
      </c>
      <c r="E1889" s="173" t="s">
        <v>13</v>
      </c>
      <c r="F1889" s="140" t="s">
        <v>14</v>
      </c>
      <c r="G1889" s="140" t="s">
        <v>14</v>
      </c>
      <c r="H1889" s="140" t="s">
        <v>14</v>
      </c>
      <c r="I1889" s="140" t="s">
        <v>14</v>
      </c>
      <c r="J1889" s="174"/>
    </row>
    <row r="1890" hidden="1" customHeight="1" spans="1:10">
      <c r="A1890" s="140" t="s">
        <v>423</v>
      </c>
      <c r="B1890" s="140" t="s">
        <v>424</v>
      </c>
      <c r="C1890" s="171">
        <v>45704</v>
      </c>
      <c r="D1890" s="172" t="s">
        <v>15</v>
      </c>
      <c r="E1890" s="173" t="s">
        <v>13</v>
      </c>
      <c r="F1890" s="140" t="s">
        <v>14</v>
      </c>
      <c r="G1890" s="140" t="s">
        <v>14</v>
      </c>
      <c r="H1890" s="140" t="s">
        <v>14</v>
      </c>
      <c r="I1890" s="140" t="s">
        <v>14</v>
      </c>
      <c r="J1890" s="174"/>
    </row>
    <row r="1891" hidden="1" customHeight="1" spans="1:10">
      <c r="A1891" s="140" t="s">
        <v>423</v>
      </c>
      <c r="B1891" s="140" t="s">
        <v>424</v>
      </c>
      <c r="C1891" s="171">
        <v>45705</v>
      </c>
      <c r="D1891" s="172" t="s">
        <v>16</v>
      </c>
      <c r="E1891" s="140" t="s">
        <v>19</v>
      </c>
      <c r="F1891" s="140" t="s">
        <v>43</v>
      </c>
      <c r="G1891" s="140" t="s">
        <v>21</v>
      </c>
      <c r="H1891" s="140" t="s">
        <v>116</v>
      </c>
      <c r="I1891" s="140" t="s">
        <v>21</v>
      </c>
      <c r="J1891" s="174"/>
    </row>
    <row r="1892" hidden="1" customHeight="1" spans="1:10">
      <c r="A1892" s="140" t="s">
        <v>423</v>
      </c>
      <c r="B1892" s="140" t="s">
        <v>424</v>
      </c>
      <c r="C1892" s="171">
        <v>45706</v>
      </c>
      <c r="D1892" s="172" t="s">
        <v>17</v>
      </c>
      <c r="E1892" s="140" t="s">
        <v>19</v>
      </c>
      <c r="F1892" s="140" t="s">
        <v>90</v>
      </c>
      <c r="G1892" s="140" t="s">
        <v>21</v>
      </c>
      <c r="H1892" s="140" t="s">
        <v>142</v>
      </c>
      <c r="I1892" s="140" t="s">
        <v>21</v>
      </c>
      <c r="J1892" s="174"/>
    </row>
    <row r="1893" hidden="1" customHeight="1" spans="1:10">
      <c r="A1893" s="140" t="s">
        <v>423</v>
      </c>
      <c r="B1893" s="140" t="s">
        <v>424</v>
      </c>
      <c r="C1893" s="171">
        <v>45707</v>
      </c>
      <c r="D1893" s="172" t="s">
        <v>18</v>
      </c>
      <c r="E1893" s="140" t="s">
        <v>19</v>
      </c>
      <c r="F1893" s="140" t="s">
        <v>20</v>
      </c>
      <c r="G1893" s="140" t="s">
        <v>21</v>
      </c>
      <c r="H1893" s="140" t="s">
        <v>205</v>
      </c>
      <c r="I1893" s="140" t="s">
        <v>21</v>
      </c>
      <c r="J1893" s="174"/>
    </row>
    <row r="1894" hidden="1" customHeight="1" spans="1:10">
      <c r="A1894" s="140" t="s">
        <v>423</v>
      </c>
      <c r="B1894" s="140" t="s">
        <v>424</v>
      </c>
      <c r="C1894" s="171">
        <v>45708</v>
      </c>
      <c r="D1894" s="172" t="s">
        <v>23</v>
      </c>
      <c r="E1894" s="140" t="s">
        <v>19</v>
      </c>
      <c r="F1894" s="140" t="s">
        <v>43</v>
      </c>
      <c r="G1894" s="140" t="s">
        <v>21</v>
      </c>
      <c r="H1894" s="140" t="s">
        <v>54</v>
      </c>
      <c r="I1894" s="140" t="s">
        <v>21</v>
      </c>
      <c r="J1894" s="174"/>
    </row>
    <row r="1895" hidden="1" customHeight="1" spans="1:10">
      <c r="A1895" s="140" t="s">
        <v>423</v>
      </c>
      <c r="B1895" s="140" t="s">
        <v>424</v>
      </c>
      <c r="C1895" s="171">
        <v>45709</v>
      </c>
      <c r="D1895" s="172" t="s">
        <v>25</v>
      </c>
      <c r="E1895" s="140" t="s">
        <v>19</v>
      </c>
      <c r="F1895" s="140" t="s">
        <v>43</v>
      </c>
      <c r="G1895" s="140" t="s">
        <v>21</v>
      </c>
      <c r="H1895" s="140" t="s">
        <v>344</v>
      </c>
      <c r="I1895" s="140" t="s">
        <v>21</v>
      </c>
      <c r="J1895" s="174"/>
    </row>
    <row r="1896" hidden="1" customHeight="1" spans="1:10">
      <c r="A1896" s="140" t="s">
        <v>423</v>
      </c>
      <c r="B1896" s="140" t="s">
        <v>424</v>
      </c>
      <c r="C1896" s="171">
        <v>45710</v>
      </c>
      <c r="D1896" s="172" t="s">
        <v>27</v>
      </c>
      <c r="E1896" s="173" t="s">
        <v>13</v>
      </c>
      <c r="F1896" s="140" t="s">
        <v>14</v>
      </c>
      <c r="G1896" s="140" t="s">
        <v>14</v>
      </c>
      <c r="H1896" s="140" t="s">
        <v>14</v>
      </c>
      <c r="I1896" s="140" t="s">
        <v>14</v>
      </c>
      <c r="J1896" s="174"/>
    </row>
    <row r="1897" hidden="1" customHeight="1" spans="1:10">
      <c r="A1897" s="140" t="s">
        <v>423</v>
      </c>
      <c r="B1897" s="140" t="s">
        <v>424</v>
      </c>
      <c r="C1897" s="171">
        <v>45711</v>
      </c>
      <c r="D1897" s="172" t="s">
        <v>15</v>
      </c>
      <c r="E1897" s="173" t="s">
        <v>13</v>
      </c>
      <c r="F1897" s="140" t="s">
        <v>14</v>
      </c>
      <c r="G1897" s="140" t="s">
        <v>14</v>
      </c>
      <c r="H1897" s="140" t="s">
        <v>14</v>
      </c>
      <c r="I1897" s="140" t="s">
        <v>14</v>
      </c>
      <c r="J1897" s="174"/>
    </row>
    <row r="1898" customHeight="1" spans="1:10">
      <c r="A1898" s="140" t="s">
        <v>423</v>
      </c>
      <c r="B1898" s="140" t="s">
        <v>424</v>
      </c>
      <c r="C1898" s="171">
        <v>45712</v>
      </c>
      <c r="D1898" s="172" t="s">
        <v>16</v>
      </c>
      <c r="E1898" s="140" t="s">
        <v>19</v>
      </c>
      <c r="F1898" s="140" t="s">
        <v>14</v>
      </c>
      <c r="G1898" s="176" t="s">
        <v>68</v>
      </c>
      <c r="H1898" s="140" t="s">
        <v>118</v>
      </c>
      <c r="I1898" s="140" t="s">
        <v>21</v>
      </c>
      <c r="J1898" s="174" t="s">
        <v>69</v>
      </c>
    </row>
    <row r="1899" hidden="1" customHeight="1" spans="1:10">
      <c r="A1899" s="140" t="s">
        <v>423</v>
      </c>
      <c r="B1899" s="140" t="s">
        <v>424</v>
      </c>
      <c r="C1899" s="171">
        <v>45713</v>
      </c>
      <c r="D1899" s="172" t="s">
        <v>17</v>
      </c>
      <c r="E1899" s="140" t="s">
        <v>19</v>
      </c>
      <c r="F1899" s="140" t="s">
        <v>209</v>
      </c>
      <c r="G1899" s="140" t="s">
        <v>21</v>
      </c>
      <c r="H1899" s="140" t="s">
        <v>213</v>
      </c>
      <c r="I1899" s="140" t="s">
        <v>21</v>
      </c>
      <c r="J1899" s="174"/>
    </row>
    <row r="1900" customHeight="1" spans="1:10">
      <c r="A1900" s="140" t="s">
        <v>423</v>
      </c>
      <c r="B1900" s="140" t="s">
        <v>424</v>
      </c>
      <c r="C1900" s="171">
        <v>45714</v>
      </c>
      <c r="D1900" s="172" t="s">
        <v>18</v>
      </c>
      <c r="E1900" s="140" t="s">
        <v>19</v>
      </c>
      <c r="F1900" s="140" t="s">
        <v>267</v>
      </c>
      <c r="G1900" s="177" t="s">
        <v>103</v>
      </c>
      <c r="H1900" s="140" t="s">
        <v>333</v>
      </c>
      <c r="I1900" s="140" t="s">
        <v>21</v>
      </c>
      <c r="J1900" s="174" t="s">
        <v>164</v>
      </c>
    </row>
    <row r="1901" hidden="1" customHeight="1" spans="1:10">
      <c r="A1901" s="140" t="s">
        <v>423</v>
      </c>
      <c r="B1901" s="140" t="s">
        <v>424</v>
      </c>
      <c r="C1901" s="171">
        <v>45715</v>
      </c>
      <c r="D1901" s="172" t="s">
        <v>23</v>
      </c>
      <c r="E1901" s="140" t="s">
        <v>19</v>
      </c>
      <c r="F1901" s="140" t="s">
        <v>20</v>
      </c>
      <c r="G1901" s="140" t="s">
        <v>21</v>
      </c>
      <c r="H1901" s="140" t="s">
        <v>78</v>
      </c>
      <c r="I1901" s="140" t="s">
        <v>21</v>
      </c>
      <c r="J1901" s="174"/>
    </row>
    <row r="1902" hidden="1" customHeight="1" spans="1:10">
      <c r="A1902" s="140" t="s">
        <v>423</v>
      </c>
      <c r="B1902" s="140" t="s">
        <v>424</v>
      </c>
      <c r="C1902" s="171">
        <v>45716</v>
      </c>
      <c r="D1902" s="172" t="s">
        <v>25</v>
      </c>
      <c r="E1902" s="140" t="s">
        <v>19</v>
      </c>
      <c r="F1902" s="140" t="s">
        <v>209</v>
      </c>
      <c r="G1902" s="140" t="s">
        <v>21</v>
      </c>
      <c r="H1902" s="140" t="s">
        <v>427</v>
      </c>
      <c r="I1902" s="140" t="s">
        <v>21</v>
      </c>
      <c r="J1902" s="174"/>
    </row>
    <row r="1903" hidden="1" customHeight="1" spans="1:10">
      <c r="A1903" s="140" t="s">
        <v>428</v>
      </c>
      <c r="B1903" s="140" t="s">
        <v>429</v>
      </c>
      <c r="C1903" s="171">
        <v>45689</v>
      </c>
      <c r="D1903" s="172" t="s">
        <v>12</v>
      </c>
      <c r="E1903" s="173" t="s">
        <v>13</v>
      </c>
      <c r="F1903" s="140" t="s">
        <v>14</v>
      </c>
      <c r="G1903" s="140" t="s">
        <v>14</v>
      </c>
      <c r="H1903" s="140" t="s">
        <v>14</v>
      </c>
      <c r="I1903" s="140" t="s">
        <v>14</v>
      </c>
      <c r="J1903" s="174"/>
    </row>
    <row r="1904" hidden="1" customHeight="1" spans="1:10">
      <c r="A1904" s="140" t="s">
        <v>428</v>
      </c>
      <c r="B1904" s="140" t="s">
        <v>429</v>
      </c>
      <c r="C1904" s="171">
        <v>45690</v>
      </c>
      <c r="D1904" s="172" t="s">
        <v>15</v>
      </c>
      <c r="E1904" s="173" t="s">
        <v>13</v>
      </c>
      <c r="F1904" s="140" t="s">
        <v>14</v>
      </c>
      <c r="G1904" s="140" t="s">
        <v>14</v>
      </c>
      <c r="H1904" s="140" t="s">
        <v>14</v>
      </c>
      <c r="I1904" s="140" t="s">
        <v>14</v>
      </c>
      <c r="J1904" s="174"/>
    </row>
    <row r="1905" hidden="1" customHeight="1" spans="1:10">
      <c r="A1905" s="140" t="s">
        <v>428</v>
      </c>
      <c r="B1905" s="140" t="s">
        <v>429</v>
      </c>
      <c r="C1905" s="171">
        <v>45691</v>
      </c>
      <c r="D1905" s="172" t="s">
        <v>16</v>
      </c>
      <c r="E1905" s="173" t="s">
        <v>13</v>
      </c>
      <c r="F1905" s="140" t="s">
        <v>14</v>
      </c>
      <c r="G1905" s="140" t="s">
        <v>14</v>
      </c>
      <c r="H1905" s="140" t="s">
        <v>14</v>
      </c>
      <c r="I1905" s="140" t="s">
        <v>14</v>
      </c>
      <c r="J1905" s="174"/>
    </row>
    <row r="1906" hidden="1" customHeight="1" spans="1:10">
      <c r="A1906" s="140" t="s">
        <v>428</v>
      </c>
      <c r="B1906" s="140" t="s">
        <v>429</v>
      </c>
      <c r="C1906" s="171">
        <v>45692</v>
      </c>
      <c r="D1906" s="172" t="s">
        <v>17</v>
      </c>
      <c r="E1906" s="173" t="s">
        <v>13</v>
      </c>
      <c r="F1906" s="140" t="s">
        <v>14</v>
      </c>
      <c r="G1906" s="140" t="s">
        <v>14</v>
      </c>
      <c r="H1906" s="140" t="s">
        <v>14</v>
      </c>
      <c r="I1906" s="140" t="s">
        <v>14</v>
      </c>
      <c r="J1906" s="174"/>
    </row>
    <row r="1907" hidden="1" customHeight="1" spans="1:10">
      <c r="A1907" s="140" t="s">
        <v>428</v>
      </c>
      <c r="B1907" s="140" t="s">
        <v>429</v>
      </c>
      <c r="C1907" s="171">
        <v>45693</v>
      </c>
      <c r="D1907" s="172" t="s">
        <v>18</v>
      </c>
      <c r="E1907" s="140" t="s">
        <v>19</v>
      </c>
      <c r="F1907" s="140" t="s">
        <v>30</v>
      </c>
      <c r="G1907" s="140" t="s">
        <v>21</v>
      </c>
      <c r="H1907" s="140" t="s">
        <v>52</v>
      </c>
      <c r="I1907" s="140" t="s">
        <v>21</v>
      </c>
      <c r="J1907" s="174"/>
    </row>
    <row r="1908" customHeight="1" spans="1:10">
      <c r="A1908" s="140" t="s">
        <v>428</v>
      </c>
      <c r="B1908" s="140" t="s">
        <v>429</v>
      </c>
      <c r="C1908" s="171">
        <v>45694</v>
      </c>
      <c r="D1908" s="172" t="s">
        <v>23</v>
      </c>
      <c r="E1908" s="140" t="s">
        <v>19</v>
      </c>
      <c r="F1908" s="140" t="s">
        <v>14</v>
      </c>
      <c r="G1908" s="176" t="s">
        <v>68</v>
      </c>
      <c r="H1908" s="140" t="s">
        <v>116</v>
      </c>
      <c r="I1908" s="140" t="s">
        <v>21</v>
      </c>
      <c r="J1908" s="174" t="s">
        <v>69</v>
      </c>
    </row>
    <row r="1909" hidden="1" customHeight="1" spans="1:10">
      <c r="A1909" s="140" t="s">
        <v>428</v>
      </c>
      <c r="B1909" s="140" t="s">
        <v>429</v>
      </c>
      <c r="C1909" s="171">
        <v>45695</v>
      </c>
      <c r="D1909" s="172" t="s">
        <v>25</v>
      </c>
      <c r="E1909" s="140" t="s">
        <v>19</v>
      </c>
      <c r="F1909" s="140" t="s">
        <v>20</v>
      </c>
      <c r="G1909" s="140" t="s">
        <v>21</v>
      </c>
      <c r="H1909" s="140" t="s">
        <v>272</v>
      </c>
      <c r="I1909" s="140" t="s">
        <v>21</v>
      </c>
      <c r="J1909" s="174"/>
    </row>
    <row r="1910" hidden="1" customHeight="1" spans="1:10">
      <c r="A1910" s="140" t="s">
        <v>428</v>
      </c>
      <c r="B1910" s="140" t="s">
        <v>429</v>
      </c>
      <c r="C1910" s="171">
        <v>45696</v>
      </c>
      <c r="D1910" s="172" t="s">
        <v>27</v>
      </c>
      <c r="E1910" s="140" t="s">
        <v>19</v>
      </c>
      <c r="F1910" s="140" t="s">
        <v>157</v>
      </c>
      <c r="G1910" s="140" t="s">
        <v>21</v>
      </c>
      <c r="H1910" s="140" t="s">
        <v>181</v>
      </c>
      <c r="I1910" s="140" t="s">
        <v>21</v>
      </c>
      <c r="J1910" s="174"/>
    </row>
    <row r="1911" hidden="1" customHeight="1" spans="1:10">
      <c r="A1911" s="140" t="s">
        <v>428</v>
      </c>
      <c r="B1911" s="140" t="s">
        <v>429</v>
      </c>
      <c r="C1911" s="171">
        <v>45697</v>
      </c>
      <c r="D1911" s="172" t="s">
        <v>15</v>
      </c>
      <c r="E1911" s="173" t="s">
        <v>13</v>
      </c>
      <c r="F1911" s="140" t="s">
        <v>14</v>
      </c>
      <c r="G1911" s="140" t="s">
        <v>14</v>
      </c>
      <c r="H1911" s="140" t="s">
        <v>14</v>
      </c>
      <c r="I1911" s="140" t="s">
        <v>14</v>
      </c>
      <c r="J1911" s="174"/>
    </row>
    <row r="1912" hidden="1" customHeight="1" spans="1:10">
      <c r="A1912" s="140" t="s">
        <v>428</v>
      </c>
      <c r="B1912" s="140" t="s">
        <v>429</v>
      </c>
      <c r="C1912" s="171">
        <v>45698</v>
      </c>
      <c r="D1912" s="172" t="s">
        <v>16</v>
      </c>
      <c r="E1912" s="140" t="s">
        <v>19</v>
      </c>
      <c r="F1912" s="140" t="s">
        <v>46</v>
      </c>
      <c r="G1912" s="140" t="s">
        <v>21</v>
      </c>
      <c r="H1912" s="140" t="s">
        <v>123</v>
      </c>
      <c r="I1912" s="140" t="s">
        <v>21</v>
      </c>
      <c r="J1912" s="174"/>
    </row>
    <row r="1913" hidden="1" customHeight="1" spans="1:10">
      <c r="A1913" s="140" t="s">
        <v>428</v>
      </c>
      <c r="B1913" s="140" t="s">
        <v>429</v>
      </c>
      <c r="C1913" s="171">
        <v>45699</v>
      </c>
      <c r="D1913" s="172" t="s">
        <v>17</v>
      </c>
      <c r="E1913" s="140" t="s">
        <v>19</v>
      </c>
      <c r="F1913" s="140" t="s">
        <v>33</v>
      </c>
      <c r="G1913" s="140" t="s">
        <v>21</v>
      </c>
      <c r="H1913" s="140" t="s">
        <v>111</v>
      </c>
      <c r="I1913" s="140" t="s">
        <v>21</v>
      </c>
      <c r="J1913" s="174"/>
    </row>
    <row r="1914" hidden="1" customHeight="1" spans="1:10">
      <c r="A1914" s="140" t="s">
        <v>428</v>
      </c>
      <c r="B1914" s="140" t="s">
        <v>429</v>
      </c>
      <c r="C1914" s="171">
        <v>45700</v>
      </c>
      <c r="D1914" s="172" t="s">
        <v>18</v>
      </c>
      <c r="E1914" s="140" t="s">
        <v>19</v>
      </c>
      <c r="F1914" s="140" t="s">
        <v>46</v>
      </c>
      <c r="G1914" s="140" t="s">
        <v>21</v>
      </c>
      <c r="H1914" s="140" t="s">
        <v>78</v>
      </c>
      <c r="I1914" s="140" t="s">
        <v>21</v>
      </c>
      <c r="J1914" s="174"/>
    </row>
    <row r="1915" customHeight="1" spans="1:10">
      <c r="A1915" s="140" t="s">
        <v>428</v>
      </c>
      <c r="B1915" s="140" t="s">
        <v>429</v>
      </c>
      <c r="C1915" s="171">
        <v>45701</v>
      </c>
      <c r="D1915" s="172" t="s">
        <v>23</v>
      </c>
      <c r="E1915" s="140" t="s">
        <v>19</v>
      </c>
      <c r="F1915" s="140" t="s">
        <v>14</v>
      </c>
      <c r="G1915" s="176" t="s">
        <v>68</v>
      </c>
      <c r="H1915" s="140" t="s">
        <v>375</v>
      </c>
      <c r="I1915" s="140" t="s">
        <v>21</v>
      </c>
      <c r="J1915" s="174" t="s">
        <v>69</v>
      </c>
    </row>
    <row r="1916" hidden="1" customHeight="1" spans="1:10">
      <c r="A1916" s="140" t="s">
        <v>428</v>
      </c>
      <c r="B1916" s="140" t="s">
        <v>429</v>
      </c>
      <c r="C1916" s="171">
        <v>45702</v>
      </c>
      <c r="D1916" s="172" t="s">
        <v>25</v>
      </c>
      <c r="E1916" s="140" t="s">
        <v>19</v>
      </c>
      <c r="F1916" s="140" t="s">
        <v>33</v>
      </c>
      <c r="G1916" s="140" t="s">
        <v>21</v>
      </c>
      <c r="H1916" s="140" t="s">
        <v>273</v>
      </c>
      <c r="I1916" s="140" t="s">
        <v>21</v>
      </c>
      <c r="J1916" s="174"/>
    </row>
    <row r="1917" hidden="1" customHeight="1" spans="1:10">
      <c r="A1917" s="140" t="s">
        <v>428</v>
      </c>
      <c r="B1917" s="140" t="s">
        <v>429</v>
      </c>
      <c r="C1917" s="171">
        <v>45703</v>
      </c>
      <c r="D1917" s="172" t="s">
        <v>27</v>
      </c>
      <c r="E1917" s="173" t="s">
        <v>13</v>
      </c>
      <c r="F1917" s="140" t="s">
        <v>14</v>
      </c>
      <c r="G1917" s="140" t="s">
        <v>14</v>
      </c>
      <c r="H1917" s="140" t="s">
        <v>14</v>
      </c>
      <c r="I1917" s="140" t="s">
        <v>14</v>
      </c>
      <c r="J1917" s="174"/>
    </row>
    <row r="1918" hidden="1" customHeight="1" spans="1:10">
      <c r="A1918" s="140" t="s">
        <v>428</v>
      </c>
      <c r="B1918" s="140" t="s">
        <v>429</v>
      </c>
      <c r="C1918" s="171">
        <v>45704</v>
      </c>
      <c r="D1918" s="172" t="s">
        <v>15</v>
      </c>
      <c r="E1918" s="173" t="s">
        <v>13</v>
      </c>
      <c r="F1918" s="140" t="s">
        <v>14</v>
      </c>
      <c r="G1918" s="140" t="s">
        <v>14</v>
      </c>
      <c r="H1918" s="140" t="s">
        <v>14</v>
      </c>
      <c r="I1918" s="140" t="s">
        <v>14</v>
      </c>
      <c r="J1918" s="174"/>
    </row>
    <row r="1919" hidden="1" customHeight="1" spans="1:10">
      <c r="A1919" s="140" t="s">
        <v>428</v>
      </c>
      <c r="B1919" s="140" t="s">
        <v>429</v>
      </c>
      <c r="C1919" s="171">
        <v>45705</v>
      </c>
      <c r="D1919" s="172" t="s">
        <v>16</v>
      </c>
      <c r="E1919" s="140" t="s">
        <v>19</v>
      </c>
      <c r="F1919" s="140" t="s">
        <v>30</v>
      </c>
      <c r="G1919" s="140" t="s">
        <v>21</v>
      </c>
      <c r="H1919" s="140" t="s">
        <v>315</v>
      </c>
      <c r="I1919" s="140" t="s">
        <v>21</v>
      </c>
      <c r="J1919" s="174"/>
    </row>
    <row r="1920" hidden="1" customHeight="1" spans="1:10">
      <c r="A1920" s="140" t="s">
        <v>428</v>
      </c>
      <c r="B1920" s="140" t="s">
        <v>429</v>
      </c>
      <c r="C1920" s="171">
        <v>45706</v>
      </c>
      <c r="D1920" s="172" t="s">
        <v>17</v>
      </c>
      <c r="E1920" s="140" t="s">
        <v>19</v>
      </c>
      <c r="F1920" s="140" t="s">
        <v>51</v>
      </c>
      <c r="G1920" s="140" t="s">
        <v>21</v>
      </c>
      <c r="H1920" s="140" t="s">
        <v>225</v>
      </c>
      <c r="I1920" s="140" t="s">
        <v>21</v>
      </c>
      <c r="J1920" s="174"/>
    </row>
    <row r="1921" hidden="1" customHeight="1" spans="1:10">
      <c r="A1921" s="140" t="s">
        <v>428</v>
      </c>
      <c r="B1921" s="140" t="s">
        <v>429</v>
      </c>
      <c r="C1921" s="171">
        <v>45707</v>
      </c>
      <c r="D1921" s="172" t="s">
        <v>18</v>
      </c>
      <c r="E1921" s="140" t="s">
        <v>19</v>
      </c>
      <c r="F1921" s="140" t="s">
        <v>46</v>
      </c>
      <c r="G1921" s="140" t="s">
        <v>21</v>
      </c>
      <c r="H1921" s="140" t="s">
        <v>337</v>
      </c>
      <c r="I1921" s="140" t="s">
        <v>21</v>
      </c>
      <c r="J1921" s="174"/>
    </row>
    <row r="1922" hidden="1" customHeight="1" spans="1:10">
      <c r="A1922" s="140" t="s">
        <v>428</v>
      </c>
      <c r="B1922" s="140" t="s">
        <v>429</v>
      </c>
      <c r="C1922" s="171">
        <v>45708</v>
      </c>
      <c r="D1922" s="172" t="s">
        <v>23</v>
      </c>
      <c r="E1922" s="140" t="s">
        <v>19</v>
      </c>
      <c r="F1922" s="140" t="s">
        <v>46</v>
      </c>
      <c r="G1922" s="140" t="s">
        <v>21</v>
      </c>
      <c r="H1922" s="140" t="s">
        <v>24</v>
      </c>
      <c r="I1922" s="140" t="s">
        <v>21</v>
      </c>
      <c r="J1922" s="174"/>
    </row>
    <row r="1923" hidden="1" customHeight="1" spans="1:10">
      <c r="A1923" s="140" t="s">
        <v>428</v>
      </c>
      <c r="B1923" s="140" t="s">
        <v>429</v>
      </c>
      <c r="C1923" s="171">
        <v>45709</v>
      </c>
      <c r="D1923" s="172" t="s">
        <v>25</v>
      </c>
      <c r="E1923" s="140" t="s">
        <v>19</v>
      </c>
      <c r="F1923" s="140" t="s">
        <v>46</v>
      </c>
      <c r="G1923" s="140" t="s">
        <v>21</v>
      </c>
      <c r="H1923" s="140" t="s">
        <v>66</v>
      </c>
      <c r="I1923" s="140" t="s">
        <v>21</v>
      </c>
      <c r="J1923" s="174"/>
    </row>
    <row r="1924" hidden="1" customHeight="1" spans="1:10">
      <c r="A1924" s="140" t="s">
        <v>428</v>
      </c>
      <c r="B1924" s="140" t="s">
        <v>429</v>
      </c>
      <c r="C1924" s="171">
        <v>45710</v>
      </c>
      <c r="D1924" s="172" t="s">
        <v>27</v>
      </c>
      <c r="E1924" s="173" t="s">
        <v>13</v>
      </c>
      <c r="F1924" s="140" t="s">
        <v>14</v>
      </c>
      <c r="G1924" s="140" t="s">
        <v>14</v>
      </c>
      <c r="H1924" s="140" t="s">
        <v>14</v>
      </c>
      <c r="I1924" s="140" t="s">
        <v>14</v>
      </c>
      <c r="J1924" s="174"/>
    </row>
    <row r="1925" hidden="1" customHeight="1" spans="1:10">
      <c r="A1925" s="140" t="s">
        <v>428</v>
      </c>
      <c r="B1925" s="140" t="s">
        <v>429</v>
      </c>
      <c r="C1925" s="171">
        <v>45711</v>
      </c>
      <c r="D1925" s="172" t="s">
        <v>15</v>
      </c>
      <c r="E1925" s="173" t="s">
        <v>13</v>
      </c>
      <c r="F1925" s="140" t="s">
        <v>360</v>
      </c>
      <c r="G1925" s="140" t="s">
        <v>21</v>
      </c>
      <c r="H1925" s="140" t="s">
        <v>430</v>
      </c>
      <c r="I1925" s="140" t="s">
        <v>21</v>
      </c>
      <c r="J1925" s="174"/>
    </row>
    <row r="1926" customHeight="1" spans="1:10">
      <c r="A1926" s="140" t="s">
        <v>428</v>
      </c>
      <c r="B1926" s="140" t="s">
        <v>429</v>
      </c>
      <c r="C1926" s="171">
        <v>45712</v>
      </c>
      <c r="D1926" s="172" t="s">
        <v>16</v>
      </c>
      <c r="E1926" s="140" t="s">
        <v>19</v>
      </c>
      <c r="F1926" s="140" t="s">
        <v>14</v>
      </c>
      <c r="G1926" s="176" t="s">
        <v>68</v>
      </c>
      <c r="H1926" s="140" t="s">
        <v>403</v>
      </c>
      <c r="I1926" s="140" t="s">
        <v>21</v>
      </c>
      <c r="J1926" s="174" t="s">
        <v>69</v>
      </c>
    </row>
    <row r="1927" hidden="1" customHeight="1" spans="1:10">
      <c r="A1927" s="140" t="s">
        <v>428</v>
      </c>
      <c r="B1927" s="140" t="s">
        <v>429</v>
      </c>
      <c r="C1927" s="171">
        <v>45713</v>
      </c>
      <c r="D1927" s="172" t="s">
        <v>17</v>
      </c>
      <c r="E1927" s="140" t="s">
        <v>19</v>
      </c>
      <c r="F1927" s="140" t="s">
        <v>33</v>
      </c>
      <c r="G1927" s="140" t="s">
        <v>21</v>
      </c>
      <c r="H1927" s="140" t="s">
        <v>152</v>
      </c>
      <c r="I1927" s="140" t="s">
        <v>21</v>
      </c>
      <c r="J1927" s="174"/>
    </row>
    <row r="1928" hidden="1" customHeight="1" spans="1:10">
      <c r="A1928" s="140" t="s">
        <v>428</v>
      </c>
      <c r="B1928" s="140" t="s">
        <v>429</v>
      </c>
      <c r="C1928" s="171">
        <v>45714</v>
      </c>
      <c r="D1928" s="172" t="s">
        <v>18</v>
      </c>
      <c r="E1928" s="140" t="s">
        <v>19</v>
      </c>
      <c r="F1928" s="140" t="s">
        <v>90</v>
      </c>
      <c r="G1928" s="140" t="s">
        <v>21</v>
      </c>
      <c r="H1928" s="140" t="s">
        <v>163</v>
      </c>
      <c r="I1928" s="140" t="s">
        <v>21</v>
      </c>
      <c r="J1928" s="174"/>
    </row>
    <row r="1929" hidden="1" customHeight="1" spans="1:10">
      <c r="A1929" s="140" t="s">
        <v>428</v>
      </c>
      <c r="B1929" s="140" t="s">
        <v>429</v>
      </c>
      <c r="C1929" s="171">
        <v>45715</v>
      </c>
      <c r="D1929" s="172" t="s">
        <v>23</v>
      </c>
      <c r="E1929" s="140" t="s">
        <v>19</v>
      </c>
      <c r="F1929" s="140" t="s">
        <v>43</v>
      </c>
      <c r="G1929" s="140" t="s">
        <v>21</v>
      </c>
      <c r="H1929" s="140" t="s">
        <v>431</v>
      </c>
      <c r="I1929" s="140" t="s">
        <v>21</v>
      </c>
      <c r="J1929" s="174"/>
    </row>
    <row r="1930" hidden="1" customHeight="1" spans="1:10">
      <c r="A1930" s="140" t="s">
        <v>428</v>
      </c>
      <c r="B1930" s="140" t="s">
        <v>429</v>
      </c>
      <c r="C1930" s="171">
        <v>45716</v>
      </c>
      <c r="D1930" s="172" t="s">
        <v>25</v>
      </c>
      <c r="E1930" s="140" t="s">
        <v>19</v>
      </c>
      <c r="F1930" s="140" t="s">
        <v>20</v>
      </c>
      <c r="G1930" s="140" t="s">
        <v>21</v>
      </c>
      <c r="H1930" s="140" t="s">
        <v>315</v>
      </c>
      <c r="I1930" s="140" t="s">
        <v>21</v>
      </c>
      <c r="J1930" s="174"/>
    </row>
    <row r="1931" hidden="1" customHeight="1" spans="1:10">
      <c r="A1931" s="140" t="s">
        <v>432</v>
      </c>
      <c r="B1931" s="140" t="s">
        <v>198</v>
      </c>
      <c r="C1931" s="171">
        <v>45689</v>
      </c>
      <c r="D1931" s="172" t="s">
        <v>12</v>
      </c>
      <c r="E1931" s="173" t="s">
        <v>13</v>
      </c>
      <c r="F1931" s="140" t="s">
        <v>14</v>
      </c>
      <c r="G1931" s="140" t="s">
        <v>14</v>
      </c>
      <c r="H1931" s="140" t="s">
        <v>14</v>
      </c>
      <c r="I1931" s="140" t="s">
        <v>14</v>
      </c>
      <c r="J1931" s="174"/>
    </row>
    <row r="1932" hidden="1" customHeight="1" spans="1:10">
      <c r="A1932" s="140" t="s">
        <v>432</v>
      </c>
      <c r="B1932" s="140" t="s">
        <v>198</v>
      </c>
      <c r="C1932" s="171">
        <v>45690</v>
      </c>
      <c r="D1932" s="172" t="s">
        <v>15</v>
      </c>
      <c r="E1932" s="173" t="s">
        <v>13</v>
      </c>
      <c r="F1932" s="140" t="s">
        <v>14</v>
      </c>
      <c r="G1932" s="140" t="s">
        <v>14</v>
      </c>
      <c r="H1932" s="140" t="s">
        <v>14</v>
      </c>
      <c r="I1932" s="140" t="s">
        <v>14</v>
      </c>
      <c r="J1932" s="174"/>
    </row>
    <row r="1933" hidden="1" customHeight="1" spans="1:10">
      <c r="A1933" s="140" t="s">
        <v>432</v>
      </c>
      <c r="B1933" s="140" t="s">
        <v>198</v>
      </c>
      <c r="C1933" s="171">
        <v>45691</v>
      </c>
      <c r="D1933" s="172" t="s">
        <v>16</v>
      </c>
      <c r="E1933" s="173" t="s">
        <v>13</v>
      </c>
      <c r="F1933" s="140" t="s">
        <v>14</v>
      </c>
      <c r="G1933" s="140" t="s">
        <v>14</v>
      </c>
      <c r="H1933" s="140" t="s">
        <v>14</v>
      </c>
      <c r="I1933" s="140" t="s">
        <v>14</v>
      </c>
      <c r="J1933" s="174"/>
    </row>
    <row r="1934" hidden="1" customHeight="1" spans="1:10">
      <c r="A1934" s="140" t="s">
        <v>432</v>
      </c>
      <c r="B1934" s="140" t="s">
        <v>198</v>
      </c>
      <c r="C1934" s="171">
        <v>45692</v>
      </c>
      <c r="D1934" s="172" t="s">
        <v>17</v>
      </c>
      <c r="E1934" s="173" t="s">
        <v>13</v>
      </c>
      <c r="F1934" s="140" t="s">
        <v>14</v>
      </c>
      <c r="G1934" s="140" t="s">
        <v>14</v>
      </c>
      <c r="H1934" s="140" t="s">
        <v>14</v>
      </c>
      <c r="I1934" s="140" t="s">
        <v>14</v>
      </c>
      <c r="J1934" s="174"/>
    </row>
    <row r="1935" hidden="1" customHeight="1" spans="1:10">
      <c r="A1935" s="140" t="s">
        <v>432</v>
      </c>
      <c r="B1935" s="140" t="s">
        <v>198</v>
      </c>
      <c r="C1935" s="171">
        <v>45693</v>
      </c>
      <c r="D1935" s="172" t="s">
        <v>18</v>
      </c>
      <c r="E1935" s="140" t="s">
        <v>19</v>
      </c>
      <c r="F1935" s="140" t="s">
        <v>193</v>
      </c>
      <c r="G1935" s="140" t="s">
        <v>21</v>
      </c>
      <c r="H1935" s="140" t="s">
        <v>52</v>
      </c>
      <c r="I1935" s="140" t="s">
        <v>21</v>
      </c>
      <c r="J1935" s="175"/>
    </row>
    <row r="1936" customHeight="1" spans="1:10">
      <c r="A1936" s="140" t="s">
        <v>432</v>
      </c>
      <c r="B1936" s="140" t="s">
        <v>198</v>
      </c>
      <c r="C1936" s="171">
        <v>45694</v>
      </c>
      <c r="D1936" s="172" t="s">
        <v>23</v>
      </c>
      <c r="E1936" s="140" t="s">
        <v>19</v>
      </c>
      <c r="F1936" s="140" t="s">
        <v>14</v>
      </c>
      <c r="G1936" s="176" t="s">
        <v>68</v>
      </c>
      <c r="H1936" s="140" t="s">
        <v>130</v>
      </c>
      <c r="I1936" s="140" t="s">
        <v>21</v>
      </c>
      <c r="J1936" s="174" t="s">
        <v>136</v>
      </c>
    </row>
    <row r="1937" hidden="1" customHeight="1" spans="1:10">
      <c r="A1937" s="140" t="s">
        <v>432</v>
      </c>
      <c r="B1937" s="140" t="s">
        <v>198</v>
      </c>
      <c r="C1937" s="171">
        <v>45695</v>
      </c>
      <c r="D1937" s="172" t="s">
        <v>25</v>
      </c>
      <c r="E1937" s="140" t="s">
        <v>19</v>
      </c>
      <c r="F1937" s="140" t="s">
        <v>157</v>
      </c>
      <c r="G1937" s="140" t="s">
        <v>21</v>
      </c>
      <c r="H1937" s="140" t="s">
        <v>416</v>
      </c>
      <c r="I1937" s="140" t="s">
        <v>21</v>
      </c>
      <c r="J1937" s="174"/>
    </row>
    <row r="1938" hidden="1" customHeight="1" spans="1:10">
      <c r="A1938" s="140" t="s">
        <v>432</v>
      </c>
      <c r="B1938" s="140" t="s">
        <v>198</v>
      </c>
      <c r="C1938" s="171">
        <v>45696</v>
      </c>
      <c r="D1938" s="172" t="s">
        <v>27</v>
      </c>
      <c r="E1938" s="140" t="s">
        <v>19</v>
      </c>
      <c r="F1938" s="140" t="s">
        <v>28</v>
      </c>
      <c r="G1938" s="140" t="s">
        <v>21</v>
      </c>
      <c r="H1938" s="140" t="s">
        <v>433</v>
      </c>
      <c r="I1938" s="140" t="s">
        <v>21</v>
      </c>
      <c r="J1938" s="174"/>
    </row>
    <row r="1939" hidden="1" customHeight="1" spans="1:10">
      <c r="A1939" s="140" t="s">
        <v>432</v>
      </c>
      <c r="B1939" s="140" t="s">
        <v>198</v>
      </c>
      <c r="C1939" s="171">
        <v>45697</v>
      </c>
      <c r="D1939" s="172" t="s">
        <v>15</v>
      </c>
      <c r="E1939" s="173" t="s">
        <v>13</v>
      </c>
      <c r="F1939" s="140" t="s">
        <v>14</v>
      </c>
      <c r="G1939" s="140" t="s">
        <v>14</v>
      </c>
      <c r="H1939" s="140" t="s">
        <v>14</v>
      </c>
      <c r="I1939" s="140" t="s">
        <v>14</v>
      </c>
      <c r="J1939" s="174"/>
    </row>
    <row r="1940" hidden="1" customHeight="1" spans="1:10">
      <c r="A1940" s="140" t="s">
        <v>432</v>
      </c>
      <c r="B1940" s="140" t="s">
        <v>198</v>
      </c>
      <c r="C1940" s="171">
        <v>45698</v>
      </c>
      <c r="D1940" s="172" t="s">
        <v>16</v>
      </c>
      <c r="E1940" s="140" t="s">
        <v>19</v>
      </c>
      <c r="F1940" s="140" t="s">
        <v>157</v>
      </c>
      <c r="G1940" s="140" t="s">
        <v>21</v>
      </c>
      <c r="H1940" s="140" t="s">
        <v>54</v>
      </c>
      <c r="I1940" s="140" t="s">
        <v>21</v>
      </c>
      <c r="J1940" s="174"/>
    </row>
    <row r="1941" customHeight="1" spans="1:10">
      <c r="A1941" s="140" t="s">
        <v>432</v>
      </c>
      <c r="B1941" s="140" t="s">
        <v>198</v>
      </c>
      <c r="C1941" s="171">
        <v>45699</v>
      </c>
      <c r="D1941" s="172" t="s">
        <v>17</v>
      </c>
      <c r="E1941" s="140" t="s">
        <v>19</v>
      </c>
      <c r="F1941" s="140" t="s">
        <v>173</v>
      </c>
      <c r="G1941" s="140" t="s">
        <v>21</v>
      </c>
      <c r="H1941" s="140" t="s">
        <v>41</v>
      </c>
      <c r="I1941" s="140" t="s">
        <v>21</v>
      </c>
      <c r="J1941" s="174" t="s">
        <v>93</v>
      </c>
    </row>
    <row r="1942" hidden="1" customHeight="1" spans="1:10">
      <c r="A1942" s="140" t="s">
        <v>432</v>
      </c>
      <c r="B1942" s="140" t="s">
        <v>198</v>
      </c>
      <c r="C1942" s="171">
        <v>45700</v>
      </c>
      <c r="D1942" s="172" t="s">
        <v>18</v>
      </c>
      <c r="E1942" s="140" t="s">
        <v>19</v>
      </c>
      <c r="F1942" s="140" t="s">
        <v>28</v>
      </c>
      <c r="G1942" s="140" t="s">
        <v>21</v>
      </c>
      <c r="H1942" s="140" t="s">
        <v>194</v>
      </c>
      <c r="I1942" s="140" t="s">
        <v>21</v>
      </c>
      <c r="J1942" s="174"/>
    </row>
    <row r="1943" hidden="1" customHeight="1" spans="1:10">
      <c r="A1943" s="140" t="s">
        <v>432</v>
      </c>
      <c r="B1943" s="140" t="s">
        <v>198</v>
      </c>
      <c r="C1943" s="171">
        <v>45701</v>
      </c>
      <c r="D1943" s="172" t="s">
        <v>23</v>
      </c>
      <c r="E1943" s="140" t="s">
        <v>19</v>
      </c>
      <c r="F1943" s="140" t="s">
        <v>30</v>
      </c>
      <c r="G1943" s="140" t="s">
        <v>21</v>
      </c>
      <c r="H1943" s="140" t="s">
        <v>130</v>
      </c>
      <c r="I1943" s="140" t="s">
        <v>21</v>
      </c>
      <c r="J1943" s="174"/>
    </row>
    <row r="1944" hidden="1" customHeight="1" spans="1:10">
      <c r="A1944" s="140" t="s">
        <v>432</v>
      </c>
      <c r="B1944" s="140" t="s">
        <v>198</v>
      </c>
      <c r="C1944" s="171">
        <v>45702</v>
      </c>
      <c r="D1944" s="172" t="s">
        <v>25</v>
      </c>
      <c r="E1944" s="140" t="s">
        <v>19</v>
      </c>
      <c r="F1944" s="140" t="s">
        <v>154</v>
      </c>
      <c r="G1944" s="140" t="s">
        <v>21</v>
      </c>
      <c r="H1944" s="140" t="s">
        <v>434</v>
      </c>
      <c r="I1944" s="140" t="s">
        <v>21</v>
      </c>
      <c r="J1944" s="174"/>
    </row>
    <row r="1945" hidden="1" customHeight="1" spans="1:10">
      <c r="A1945" s="140" t="s">
        <v>432</v>
      </c>
      <c r="B1945" s="140" t="s">
        <v>198</v>
      </c>
      <c r="C1945" s="171">
        <v>45703</v>
      </c>
      <c r="D1945" s="172" t="s">
        <v>27</v>
      </c>
      <c r="E1945" s="173" t="s">
        <v>13</v>
      </c>
      <c r="F1945" s="140" t="s">
        <v>435</v>
      </c>
      <c r="G1945" s="140" t="s">
        <v>21</v>
      </c>
      <c r="H1945" s="140" t="s">
        <v>436</v>
      </c>
      <c r="I1945" s="140" t="s">
        <v>21</v>
      </c>
      <c r="J1945" s="174"/>
    </row>
    <row r="1946" hidden="1" customHeight="1" spans="1:10">
      <c r="A1946" s="140" t="s">
        <v>432</v>
      </c>
      <c r="B1946" s="140" t="s">
        <v>198</v>
      </c>
      <c r="C1946" s="171">
        <v>45704</v>
      </c>
      <c r="D1946" s="172" t="s">
        <v>15</v>
      </c>
      <c r="E1946" s="173" t="s">
        <v>13</v>
      </c>
      <c r="F1946" s="140" t="s">
        <v>14</v>
      </c>
      <c r="G1946" s="140" t="s">
        <v>14</v>
      </c>
      <c r="H1946" s="140" t="s">
        <v>14</v>
      </c>
      <c r="I1946" s="140" t="s">
        <v>14</v>
      </c>
      <c r="J1946" s="174"/>
    </row>
    <row r="1947" hidden="1" customHeight="1" spans="1:10">
      <c r="A1947" s="140" t="s">
        <v>432</v>
      </c>
      <c r="B1947" s="140" t="s">
        <v>198</v>
      </c>
      <c r="C1947" s="171">
        <v>45705</v>
      </c>
      <c r="D1947" s="172" t="s">
        <v>16</v>
      </c>
      <c r="E1947" s="140" t="s">
        <v>19</v>
      </c>
      <c r="F1947" s="140" t="s">
        <v>51</v>
      </c>
      <c r="G1947" s="140" t="s">
        <v>21</v>
      </c>
      <c r="H1947" s="140" t="s">
        <v>368</v>
      </c>
      <c r="I1947" s="140" t="s">
        <v>21</v>
      </c>
      <c r="J1947" s="174"/>
    </row>
    <row r="1948" hidden="1" customHeight="1" spans="1:10">
      <c r="A1948" s="140" t="s">
        <v>432</v>
      </c>
      <c r="B1948" s="140" t="s">
        <v>198</v>
      </c>
      <c r="C1948" s="171">
        <v>45706</v>
      </c>
      <c r="D1948" s="172" t="s">
        <v>17</v>
      </c>
      <c r="E1948" s="140" t="s">
        <v>19</v>
      </c>
      <c r="F1948" s="140" t="s">
        <v>193</v>
      </c>
      <c r="G1948" s="140" t="s">
        <v>21</v>
      </c>
      <c r="H1948" s="140" t="s">
        <v>409</v>
      </c>
      <c r="I1948" s="140" t="s">
        <v>21</v>
      </c>
      <c r="J1948" s="174"/>
    </row>
    <row r="1949" hidden="1" customHeight="1" spans="1:10">
      <c r="A1949" s="140" t="s">
        <v>432</v>
      </c>
      <c r="B1949" s="140" t="s">
        <v>198</v>
      </c>
      <c r="C1949" s="171">
        <v>45707</v>
      </c>
      <c r="D1949" s="172" t="s">
        <v>18</v>
      </c>
      <c r="E1949" s="140" t="s">
        <v>19</v>
      </c>
      <c r="F1949" s="140" t="s">
        <v>30</v>
      </c>
      <c r="G1949" s="140" t="s">
        <v>21</v>
      </c>
      <c r="H1949" s="140" t="s">
        <v>35</v>
      </c>
      <c r="I1949" s="140" t="s">
        <v>21</v>
      </c>
      <c r="J1949" s="174"/>
    </row>
    <row r="1950" hidden="1" customHeight="1" spans="1:10">
      <c r="A1950" s="140" t="s">
        <v>432</v>
      </c>
      <c r="B1950" s="140" t="s">
        <v>198</v>
      </c>
      <c r="C1950" s="171">
        <v>45708</v>
      </c>
      <c r="D1950" s="172" t="s">
        <v>23</v>
      </c>
      <c r="E1950" s="140" t="s">
        <v>19</v>
      </c>
      <c r="F1950" s="140" t="s">
        <v>157</v>
      </c>
      <c r="G1950" s="140" t="s">
        <v>21</v>
      </c>
      <c r="H1950" s="140" t="s">
        <v>219</v>
      </c>
      <c r="I1950" s="140" t="s">
        <v>21</v>
      </c>
      <c r="J1950" s="174"/>
    </row>
    <row r="1951" hidden="1" customHeight="1" spans="1:10">
      <c r="A1951" s="140" t="s">
        <v>432</v>
      </c>
      <c r="B1951" s="140" t="s">
        <v>198</v>
      </c>
      <c r="C1951" s="171">
        <v>45709</v>
      </c>
      <c r="D1951" s="172" t="s">
        <v>25</v>
      </c>
      <c r="E1951" s="140" t="s">
        <v>19</v>
      </c>
      <c r="F1951" s="140" t="s">
        <v>157</v>
      </c>
      <c r="G1951" s="140" t="s">
        <v>21</v>
      </c>
      <c r="H1951" s="140" t="s">
        <v>437</v>
      </c>
      <c r="I1951" s="140" t="s">
        <v>21</v>
      </c>
      <c r="J1951" s="174"/>
    </row>
    <row r="1952" hidden="1" customHeight="1" spans="1:10">
      <c r="A1952" s="140" t="s">
        <v>432</v>
      </c>
      <c r="B1952" s="140" t="s">
        <v>198</v>
      </c>
      <c r="C1952" s="171">
        <v>45710</v>
      </c>
      <c r="D1952" s="172" t="s">
        <v>27</v>
      </c>
      <c r="E1952" s="173" t="s">
        <v>13</v>
      </c>
      <c r="F1952" s="140" t="s">
        <v>14</v>
      </c>
      <c r="G1952" s="140" t="s">
        <v>14</v>
      </c>
      <c r="H1952" s="140" t="s">
        <v>14</v>
      </c>
      <c r="I1952" s="140" t="s">
        <v>14</v>
      </c>
      <c r="J1952" s="174"/>
    </row>
    <row r="1953" hidden="1" customHeight="1" spans="1:10">
      <c r="A1953" s="140" t="s">
        <v>432</v>
      </c>
      <c r="B1953" s="140" t="s">
        <v>198</v>
      </c>
      <c r="C1953" s="171">
        <v>45711</v>
      </c>
      <c r="D1953" s="172" t="s">
        <v>15</v>
      </c>
      <c r="E1953" s="173" t="s">
        <v>13</v>
      </c>
      <c r="F1953" s="140" t="s">
        <v>14</v>
      </c>
      <c r="G1953" s="140" t="s">
        <v>14</v>
      </c>
      <c r="H1953" s="140" t="s">
        <v>14</v>
      </c>
      <c r="I1953" s="140" t="s">
        <v>14</v>
      </c>
      <c r="J1953" s="174"/>
    </row>
    <row r="1954" hidden="1" customHeight="1" spans="1:10">
      <c r="A1954" s="140" t="s">
        <v>432</v>
      </c>
      <c r="B1954" s="140" t="s">
        <v>198</v>
      </c>
      <c r="C1954" s="171">
        <v>45712</v>
      </c>
      <c r="D1954" s="172" t="s">
        <v>16</v>
      </c>
      <c r="E1954" s="140" t="s">
        <v>19</v>
      </c>
      <c r="F1954" s="140" t="s">
        <v>51</v>
      </c>
      <c r="G1954" s="140" t="s">
        <v>21</v>
      </c>
      <c r="H1954" s="140" t="s">
        <v>375</v>
      </c>
      <c r="I1954" s="140" t="s">
        <v>21</v>
      </c>
      <c r="J1954" s="174"/>
    </row>
    <row r="1955" hidden="1" customHeight="1" spans="1:10">
      <c r="A1955" s="140" t="s">
        <v>432</v>
      </c>
      <c r="B1955" s="140" t="s">
        <v>198</v>
      </c>
      <c r="C1955" s="171">
        <v>45713</v>
      </c>
      <c r="D1955" s="172" t="s">
        <v>17</v>
      </c>
      <c r="E1955" s="140" t="s">
        <v>19</v>
      </c>
      <c r="F1955" s="140" t="s">
        <v>154</v>
      </c>
      <c r="G1955" s="140" t="s">
        <v>21</v>
      </c>
      <c r="H1955" s="140" t="s">
        <v>35</v>
      </c>
      <c r="I1955" s="140" t="s">
        <v>21</v>
      </c>
      <c r="J1955" s="174"/>
    </row>
    <row r="1956" hidden="1" customHeight="1" spans="1:10">
      <c r="A1956" s="140" t="s">
        <v>432</v>
      </c>
      <c r="B1956" s="140" t="s">
        <v>198</v>
      </c>
      <c r="C1956" s="171">
        <v>45714</v>
      </c>
      <c r="D1956" s="172" t="s">
        <v>18</v>
      </c>
      <c r="E1956" s="140" t="s">
        <v>19</v>
      </c>
      <c r="F1956" s="140" t="s">
        <v>154</v>
      </c>
      <c r="G1956" s="140" t="s">
        <v>21</v>
      </c>
      <c r="H1956" s="140" t="s">
        <v>438</v>
      </c>
      <c r="I1956" s="140" t="s">
        <v>21</v>
      </c>
      <c r="J1956" s="174"/>
    </row>
    <row r="1957" hidden="1" customHeight="1" spans="1:10">
      <c r="A1957" s="140" t="s">
        <v>432</v>
      </c>
      <c r="B1957" s="140" t="s">
        <v>198</v>
      </c>
      <c r="C1957" s="171">
        <v>45715</v>
      </c>
      <c r="D1957" s="172" t="s">
        <v>23</v>
      </c>
      <c r="E1957" s="140" t="s">
        <v>19</v>
      </c>
      <c r="F1957" s="140" t="s">
        <v>33</v>
      </c>
      <c r="G1957" s="140" t="s">
        <v>21</v>
      </c>
      <c r="H1957" s="140" t="s">
        <v>347</v>
      </c>
      <c r="I1957" s="140" t="s">
        <v>21</v>
      </c>
      <c r="J1957" s="174"/>
    </row>
    <row r="1958" hidden="1" customHeight="1" spans="1:10">
      <c r="A1958" s="140" t="s">
        <v>432</v>
      </c>
      <c r="B1958" s="140" t="s">
        <v>198</v>
      </c>
      <c r="C1958" s="171">
        <v>45716</v>
      </c>
      <c r="D1958" s="172" t="s">
        <v>25</v>
      </c>
      <c r="E1958" s="140" t="s">
        <v>19</v>
      </c>
      <c r="F1958" s="140" t="s">
        <v>36</v>
      </c>
      <c r="G1958" s="140" t="s">
        <v>21</v>
      </c>
      <c r="H1958" s="140" t="s">
        <v>437</v>
      </c>
      <c r="I1958" s="140" t="s">
        <v>21</v>
      </c>
      <c r="J1958" s="174"/>
    </row>
    <row r="1959" hidden="1" customHeight="1" spans="1:10">
      <c r="A1959" s="140" t="s">
        <v>439</v>
      </c>
      <c r="B1959" s="140" t="s">
        <v>429</v>
      </c>
      <c r="C1959" s="171">
        <v>45689</v>
      </c>
      <c r="D1959" s="172" t="s">
        <v>12</v>
      </c>
      <c r="E1959" s="173" t="s">
        <v>13</v>
      </c>
      <c r="F1959" s="140" t="s">
        <v>14</v>
      </c>
      <c r="G1959" s="140" t="s">
        <v>14</v>
      </c>
      <c r="H1959" s="140" t="s">
        <v>14</v>
      </c>
      <c r="I1959" s="140" t="s">
        <v>14</v>
      </c>
      <c r="J1959" s="174"/>
    </row>
    <row r="1960" hidden="1" customHeight="1" spans="1:10">
      <c r="A1960" s="140" t="s">
        <v>439</v>
      </c>
      <c r="B1960" s="140" t="s">
        <v>429</v>
      </c>
      <c r="C1960" s="171">
        <v>45690</v>
      </c>
      <c r="D1960" s="172" t="s">
        <v>15</v>
      </c>
      <c r="E1960" s="173" t="s">
        <v>13</v>
      </c>
      <c r="F1960" s="140" t="s">
        <v>14</v>
      </c>
      <c r="G1960" s="140" t="s">
        <v>14</v>
      </c>
      <c r="H1960" s="140" t="s">
        <v>14</v>
      </c>
      <c r="I1960" s="140" t="s">
        <v>14</v>
      </c>
      <c r="J1960" s="174"/>
    </row>
    <row r="1961" hidden="1" customHeight="1" spans="1:10">
      <c r="A1961" s="140" t="s">
        <v>439</v>
      </c>
      <c r="B1961" s="140" t="s">
        <v>429</v>
      </c>
      <c r="C1961" s="171">
        <v>45691</v>
      </c>
      <c r="D1961" s="172" t="s">
        <v>16</v>
      </c>
      <c r="E1961" s="173" t="s">
        <v>13</v>
      </c>
      <c r="F1961" s="140" t="s">
        <v>14</v>
      </c>
      <c r="G1961" s="140" t="s">
        <v>14</v>
      </c>
      <c r="H1961" s="140" t="s">
        <v>14</v>
      </c>
      <c r="I1961" s="140" t="s">
        <v>14</v>
      </c>
      <c r="J1961" s="174"/>
    </row>
    <row r="1962" hidden="1" customHeight="1" spans="1:10">
      <c r="A1962" s="140" t="s">
        <v>439</v>
      </c>
      <c r="B1962" s="140" t="s">
        <v>429</v>
      </c>
      <c r="C1962" s="171">
        <v>45692</v>
      </c>
      <c r="D1962" s="172" t="s">
        <v>17</v>
      </c>
      <c r="E1962" s="173" t="s">
        <v>13</v>
      </c>
      <c r="F1962" s="140" t="s">
        <v>14</v>
      </c>
      <c r="G1962" s="140" t="s">
        <v>14</v>
      </c>
      <c r="H1962" s="140" t="s">
        <v>14</v>
      </c>
      <c r="I1962" s="140" t="s">
        <v>14</v>
      </c>
      <c r="J1962" s="174"/>
    </row>
    <row r="1963" hidden="1" customHeight="1" spans="1:10">
      <c r="A1963" s="140" t="s">
        <v>439</v>
      </c>
      <c r="B1963" s="140" t="s">
        <v>429</v>
      </c>
      <c r="C1963" s="171">
        <v>45693</v>
      </c>
      <c r="D1963" s="172" t="s">
        <v>18</v>
      </c>
      <c r="E1963" s="140" t="s">
        <v>19</v>
      </c>
      <c r="F1963" s="140" t="s">
        <v>51</v>
      </c>
      <c r="G1963" s="140" t="s">
        <v>21</v>
      </c>
      <c r="H1963" s="140" t="s">
        <v>374</v>
      </c>
      <c r="I1963" s="140" t="s">
        <v>21</v>
      </c>
      <c r="J1963" s="174"/>
    </row>
    <row r="1964" customHeight="1" spans="1:10">
      <c r="A1964" s="140" t="s">
        <v>439</v>
      </c>
      <c r="B1964" s="140" t="s">
        <v>429</v>
      </c>
      <c r="C1964" s="171">
        <v>45694</v>
      </c>
      <c r="D1964" s="172" t="s">
        <v>23</v>
      </c>
      <c r="E1964" s="140" t="s">
        <v>19</v>
      </c>
      <c r="F1964" s="140" t="s">
        <v>14</v>
      </c>
      <c r="G1964" s="176" t="s">
        <v>68</v>
      </c>
      <c r="H1964" s="140" t="s">
        <v>130</v>
      </c>
      <c r="I1964" s="140" t="s">
        <v>21</v>
      </c>
      <c r="J1964" s="174" t="s">
        <v>136</v>
      </c>
    </row>
    <row r="1965" customHeight="1" spans="1:10">
      <c r="A1965" s="140" t="s">
        <v>439</v>
      </c>
      <c r="B1965" s="140" t="s">
        <v>429</v>
      </c>
      <c r="C1965" s="171">
        <v>45695</v>
      </c>
      <c r="D1965" s="172" t="s">
        <v>25</v>
      </c>
      <c r="E1965" s="140" t="s">
        <v>19</v>
      </c>
      <c r="F1965" s="140" t="s">
        <v>14</v>
      </c>
      <c r="G1965" s="176" t="s">
        <v>68</v>
      </c>
      <c r="H1965" s="140" t="s">
        <v>80</v>
      </c>
      <c r="I1965" s="140" t="s">
        <v>21</v>
      </c>
      <c r="J1965" s="174" t="s">
        <v>69</v>
      </c>
    </row>
    <row r="1966" hidden="1" customHeight="1" spans="1:10">
      <c r="A1966" s="140" t="s">
        <v>439</v>
      </c>
      <c r="B1966" s="140" t="s">
        <v>429</v>
      </c>
      <c r="C1966" s="171">
        <v>45696</v>
      </c>
      <c r="D1966" s="172" t="s">
        <v>27</v>
      </c>
      <c r="E1966" s="140" t="s">
        <v>19</v>
      </c>
      <c r="F1966" s="140" t="s">
        <v>46</v>
      </c>
      <c r="G1966" s="140" t="s">
        <v>21</v>
      </c>
      <c r="H1966" s="140" t="s">
        <v>265</v>
      </c>
      <c r="I1966" s="140" t="s">
        <v>21</v>
      </c>
      <c r="J1966" s="174"/>
    </row>
    <row r="1967" hidden="1" customHeight="1" spans="1:10">
      <c r="A1967" s="140" t="s">
        <v>439</v>
      </c>
      <c r="B1967" s="140" t="s">
        <v>429</v>
      </c>
      <c r="C1967" s="171">
        <v>45697</v>
      </c>
      <c r="D1967" s="172" t="s">
        <v>15</v>
      </c>
      <c r="E1967" s="173" t="s">
        <v>13</v>
      </c>
      <c r="F1967" s="140" t="s">
        <v>14</v>
      </c>
      <c r="G1967" s="140" t="s">
        <v>14</v>
      </c>
      <c r="H1967" s="140" t="s">
        <v>14</v>
      </c>
      <c r="I1967" s="140" t="s">
        <v>14</v>
      </c>
      <c r="J1967" s="174"/>
    </row>
    <row r="1968" hidden="1" customHeight="1" spans="1:10">
      <c r="A1968" s="140" t="s">
        <v>439</v>
      </c>
      <c r="B1968" s="140" t="s">
        <v>429</v>
      </c>
      <c r="C1968" s="171">
        <v>45698</v>
      </c>
      <c r="D1968" s="172" t="s">
        <v>16</v>
      </c>
      <c r="E1968" s="140" t="s">
        <v>19</v>
      </c>
      <c r="F1968" s="140" t="s">
        <v>33</v>
      </c>
      <c r="G1968" s="140" t="s">
        <v>21</v>
      </c>
      <c r="H1968" s="140" t="s">
        <v>168</v>
      </c>
      <c r="I1968" s="140" t="s">
        <v>21</v>
      </c>
      <c r="J1968" s="174"/>
    </row>
    <row r="1969" hidden="1" customHeight="1" spans="1:10">
      <c r="A1969" s="140" t="s">
        <v>439</v>
      </c>
      <c r="B1969" s="140" t="s">
        <v>429</v>
      </c>
      <c r="C1969" s="171">
        <v>45699</v>
      </c>
      <c r="D1969" s="172" t="s">
        <v>17</v>
      </c>
      <c r="E1969" s="140" t="s">
        <v>19</v>
      </c>
      <c r="F1969" s="140" t="s">
        <v>36</v>
      </c>
      <c r="G1969" s="140" t="s">
        <v>21</v>
      </c>
      <c r="H1969" s="140" t="s">
        <v>186</v>
      </c>
      <c r="I1969" s="140" t="s">
        <v>21</v>
      </c>
      <c r="J1969" s="174"/>
    </row>
    <row r="1970" hidden="1" customHeight="1" spans="1:10">
      <c r="A1970" s="140" t="s">
        <v>439</v>
      </c>
      <c r="B1970" s="140" t="s">
        <v>429</v>
      </c>
      <c r="C1970" s="171">
        <v>45700</v>
      </c>
      <c r="D1970" s="172" t="s">
        <v>18</v>
      </c>
      <c r="E1970" s="140" t="s">
        <v>19</v>
      </c>
      <c r="F1970" s="140" t="s">
        <v>209</v>
      </c>
      <c r="G1970" s="140" t="s">
        <v>21</v>
      </c>
      <c r="H1970" s="140" t="s">
        <v>339</v>
      </c>
      <c r="I1970" s="140" t="s">
        <v>21</v>
      </c>
      <c r="J1970" s="174"/>
    </row>
    <row r="1971" customHeight="1" spans="1:10">
      <c r="A1971" s="140" t="s">
        <v>439</v>
      </c>
      <c r="B1971" s="140" t="s">
        <v>429</v>
      </c>
      <c r="C1971" s="171">
        <v>45701</v>
      </c>
      <c r="D1971" s="172" t="s">
        <v>23</v>
      </c>
      <c r="E1971" s="140" t="s">
        <v>19</v>
      </c>
      <c r="F1971" s="140" t="s">
        <v>14</v>
      </c>
      <c r="G1971" s="176" t="s">
        <v>68</v>
      </c>
      <c r="H1971" s="140" t="s">
        <v>31</v>
      </c>
      <c r="I1971" s="140" t="s">
        <v>21</v>
      </c>
      <c r="J1971" s="174" t="s">
        <v>136</v>
      </c>
    </row>
    <row r="1972" customHeight="1" spans="1:10">
      <c r="A1972" s="140" t="s">
        <v>439</v>
      </c>
      <c r="B1972" s="140" t="s">
        <v>429</v>
      </c>
      <c r="C1972" s="171">
        <v>45702</v>
      </c>
      <c r="D1972" s="172" t="s">
        <v>25</v>
      </c>
      <c r="E1972" s="140" t="s">
        <v>19</v>
      </c>
      <c r="F1972" s="140" t="s">
        <v>14</v>
      </c>
      <c r="G1972" s="176" t="s">
        <v>68</v>
      </c>
      <c r="H1972" s="140" t="s">
        <v>235</v>
      </c>
      <c r="I1972" s="140" t="s">
        <v>21</v>
      </c>
      <c r="J1972" s="174" t="s">
        <v>69</v>
      </c>
    </row>
    <row r="1973" hidden="1" customHeight="1" spans="1:10">
      <c r="A1973" s="140" t="s">
        <v>439</v>
      </c>
      <c r="B1973" s="140" t="s">
        <v>429</v>
      </c>
      <c r="C1973" s="171">
        <v>45703</v>
      </c>
      <c r="D1973" s="172" t="s">
        <v>27</v>
      </c>
      <c r="E1973" s="173" t="s">
        <v>13</v>
      </c>
      <c r="F1973" s="140" t="s">
        <v>440</v>
      </c>
      <c r="G1973" s="140" t="s">
        <v>21</v>
      </c>
      <c r="H1973" s="140" t="s">
        <v>125</v>
      </c>
      <c r="I1973" s="140" t="s">
        <v>21</v>
      </c>
      <c r="J1973" s="174"/>
    </row>
    <row r="1974" hidden="1" customHeight="1" spans="1:10">
      <c r="A1974" s="140" t="s">
        <v>439</v>
      </c>
      <c r="B1974" s="140" t="s">
        <v>429</v>
      </c>
      <c r="C1974" s="171">
        <v>45704</v>
      </c>
      <c r="D1974" s="172" t="s">
        <v>15</v>
      </c>
      <c r="E1974" s="173" t="s">
        <v>13</v>
      </c>
      <c r="F1974" s="140" t="s">
        <v>14</v>
      </c>
      <c r="G1974" s="140" t="s">
        <v>14</v>
      </c>
      <c r="H1974" s="140" t="s">
        <v>14</v>
      </c>
      <c r="I1974" s="140" t="s">
        <v>14</v>
      </c>
      <c r="J1974" s="174"/>
    </row>
    <row r="1975" hidden="1" customHeight="1" spans="1:10">
      <c r="A1975" s="140" t="s">
        <v>439</v>
      </c>
      <c r="B1975" s="140" t="s">
        <v>429</v>
      </c>
      <c r="C1975" s="171">
        <v>45705</v>
      </c>
      <c r="D1975" s="172" t="s">
        <v>16</v>
      </c>
      <c r="E1975" s="140" t="s">
        <v>19</v>
      </c>
      <c r="F1975" s="140" t="s">
        <v>20</v>
      </c>
      <c r="G1975" s="140" t="s">
        <v>21</v>
      </c>
      <c r="H1975" s="140" t="s">
        <v>441</v>
      </c>
      <c r="I1975" s="140" t="s">
        <v>21</v>
      </c>
      <c r="J1975" s="174"/>
    </row>
    <row r="1976" hidden="1" customHeight="1" spans="1:10">
      <c r="A1976" s="140" t="s">
        <v>439</v>
      </c>
      <c r="B1976" s="140" t="s">
        <v>429</v>
      </c>
      <c r="C1976" s="171">
        <v>45706</v>
      </c>
      <c r="D1976" s="172" t="s">
        <v>17</v>
      </c>
      <c r="E1976" s="140" t="s">
        <v>19</v>
      </c>
      <c r="F1976" s="140" t="s">
        <v>43</v>
      </c>
      <c r="G1976" s="140" t="s">
        <v>21</v>
      </c>
      <c r="H1976" s="140" t="s">
        <v>178</v>
      </c>
      <c r="I1976" s="140" t="s">
        <v>21</v>
      </c>
      <c r="J1976" s="174"/>
    </row>
    <row r="1977" hidden="1" customHeight="1" spans="1:10">
      <c r="A1977" s="140" t="s">
        <v>439</v>
      </c>
      <c r="B1977" s="140" t="s">
        <v>429</v>
      </c>
      <c r="C1977" s="171">
        <v>45707</v>
      </c>
      <c r="D1977" s="172" t="s">
        <v>18</v>
      </c>
      <c r="E1977" s="140" t="s">
        <v>19</v>
      </c>
      <c r="F1977" s="140" t="s">
        <v>43</v>
      </c>
      <c r="G1977" s="140" t="s">
        <v>21</v>
      </c>
      <c r="H1977" s="140" t="s">
        <v>172</v>
      </c>
      <c r="I1977" s="140" t="s">
        <v>21</v>
      </c>
      <c r="J1977" s="174"/>
    </row>
    <row r="1978" customHeight="1" spans="1:10">
      <c r="A1978" s="140" t="s">
        <v>439</v>
      </c>
      <c r="B1978" s="140" t="s">
        <v>429</v>
      </c>
      <c r="C1978" s="171">
        <v>45708</v>
      </c>
      <c r="D1978" s="172" t="s">
        <v>23</v>
      </c>
      <c r="E1978" s="140" t="s">
        <v>19</v>
      </c>
      <c r="F1978" s="140" t="s">
        <v>14</v>
      </c>
      <c r="G1978" s="176" t="s">
        <v>68</v>
      </c>
      <c r="H1978" s="140" t="s">
        <v>123</v>
      </c>
      <c r="I1978" s="140" t="s">
        <v>21</v>
      </c>
      <c r="J1978" s="174" t="s">
        <v>136</v>
      </c>
    </row>
    <row r="1979" customHeight="1" spans="1:10">
      <c r="A1979" s="140" t="s">
        <v>439</v>
      </c>
      <c r="B1979" s="140" t="s">
        <v>429</v>
      </c>
      <c r="C1979" s="171">
        <v>45709</v>
      </c>
      <c r="D1979" s="172" t="s">
        <v>25</v>
      </c>
      <c r="E1979" s="140" t="s">
        <v>19</v>
      </c>
      <c r="F1979" s="140" t="s">
        <v>14</v>
      </c>
      <c r="G1979" s="176" t="s">
        <v>68</v>
      </c>
      <c r="H1979" s="140" t="s">
        <v>151</v>
      </c>
      <c r="I1979" s="140" t="s">
        <v>21</v>
      </c>
      <c r="J1979" s="174" t="s">
        <v>69</v>
      </c>
    </row>
    <row r="1980" hidden="1" customHeight="1" spans="1:10">
      <c r="A1980" s="140" t="s">
        <v>439</v>
      </c>
      <c r="B1980" s="140" t="s">
        <v>429</v>
      </c>
      <c r="C1980" s="171">
        <v>45710</v>
      </c>
      <c r="D1980" s="172" t="s">
        <v>27</v>
      </c>
      <c r="E1980" s="173" t="s">
        <v>13</v>
      </c>
      <c r="F1980" s="140" t="s">
        <v>442</v>
      </c>
      <c r="G1980" s="140" t="s">
        <v>21</v>
      </c>
      <c r="H1980" s="140" t="s">
        <v>190</v>
      </c>
      <c r="I1980" s="140" t="s">
        <v>21</v>
      </c>
      <c r="J1980" s="174"/>
    </row>
    <row r="1981" hidden="1" customHeight="1" spans="1:10">
      <c r="A1981" s="140" t="s">
        <v>439</v>
      </c>
      <c r="B1981" s="140" t="s">
        <v>429</v>
      </c>
      <c r="C1981" s="171">
        <v>45711</v>
      </c>
      <c r="D1981" s="172" t="s">
        <v>15</v>
      </c>
      <c r="E1981" s="173" t="s">
        <v>13</v>
      </c>
      <c r="F1981" s="140" t="s">
        <v>443</v>
      </c>
      <c r="G1981" s="140" t="s">
        <v>21</v>
      </c>
      <c r="H1981" s="140" t="s">
        <v>444</v>
      </c>
      <c r="I1981" s="140" t="s">
        <v>21</v>
      </c>
      <c r="J1981" s="174"/>
    </row>
    <row r="1982" hidden="1" customHeight="1" spans="1:10">
      <c r="A1982" s="140" t="s">
        <v>439</v>
      </c>
      <c r="B1982" s="140" t="s">
        <v>429</v>
      </c>
      <c r="C1982" s="171">
        <v>45712</v>
      </c>
      <c r="D1982" s="172" t="s">
        <v>16</v>
      </c>
      <c r="E1982" s="140" t="s">
        <v>19</v>
      </c>
      <c r="F1982" s="140" t="s">
        <v>46</v>
      </c>
      <c r="G1982" s="140" t="s">
        <v>21</v>
      </c>
      <c r="H1982" s="140" t="s">
        <v>31</v>
      </c>
      <c r="I1982" s="140" t="s">
        <v>21</v>
      </c>
      <c r="J1982" s="174"/>
    </row>
    <row r="1983" hidden="1" customHeight="1" spans="1:10">
      <c r="A1983" s="140" t="s">
        <v>439</v>
      </c>
      <c r="B1983" s="140" t="s">
        <v>429</v>
      </c>
      <c r="C1983" s="171">
        <v>45713</v>
      </c>
      <c r="D1983" s="172" t="s">
        <v>17</v>
      </c>
      <c r="E1983" s="140" t="s">
        <v>19</v>
      </c>
      <c r="F1983" s="140" t="s">
        <v>46</v>
      </c>
      <c r="G1983" s="140" t="s">
        <v>21</v>
      </c>
      <c r="H1983" s="140" t="s">
        <v>152</v>
      </c>
      <c r="I1983" s="140" t="s">
        <v>21</v>
      </c>
      <c r="J1983" s="174"/>
    </row>
    <row r="1984" hidden="1" customHeight="1" spans="1:10">
      <c r="A1984" s="140" t="s">
        <v>439</v>
      </c>
      <c r="B1984" s="140" t="s">
        <v>429</v>
      </c>
      <c r="C1984" s="171">
        <v>45714</v>
      </c>
      <c r="D1984" s="172" t="s">
        <v>18</v>
      </c>
      <c r="E1984" s="140" t="s">
        <v>19</v>
      </c>
      <c r="F1984" s="140" t="s">
        <v>20</v>
      </c>
      <c r="G1984" s="140" t="s">
        <v>21</v>
      </c>
      <c r="H1984" s="140" t="s">
        <v>245</v>
      </c>
      <c r="I1984" s="140" t="s">
        <v>21</v>
      </c>
      <c r="J1984" s="174"/>
    </row>
    <row r="1985" customHeight="1" spans="1:10">
      <c r="A1985" s="140" t="s">
        <v>439</v>
      </c>
      <c r="B1985" s="140" t="s">
        <v>429</v>
      </c>
      <c r="C1985" s="171">
        <v>45715</v>
      </c>
      <c r="D1985" s="172" t="s">
        <v>23</v>
      </c>
      <c r="E1985" s="140" t="s">
        <v>19</v>
      </c>
      <c r="F1985" s="140" t="s">
        <v>14</v>
      </c>
      <c r="G1985" s="176" t="s">
        <v>68</v>
      </c>
      <c r="H1985" s="140" t="s">
        <v>445</v>
      </c>
      <c r="I1985" s="140" t="s">
        <v>21</v>
      </c>
      <c r="J1985" s="174" t="s">
        <v>136</v>
      </c>
    </row>
    <row r="1986" hidden="1" customHeight="1" spans="1:10">
      <c r="A1986" s="140" t="s">
        <v>439</v>
      </c>
      <c r="B1986" s="140" t="s">
        <v>429</v>
      </c>
      <c r="C1986" s="171">
        <v>45716</v>
      </c>
      <c r="D1986" s="172" t="s">
        <v>25</v>
      </c>
      <c r="E1986" s="140" t="s">
        <v>19</v>
      </c>
      <c r="F1986" s="140" t="s">
        <v>36</v>
      </c>
      <c r="G1986" s="140" t="s">
        <v>21</v>
      </c>
      <c r="H1986" s="140" t="s">
        <v>29</v>
      </c>
      <c r="I1986" s="140" t="s">
        <v>21</v>
      </c>
      <c r="J1986" s="174"/>
    </row>
    <row r="1987" hidden="1" customHeight="1" spans="1:10">
      <c r="A1987" s="140" t="s">
        <v>446</v>
      </c>
      <c r="B1987" s="140" t="s">
        <v>429</v>
      </c>
      <c r="C1987" s="171">
        <v>45689</v>
      </c>
      <c r="D1987" s="172" t="s">
        <v>12</v>
      </c>
      <c r="E1987" s="173" t="s">
        <v>13</v>
      </c>
      <c r="F1987" s="140" t="s">
        <v>14</v>
      </c>
      <c r="G1987" s="140" t="s">
        <v>14</v>
      </c>
      <c r="H1987" s="140" t="s">
        <v>14</v>
      </c>
      <c r="I1987" s="140" t="s">
        <v>14</v>
      </c>
      <c r="J1987" s="174"/>
    </row>
    <row r="1988" hidden="1" customHeight="1" spans="1:10">
      <c r="A1988" s="140" t="s">
        <v>446</v>
      </c>
      <c r="B1988" s="140" t="s">
        <v>429</v>
      </c>
      <c r="C1988" s="171">
        <v>45690</v>
      </c>
      <c r="D1988" s="172" t="s">
        <v>15</v>
      </c>
      <c r="E1988" s="173" t="s">
        <v>13</v>
      </c>
      <c r="F1988" s="140" t="s">
        <v>14</v>
      </c>
      <c r="G1988" s="140" t="s">
        <v>14</v>
      </c>
      <c r="H1988" s="140" t="s">
        <v>14</v>
      </c>
      <c r="I1988" s="140" t="s">
        <v>14</v>
      </c>
      <c r="J1988" s="174"/>
    </row>
    <row r="1989" hidden="1" customHeight="1" spans="1:10">
      <c r="A1989" s="140" t="s">
        <v>446</v>
      </c>
      <c r="B1989" s="140" t="s">
        <v>429</v>
      </c>
      <c r="C1989" s="171">
        <v>45691</v>
      </c>
      <c r="D1989" s="172" t="s">
        <v>16</v>
      </c>
      <c r="E1989" s="173" t="s">
        <v>13</v>
      </c>
      <c r="F1989" s="140" t="s">
        <v>14</v>
      </c>
      <c r="G1989" s="140" t="s">
        <v>14</v>
      </c>
      <c r="H1989" s="140" t="s">
        <v>14</v>
      </c>
      <c r="I1989" s="140" t="s">
        <v>14</v>
      </c>
      <c r="J1989" s="174"/>
    </row>
    <row r="1990" hidden="1" customHeight="1" spans="1:10">
      <c r="A1990" s="140" t="s">
        <v>446</v>
      </c>
      <c r="B1990" s="140" t="s">
        <v>429</v>
      </c>
      <c r="C1990" s="171">
        <v>45692</v>
      </c>
      <c r="D1990" s="172" t="s">
        <v>17</v>
      </c>
      <c r="E1990" s="173" t="s">
        <v>13</v>
      </c>
      <c r="F1990" s="140" t="s">
        <v>14</v>
      </c>
      <c r="G1990" s="140" t="s">
        <v>14</v>
      </c>
      <c r="H1990" s="140" t="s">
        <v>14</v>
      </c>
      <c r="I1990" s="140" t="s">
        <v>14</v>
      </c>
      <c r="J1990" s="174"/>
    </row>
    <row r="1991" hidden="1" customHeight="1" spans="1:10">
      <c r="A1991" s="140" t="s">
        <v>446</v>
      </c>
      <c r="B1991" s="140" t="s">
        <v>429</v>
      </c>
      <c r="C1991" s="171">
        <v>45693</v>
      </c>
      <c r="D1991" s="172" t="s">
        <v>18</v>
      </c>
      <c r="E1991" s="140" t="s">
        <v>19</v>
      </c>
      <c r="F1991" s="140" t="s">
        <v>195</v>
      </c>
      <c r="G1991" s="140" t="s">
        <v>21</v>
      </c>
      <c r="H1991" s="140" t="s">
        <v>88</v>
      </c>
      <c r="I1991" s="140" t="s">
        <v>21</v>
      </c>
      <c r="J1991" s="174"/>
    </row>
    <row r="1992" hidden="1" customHeight="1" spans="1:10">
      <c r="A1992" s="140" t="s">
        <v>446</v>
      </c>
      <c r="B1992" s="140" t="s">
        <v>429</v>
      </c>
      <c r="C1992" s="171">
        <v>45694</v>
      </c>
      <c r="D1992" s="172" t="s">
        <v>23</v>
      </c>
      <c r="E1992" s="140" t="s">
        <v>19</v>
      </c>
      <c r="F1992" s="140" t="s">
        <v>154</v>
      </c>
      <c r="G1992" s="140" t="s">
        <v>21</v>
      </c>
      <c r="H1992" s="140" t="s">
        <v>45</v>
      </c>
      <c r="I1992" s="140" t="s">
        <v>21</v>
      </c>
      <c r="J1992" s="174"/>
    </row>
    <row r="1993" hidden="1" customHeight="1" spans="1:10">
      <c r="A1993" s="140" t="s">
        <v>446</v>
      </c>
      <c r="B1993" s="140" t="s">
        <v>429</v>
      </c>
      <c r="C1993" s="171">
        <v>45695</v>
      </c>
      <c r="D1993" s="172" t="s">
        <v>25</v>
      </c>
      <c r="E1993" s="140" t="s">
        <v>19</v>
      </c>
      <c r="F1993" s="140" t="s">
        <v>193</v>
      </c>
      <c r="G1993" s="140" t="s">
        <v>21</v>
      </c>
      <c r="H1993" s="140" t="s">
        <v>206</v>
      </c>
      <c r="I1993" s="140" t="s">
        <v>21</v>
      </c>
      <c r="J1993" s="174"/>
    </row>
    <row r="1994" customHeight="1" spans="1:10">
      <c r="A1994" s="140" t="s">
        <v>446</v>
      </c>
      <c r="B1994" s="140" t="s">
        <v>429</v>
      </c>
      <c r="C1994" s="171">
        <v>45696</v>
      </c>
      <c r="D1994" s="172" t="s">
        <v>27</v>
      </c>
      <c r="E1994" s="140" t="s">
        <v>19</v>
      </c>
      <c r="F1994" s="140" t="s">
        <v>193</v>
      </c>
      <c r="G1994" s="140" t="s">
        <v>21</v>
      </c>
      <c r="H1994" s="140" t="s">
        <v>14</v>
      </c>
      <c r="I1994" s="176" t="s">
        <v>68</v>
      </c>
      <c r="J1994" s="174" t="s">
        <v>69</v>
      </c>
    </row>
    <row r="1995" hidden="1" customHeight="1" spans="1:10">
      <c r="A1995" s="140" t="s">
        <v>446</v>
      </c>
      <c r="B1995" s="140" t="s">
        <v>429</v>
      </c>
      <c r="C1995" s="171">
        <v>45697</v>
      </c>
      <c r="D1995" s="172" t="s">
        <v>15</v>
      </c>
      <c r="E1995" s="173" t="s">
        <v>13</v>
      </c>
      <c r="F1995" s="140" t="s">
        <v>447</v>
      </c>
      <c r="G1995" s="140" t="s">
        <v>21</v>
      </c>
      <c r="H1995" s="140" t="s">
        <v>448</v>
      </c>
      <c r="I1995" s="140" t="s">
        <v>21</v>
      </c>
      <c r="J1995" s="174"/>
    </row>
    <row r="1996" hidden="1" customHeight="1" spans="1:10">
      <c r="A1996" s="140" t="s">
        <v>446</v>
      </c>
      <c r="B1996" s="140" t="s">
        <v>429</v>
      </c>
      <c r="C1996" s="171">
        <v>45698</v>
      </c>
      <c r="D1996" s="172" t="s">
        <v>16</v>
      </c>
      <c r="E1996" s="140" t="s">
        <v>19</v>
      </c>
      <c r="F1996" s="140" t="s">
        <v>28</v>
      </c>
      <c r="G1996" s="140" t="s">
        <v>21</v>
      </c>
      <c r="H1996" s="140" t="s">
        <v>449</v>
      </c>
      <c r="I1996" s="140" t="s">
        <v>21</v>
      </c>
      <c r="J1996" s="174"/>
    </row>
    <row r="1997" hidden="1" customHeight="1" spans="1:10">
      <c r="A1997" s="140" t="s">
        <v>446</v>
      </c>
      <c r="B1997" s="140" t="s">
        <v>429</v>
      </c>
      <c r="C1997" s="171">
        <v>45699</v>
      </c>
      <c r="D1997" s="172" t="s">
        <v>17</v>
      </c>
      <c r="E1997" s="140" t="s">
        <v>19</v>
      </c>
      <c r="F1997" s="140" t="s">
        <v>157</v>
      </c>
      <c r="G1997" s="140" t="s">
        <v>21</v>
      </c>
      <c r="H1997" s="140" t="s">
        <v>45</v>
      </c>
      <c r="I1997" s="140" t="s">
        <v>21</v>
      </c>
      <c r="J1997" s="174"/>
    </row>
    <row r="1998" hidden="1" customHeight="1" spans="1:10">
      <c r="A1998" s="140" t="s">
        <v>446</v>
      </c>
      <c r="B1998" s="140" t="s">
        <v>429</v>
      </c>
      <c r="C1998" s="171">
        <v>45700</v>
      </c>
      <c r="D1998" s="172" t="s">
        <v>18</v>
      </c>
      <c r="E1998" s="140" t="s">
        <v>19</v>
      </c>
      <c r="F1998" s="140" t="s">
        <v>146</v>
      </c>
      <c r="G1998" s="140" t="s">
        <v>21</v>
      </c>
      <c r="H1998" s="140" t="s">
        <v>210</v>
      </c>
      <c r="I1998" s="140" t="s">
        <v>21</v>
      </c>
      <c r="J1998" s="174"/>
    </row>
    <row r="1999" hidden="1" customHeight="1" spans="1:10">
      <c r="A1999" s="140" t="s">
        <v>446</v>
      </c>
      <c r="B1999" s="140" t="s">
        <v>429</v>
      </c>
      <c r="C1999" s="171">
        <v>45701</v>
      </c>
      <c r="D1999" s="172" t="s">
        <v>23</v>
      </c>
      <c r="E1999" s="140" t="s">
        <v>19</v>
      </c>
      <c r="F1999" s="140" t="s">
        <v>28</v>
      </c>
      <c r="G1999" s="140" t="s">
        <v>21</v>
      </c>
      <c r="H1999" s="140" t="s">
        <v>116</v>
      </c>
      <c r="I1999" s="140" t="s">
        <v>21</v>
      </c>
      <c r="J1999" s="174"/>
    </row>
    <row r="2000" hidden="1" customHeight="1" spans="1:10">
      <c r="A2000" s="140" t="s">
        <v>446</v>
      </c>
      <c r="B2000" s="140" t="s">
        <v>429</v>
      </c>
      <c r="C2000" s="171">
        <v>45702</v>
      </c>
      <c r="D2000" s="172" t="s">
        <v>25</v>
      </c>
      <c r="E2000" s="140" t="s">
        <v>19</v>
      </c>
      <c r="F2000" s="140" t="s">
        <v>146</v>
      </c>
      <c r="G2000" s="140" t="s">
        <v>21</v>
      </c>
      <c r="H2000" s="140" t="s">
        <v>289</v>
      </c>
      <c r="I2000" s="140" t="s">
        <v>21</v>
      </c>
      <c r="J2000" s="174"/>
    </row>
    <row r="2001" hidden="1" customHeight="1" spans="1:10">
      <c r="A2001" s="140" t="s">
        <v>446</v>
      </c>
      <c r="B2001" s="140" t="s">
        <v>429</v>
      </c>
      <c r="C2001" s="171">
        <v>45703</v>
      </c>
      <c r="D2001" s="172" t="s">
        <v>27</v>
      </c>
      <c r="E2001" s="173" t="s">
        <v>13</v>
      </c>
      <c r="F2001" s="140" t="s">
        <v>14</v>
      </c>
      <c r="G2001" s="140" t="s">
        <v>14</v>
      </c>
      <c r="H2001" s="140" t="s">
        <v>14</v>
      </c>
      <c r="I2001" s="140" t="s">
        <v>14</v>
      </c>
      <c r="J2001" s="174"/>
    </row>
    <row r="2002" hidden="1" customHeight="1" spans="1:10">
      <c r="A2002" s="140" t="s">
        <v>446</v>
      </c>
      <c r="B2002" s="140" t="s">
        <v>429</v>
      </c>
      <c r="C2002" s="171">
        <v>45704</v>
      </c>
      <c r="D2002" s="172" t="s">
        <v>15</v>
      </c>
      <c r="E2002" s="173" t="s">
        <v>13</v>
      </c>
      <c r="F2002" s="140" t="s">
        <v>14</v>
      </c>
      <c r="G2002" s="140" t="s">
        <v>14</v>
      </c>
      <c r="H2002" s="140" t="s">
        <v>14</v>
      </c>
      <c r="I2002" s="140" t="s">
        <v>14</v>
      </c>
      <c r="J2002" s="174"/>
    </row>
    <row r="2003" hidden="1" customHeight="1" spans="1:10">
      <c r="A2003" s="140" t="s">
        <v>446</v>
      </c>
      <c r="B2003" s="140" t="s">
        <v>429</v>
      </c>
      <c r="C2003" s="171">
        <v>45705</v>
      </c>
      <c r="D2003" s="172" t="s">
        <v>16</v>
      </c>
      <c r="E2003" s="140" t="s">
        <v>19</v>
      </c>
      <c r="F2003" s="140" t="s">
        <v>154</v>
      </c>
      <c r="G2003" s="140" t="s">
        <v>21</v>
      </c>
      <c r="H2003" s="140" t="s">
        <v>35</v>
      </c>
      <c r="I2003" s="140" t="s">
        <v>21</v>
      </c>
      <c r="J2003" s="174"/>
    </row>
    <row r="2004" hidden="1" customHeight="1" spans="1:10">
      <c r="A2004" s="140" t="s">
        <v>446</v>
      </c>
      <c r="B2004" s="140" t="s">
        <v>429</v>
      </c>
      <c r="C2004" s="171">
        <v>45706</v>
      </c>
      <c r="D2004" s="172" t="s">
        <v>17</v>
      </c>
      <c r="E2004" s="140" t="s">
        <v>19</v>
      </c>
      <c r="F2004" s="140" t="s">
        <v>139</v>
      </c>
      <c r="G2004" s="140" t="s">
        <v>21</v>
      </c>
      <c r="H2004" s="140" t="s">
        <v>249</v>
      </c>
      <c r="I2004" s="140" t="s">
        <v>21</v>
      </c>
      <c r="J2004" s="175"/>
    </row>
    <row r="2005" hidden="1" customHeight="1" spans="1:10">
      <c r="A2005" s="140" t="s">
        <v>446</v>
      </c>
      <c r="B2005" s="140" t="s">
        <v>429</v>
      </c>
      <c r="C2005" s="171">
        <v>45707</v>
      </c>
      <c r="D2005" s="172" t="s">
        <v>18</v>
      </c>
      <c r="E2005" s="140" t="s">
        <v>19</v>
      </c>
      <c r="F2005" s="140" t="s">
        <v>30</v>
      </c>
      <c r="G2005" s="140" t="s">
        <v>21</v>
      </c>
      <c r="H2005" s="140" t="s">
        <v>73</v>
      </c>
      <c r="I2005" s="140" t="s">
        <v>21</v>
      </c>
      <c r="J2005" s="174"/>
    </row>
    <row r="2006" customHeight="1" spans="1:10">
      <c r="A2006" s="140" t="s">
        <v>446</v>
      </c>
      <c r="B2006" s="140" t="s">
        <v>429</v>
      </c>
      <c r="C2006" s="171">
        <v>45708</v>
      </c>
      <c r="D2006" s="172" t="s">
        <v>23</v>
      </c>
      <c r="E2006" s="140" t="s">
        <v>19</v>
      </c>
      <c r="F2006" s="140" t="s">
        <v>14</v>
      </c>
      <c r="G2006" s="176" t="s">
        <v>68</v>
      </c>
      <c r="H2006" s="140" t="s">
        <v>123</v>
      </c>
      <c r="I2006" s="140" t="s">
        <v>21</v>
      </c>
      <c r="J2006" s="174" t="s">
        <v>93</v>
      </c>
    </row>
    <row r="2007" customHeight="1" spans="1:10">
      <c r="A2007" s="140" t="s">
        <v>446</v>
      </c>
      <c r="B2007" s="140" t="s">
        <v>429</v>
      </c>
      <c r="C2007" s="171">
        <v>45709</v>
      </c>
      <c r="D2007" s="172" t="s">
        <v>25</v>
      </c>
      <c r="E2007" s="140" t="s">
        <v>19</v>
      </c>
      <c r="F2007" s="140" t="s">
        <v>14</v>
      </c>
      <c r="G2007" s="176" t="s">
        <v>68</v>
      </c>
      <c r="H2007" s="140" t="s">
        <v>206</v>
      </c>
      <c r="I2007" s="140" t="s">
        <v>21</v>
      </c>
      <c r="J2007" s="174" t="s">
        <v>69</v>
      </c>
    </row>
    <row r="2008" hidden="1" customHeight="1" spans="1:10">
      <c r="A2008" s="140" t="s">
        <v>446</v>
      </c>
      <c r="B2008" s="140" t="s">
        <v>429</v>
      </c>
      <c r="C2008" s="171">
        <v>45710</v>
      </c>
      <c r="D2008" s="172" t="s">
        <v>27</v>
      </c>
      <c r="E2008" s="173" t="s">
        <v>13</v>
      </c>
      <c r="F2008" s="140" t="s">
        <v>450</v>
      </c>
      <c r="G2008" s="140" t="s">
        <v>21</v>
      </c>
      <c r="H2008" s="140" t="s">
        <v>88</v>
      </c>
      <c r="I2008" s="140" t="s">
        <v>21</v>
      </c>
      <c r="J2008" s="174"/>
    </row>
    <row r="2009" hidden="1" customHeight="1" spans="1:10">
      <c r="A2009" s="140" t="s">
        <v>446</v>
      </c>
      <c r="B2009" s="140" t="s">
        <v>429</v>
      </c>
      <c r="C2009" s="171">
        <v>45711</v>
      </c>
      <c r="D2009" s="172" t="s">
        <v>15</v>
      </c>
      <c r="E2009" s="173" t="s">
        <v>13</v>
      </c>
      <c r="F2009" s="140" t="s">
        <v>14</v>
      </c>
      <c r="G2009" s="140" t="s">
        <v>14</v>
      </c>
      <c r="H2009" s="140" t="s">
        <v>14</v>
      </c>
      <c r="I2009" s="140" t="s">
        <v>14</v>
      </c>
      <c r="J2009" s="174"/>
    </row>
    <row r="2010" hidden="1" customHeight="1" spans="1:10">
      <c r="A2010" s="140" t="s">
        <v>446</v>
      </c>
      <c r="B2010" s="140" t="s">
        <v>429</v>
      </c>
      <c r="C2010" s="171">
        <v>45712</v>
      </c>
      <c r="D2010" s="172" t="s">
        <v>16</v>
      </c>
      <c r="E2010" s="140" t="s">
        <v>19</v>
      </c>
      <c r="F2010" s="140" t="s">
        <v>51</v>
      </c>
      <c r="G2010" s="140" t="s">
        <v>21</v>
      </c>
      <c r="H2010" s="140" t="s">
        <v>168</v>
      </c>
      <c r="I2010" s="140" t="s">
        <v>21</v>
      </c>
      <c r="J2010" s="174"/>
    </row>
    <row r="2011" hidden="1" customHeight="1" spans="1:10">
      <c r="A2011" s="140" t="s">
        <v>446</v>
      </c>
      <c r="B2011" s="140" t="s">
        <v>429</v>
      </c>
      <c r="C2011" s="171">
        <v>45713</v>
      </c>
      <c r="D2011" s="172" t="s">
        <v>17</v>
      </c>
      <c r="E2011" s="140" t="s">
        <v>19</v>
      </c>
      <c r="F2011" s="140" t="s">
        <v>188</v>
      </c>
      <c r="G2011" s="140" t="s">
        <v>21</v>
      </c>
      <c r="H2011" s="140" t="s">
        <v>206</v>
      </c>
      <c r="I2011" s="140" t="s">
        <v>21</v>
      </c>
      <c r="J2011" s="174"/>
    </row>
    <row r="2012" hidden="1" customHeight="1" spans="1:10">
      <c r="A2012" s="140" t="s">
        <v>446</v>
      </c>
      <c r="B2012" s="140" t="s">
        <v>429</v>
      </c>
      <c r="C2012" s="171">
        <v>45714</v>
      </c>
      <c r="D2012" s="172" t="s">
        <v>18</v>
      </c>
      <c r="E2012" s="140" t="s">
        <v>19</v>
      </c>
      <c r="F2012" s="140" t="s">
        <v>193</v>
      </c>
      <c r="G2012" s="140" t="s">
        <v>21</v>
      </c>
      <c r="H2012" s="140" t="s">
        <v>175</v>
      </c>
      <c r="I2012" s="140" t="s">
        <v>21</v>
      </c>
      <c r="J2012" s="174"/>
    </row>
    <row r="2013" hidden="1" customHeight="1" spans="1:10">
      <c r="A2013" s="140" t="s">
        <v>446</v>
      </c>
      <c r="B2013" s="140" t="s">
        <v>429</v>
      </c>
      <c r="C2013" s="171">
        <v>45715</v>
      </c>
      <c r="D2013" s="172" t="s">
        <v>23</v>
      </c>
      <c r="E2013" s="140" t="s">
        <v>19</v>
      </c>
      <c r="F2013" s="140" t="s">
        <v>188</v>
      </c>
      <c r="G2013" s="140" t="s">
        <v>21</v>
      </c>
      <c r="H2013" s="140" t="s">
        <v>45</v>
      </c>
      <c r="I2013" s="140" t="s">
        <v>21</v>
      </c>
      <c r="J2013" s="174"/>
    </row>
    <row r="2014" hidden="1" customHeight="1" spans="1:10">
      <c r="A2014" s="140" t="s">
        <v>446</v>
      </c>
      <c r="B2014" s="140" t="s">
        <v>429</v>
      </c>
      <c r="C2014" s="171">
        <v>45716</v>
      </c>
      <c r="D2014" s="172" t="s">
        <v>25</v>
      </c>
      <c r="E2014" s="140" t="s">
        <v>19</v>
      </c>
      <c r="F2014" s="140" t="s">
        <v>33</v>
      </c>
      <c r="G2014" s="140" t="s">
        <v>21</v>
      </c>
      <c r="H2014" s="140" t="s">
        <v>142</v>
      </c>
      <c r="I2014" s="140" t="s">
        <v>21</v>
      </c>
      <c r="J2014" s="174"/>
    </row>
    <row r="2015" hidden="1" customHeight="1" spans="1:10">
      <c r="A2015" s="140" t="s">
        <v>451</v>
      </c>
      <c r="B2015" s="140" t="s">
        <v>429</v>
      </c>
      <c r="C2015" s="171">
        <v>45689</v>
      </c>
      <c r="D2015" s="172" t="s">
        <v>12</v>
      </c>
      <c r="E2015" s="173" t="s">
        <v>13</v>
      </c>
      <c r="F2015" s="140" t="s">
        <v>14</v>
      </c>
      <c r="G2015" s="140" t="s">
        <v>14</v>
      </c>
      <c r="H2015" s="140" t="s">
        <v>14</v>
      </c>
      <c r="I2015" s="140" t="s">
        <v>14</v>
      </c>
      <c r="J2015" s="174"/>
    </row>
    <row r="2016" hidden="1" customHeight="1" spans="1:10">
      <c r="A2016" s="140" t="s">
        <v>451</v>
      </c>
      <c r="B2016" s="140" t="s">
        <v>429</v>
      </c>
      <c r="C2016" s="171">
        <v>45690</v>
      </c>
      <c r="D2016" s="172" t="s">
        <v>15</v>
      </c>
      <c r="E2016" s="173" t="s">
        <v>13</v>
      </c>
      <c r="F2016" s="140" t="s">
        <v>14</v>
      </c>
      <c r="G2016" s="140" t="s">
        <v>14</v>
      </c>
      <c r="H2016" s="140" t="s">
        <v>14</v>
      </c>
      <c r="I2016" s="140" t="s">
        <v>14</v>
      </c>
      <c r="J2016" s="174"/>
    </row>
    <row r="2017" hidden="1" customHeight="1" spans="1:10">
      <c r="A2017" s="140" t="s">
        <v>451</v>
      </c>
      <c r="B2017" s="140" t="s">
        <v>429</v>
      </c>
      <c r="C2017" s="171">
        <v>45691</v>
      </c>
      <c r="D2017" s="172" t="s">
        <v>16</v>
      </c>
      <c r="E2017" s="173" t="s">
        <v>13</v>
      </c>
      <c r="F2017" s="140" t="s">
        <v>14</v>
      </c>
      <c r="G2017" s="140" t="s">
        <v>14</v>
      </c>
      <c r="H2017" s="140" t="s">
        <v>14</v>
      </c>
      <c r="I2017" s="140" t="s">
        <v>14</v>
      </c>
      <c r="J2017" s="174"/>
    </row>
    <row r="2018" hidden="1" customHeight="1" spans="1:10">
      <c r="A2018" s="140" t="s">
        <v>451</v>
      </c>
      <c r="B2018" s="140" t="s">
        <v>429</v>
      </c>
      <c r="C2018" s="171">
        <v>45692</v>
      </c>
      <c r="D2018" s="172" t="s">
        <v>17</v>
      </c>
      <c r="E2018" s="173" t="s">
        <v>13</v>
      </c>
      <c r="F2018" s="140" t="s">
        <v>14</v>
      </c>
      <c r="G2018" s="140" t="s">
        <v>14</v>
      </c>
      <c r="H2018" s="140" t="s">
        <v>14</v>
      </c>
      <c r="I2018" s="140" t="s">
        <v>14</v>
      </c>
      <c r="J2018" s="174"/>
    </row>
    <row r="2019" hidden="1" customHeight="1" spans="1:10">
      <c r="A2019" s="140" t="s">
        <v>451</v>
      </c>
      <c r="B2019" s="140" t="s">
        <v>429</v>
      </c>
      <c r="C2019" s="171">
        <v>45693</v>
      </c>
      <c r="D2019" s="172" t="s">
        <v>18</v>
      </c>
      <c r="E2019" s="140" t="s">
        <v>19</v>
      </c>
      <c r="F2019" s="140" t="s">
        <v>20</v>
      </c>
      <c r="G2019" s="140" t="s">
        <v>21</v>
      </c>
      <c r="H2019" s="140" t="s">
        <v>191</v>
      </c>
      <c r="I2019" s="140" t="s">
        <v>21</v>
      </c>
      <c r="J2019" s="174"/>
    </row>
    <row r="2020" hidden="1" customHeight="1" spans="1:10">
      <c r="A2020" s="140" t="s">
        <v>451</v>
      </c>
      <c r="B2020" s="140" t="s">
        <v>429</v>
      </c>
      <c r="C2020" s="171">
        <v>45694</v>
      </c>
      <c r="D2020" s="172" t="s">
        <v>23</v>
      </c>
      <c r="E2020" s="140" t="s">
        <v>19</v>
      </c>
      <c r="F2020" s="140" t="s">
        <v>43</v>
      </c>
      <c r="G2020" s="140" t="s">
        <v>21</v>
      </c>
      <c r="H2020" s="140" t="s">
        <v>387</v>
      </c>
      <c r="I2020" s="140" t="s">
        <v>21</v>
      </c>
      <c r="J2020" s="174"/>
    </row>
    <row r="2021" hidden="1" customHeight="1" spans="1:10">
      <c r="A2021" s="140" t="s">
        <v>451</v>
      </c>
      <c r="B2021" s="140" t="s">
        <v>429</v>
      </c>
      <c r="C2021" s="171">
        <v>45695</v>
      </c>
      <c r="D2021" s="172" t="s">
        <v>25</v>
      </c>
      <c r="E2021" s="140" t="s">
        <v>19</v>
      </c>
      <c r="F2021" s="140" t="s">
        <v>157</v>
      </c>
      <c r="G2021" s="140" t="s">
        <v>21</v>
      </c>
      <c r="H2021" s="140" t="s">
        <v>452</v>
      </c>
      <c r="I2021" s="140" t="s">
        <v>21</v>
      </c>
      <c r="J2021" s="174"/>
    </row>
    <row r="2022" hidden="1" customHeight="1" spans="1:10">
      <c r="A2022" s="140" t="s">
        <v>451</v>
      </c>
      <c r="B2022" s="140" t="s">
        <v>429</v>
      </c>
      <c r="C2022" s="171">
        <v>45696</v>
      </c>
      <c r="D2022" s="172" t="s">
        <v>27</v>
      </c>
      <c r="E2022" s="140" t="s">
        <v>19</v>
      </c>
      <c r="F2022" s="140" t="s">
        <v>20</v>
      </c>
      <c r="G2022" s="140" t="s">
        <v>21</v>
      </c>
      <c r="H2022" s="140" t="s">
        <v>213</v>
      </c>
      <c r="I2022" s="140" t="s">
        <v>21</v>
      </c>
      <c r="J2022" s="174"/>
    </row>
    <row r="2023" hidden="1" customHeight="1" spans="1:10">
      <c r="A2023" s="140" t="s">
        <v>451</v>
      </c>
      <c r="B2023" s="140" t="s">
        <v>429</v>
      </c>
      <c r="C2023" s="171">
        <v>45697</v>
      </c>
      <c r="D2023" s="172" t="s">
        <v>15</v>
      </c>
      <c r="E2023" s="173" t="s">
        <v>13</v>
      </c>
      <c r="F2023" s="140" t="s">
        <v>14</v>
      </c>
      <c r="G2023" s="140" t="s">
        <v>14</v>
      </c>
      <c r="H2023" s="140" t="s">
        <v>14</v>
      </c>
      <c r="I2023" s="140" t="s">
        <v>14</v>
      </c>
      <c r="J2023" s="174"/>
    </row>
    <row r="2024" hidden="1" customHeight="1" spans="1:10">
      <c r="A2024" s="140" t="s">
        <v>451</v>
      </c>
      <c r="B2024" s="140" t="s">
        <v>429</v>
      </c>
      <c r="C2024" s="171">
        <v>45698</v>
      </c>
      <c r="D2024" s="172" t="s">
        <v>16</v>
      </c>
      <c r="E2024" s="140" t="s">
        <v>19</v>
      </c>
      <c r="F2024" s="140" t="s">
        <v>51</v>
      </c>
      <c r="G2024" s="140" t="s">
        <v>21</v>
      </c>
      <c r="H2024" s="140" t="s">
        <v>241</v>
      </c>
      <c r="I2024" s="140" t="s">
        <v>21</v>
      </c>
      <c r="J2024" s="174"/>
    </row>
    <row r="2025" hidden="1" customHeight="1" spans="1:10">
      <c r="A2025" s="140" t="s">
        <v>451</v>
      </c>
      <c r="B2025" s="140" t="s">
        <v>429</v>
      </c>
      <c r="C2025" s="171">
        <v>45699</v>
      </c>
      <c r="D2025" s="172" t="s">
        <v>17</v>
      </c>
      <c r="E2025" s="140" t="s">
        <v>19</v>
      </c>
      <c r="F2025" s="140" t="s">
        <v>20</v>
      </c>
      <c r="G2025" s="140" t="s">
        <v>21</v>
      </c>
      <c r="H2025" s="140" t="s">
        <v>453</v>
      </c>
      <c r="I2025" s="140" t="s">
        <v>21</v>
      </c>
      <c r="J2025" s="174"/>
    </row>
    <row r="2026" hidden="1" customHeight="1" spans="1:10">
      <c r="A2026" s="140" t="s">
        <v>451</v>
      </c>
      <c r="B2026" s="140" t="s">
        <v>429</v>
      </c>
      <c r="C2026" s="171">
        <v>45700</v>
      </c>
      <c r="D2026" s="172" t="s">
        <v>18</v>
      </c>
      <c r="E2026" s="140" t="s">
        <v>19</v>
      </c>
      <c r="F2026" s="140" t="s">
        <v>209</v>
      </c>
      <c r="G2026" s="140" t="s">
        <v>21</v>
      </c>
      <c r="H2026" s="140" t="s">
        <v>213</v>
      </c>
      <c r="I2026" s="140" t="s">
        <v>21</v>
      </c>
      <c r="J2026" s="174"/>
    </row>
    <row r="2027" hidden="1" customHeight="1" spans="1:10">
      <c r="A2027" s="140" t="s">
        <v>451</v>
      </c>
      <c r="B2027" s="140" t="s">
        <v>429</v>
      </c>
      <c r="C2027" s="171">
        <v>45701</v>
      </c>
      <c r="D2027" s="172" t="s">
        <v>23</v>
      </c>
      <c r="E2027" s="140" t="s">
        <v>19</v>
      </c>
      <c r="F2027" s="140" t="s">
        <v>43</v>
      </c>
      <c r="G2027" s="140" t="s">
        <v>21</v>
      </c>
      <c r="H2027" s="140" t="s">
        <v>454</v>
      </c>
      <c r="I2027" s="140" t="s">
        <v>21</v>
      </c>
      <c r="J2027" s="174"/>
    </row>
    <row r="2028" hidden="1" customHeight="1" spans="1:10">
      <c r="A2028" s="140" t="s">
        <v>451</v>
      </c>
      <c r="B2028" s="140" t="s">
        <v>429</v>
      </c>
      <c r="C2028" s="171">
        <v>45702</v>
      </c>
      <c r="D2028" s="172" t="s">
        <v>25</v>
      </c>
      <c r="E2028" s="140" t="s">
        <v>19</v>
      </c>
      <c r="F2028" s="140" t="s">
        <v>43</v>
      </c>
      <c r="G2028" s="140" t="s">
        <v>21</v>
      </c>
      <c r="H2028" s="140" t="s">
        <v>189</v>
      </c>
      <c r="I2028" s="140" t="s">
        <v>21</v>
      </c>
      <c r="J2028" s="174"/>
    </row>
    <row r="2029" hidden="1" customHeight="1" spans="1:10">
      <c r="A2029" s="140" t="s">
        <v>451</v>
      </c>
      <c r="B2029" s="140" t="s">
        <v>429</v>
      </c>
      <c r="C2029" s="171">
        <v>45703</v>
      </c>
      <c r="D2029" s="172" t="s">
        <v>27</v>
      </c>
      <c r="E2029" s="173" t="s">
        <v>13</v>
      </c>
      <c r="F2029" s="140" t="s">
        <v>14</v>
      </c>
      <c r="G2029" s="140" t="s">
        <v>14</v>
      </c>
      <c r="H2029" s="140" t="s">
        <v>14</v>
      </c>
      <c r="I2029" s="140" t="s">
        <v>14</v>
      </c>
      <c r="J2029" s="174"/>
    </row>
    <row r="2030" hidden="1" customHeight="1" spans="1:10">
      <c r="A2030" s="140" t="s">
        <v>451</v>
      </c>
      <c r="B2030" s="140" t="s">
        <v>429</v>
      </c>
      <c r="C2030" s="171">
        <v>45704</v>
      </c>
      <c r="D2030" s="172" t="s">
        <v>15</v>
      </c>
      <c r="E2030" s="173" t="s">
        <v>13</v>
      </c>
      <c r="F2030" s="140" t="s">
        <v>14</v>
      </c>
      <c r="G2030" s="140" t="s">
        <v>14</v>
      </c>
      <c r="H2030" s="140" t="s">
        <v>14</v>
      </c>
      <c r="I2030" s="140" t="s">
        <v>14</v>
      </c>
      <c r="J2030" s="174"/>
    </row>
    <row r="2031" customHeight="1" spans="1:10">
      <c r="A2031" s="140" t="s">
        <v>451</v>
      </c>
      <c r="B2031" s="140" t="s">
        <v>429</v>
      </c>
      <c r="C2031" s="171">
        <v>45705</v>
      </c>
      <c r="D2031" s="172" t="s">
        <v>16</v>
      </c>
      <c r="E2031" s="140" t="s">
        <v>19</v>
      </c>
      <c r="F2031" s="140" t="s">
        <v>14</v>
      </c>
      <c r="G2031" s="176" t="s">
        <v>68</v>
      </c>
      <c r="H2031" s="140" t="s">
        <v>99</v>
      </c>
      <c r="I2031" s="140" t="s">
        <v>21</v>
      </c>
      <c r="J2031" s="174" t="s">
        <v>69</v>
      </c>
    </row>
    <row r="2032" hidden="1" customHeight="1" spans="1:10">
      <c r="A2032" s="140" t="s">
        <v>451</v>
      </c>
      <c r="B2032" s="140" t="s">
        <v>429</v>
      </c>
      <c r="C2032" s="171">
        <v>45706</v>
      </c>
      <c r="D2032" s="172" t="s">
        <v>17</v>
      </c>
      <c r="E2032" s="140" t="s">
        <v>19</v>
      </c>
      <c r="F2032" s="140" t="s">
        <v>43</v>
      </c>
      <c r="G2032" s="140" t="s">
        <v>21</v>
      </c>
      <c r="H2032" s="140" t="s">
        <v>343</v>
      </c>
      <c r="I2032" s="140" t="s">
        <v>21</v>
      </c>
      <c r="J2032" s="174"/>
    </row>
    <row r="2033" hidden="1" customHeight="1" spans="1:10">
      <c r="A2033" s="140" t="s">
        <v>451</v>
      </c>
      <c r="B2033" s="140" t="s">
        <v>429</v>
      </c>
      <c r="C2033" s="171">
        <v>45707</v>
      </c>
      <c r="D2033" s="172" t="s">
        <v>18</v>
      </c>
      <c r="E2033" s="140" t="s">
        <v>19</v>
      </c>
      <c r="F2033" s="140" t="s">
        <v>36</v>
      </c>
      <c r="G2033" s="140" t="s">
        <v>21</v>
      </c>
      <c r="H2033" s="140" t="s">
        <v>455</v>
      </c>
      <c r="I2033" s="140" t="s">
        <v>21</v>
      </c>
      <c r="J2033" s="174"/>
    </row>
    <row r="2034" hidden="1" customHeight="1" spans="1:10">
      <c r="A2034" s="140" t="s">
        <v>451</v>
      </c>
      <c r="B2034" s="140" t="s">
        <v>429</v>
      </c>
      <c r="C2034" s="171">
        <v>45708</v>
      </c>
      <c r="D2034" s="172" t="s">
        <v>23</v>
      </c>
      <c r="E2034" s="140" t="s">
        <v>19</v>
      </c>
      <c r="F2034" s="140" t="s">
        <v>51</v>
      </c>
      <c r="G2034" s="140" t="s">
        <v>21</v>
      </c>
      <c r="H2034" s="140" t="s">
        <v>31</v>
      </c>
      <c r="I2034" s="140" t="s">
        <v>21</v>
      </c>
      <c r="J2034" s="175"/>
    </row>
    <row r="2035" customHeight="1" spans="1:10">
      <c r="A2035" s="140" t="s">
        <v>451</v>
      </c>
      <c r="B2035" s="140" t="s">
        <v>429</v>
      </c>
      <c r="C2035" s="171">
        <v>45709</v>
      </c>
      <c r="D2035" s="172" t="s">
        <v>25</v>
      </c>
      <c r="E2035" s="140" t="s">
        <v>19</v>
      </c>
      <c r="F2035" s="140" t="s">
        <v>51</v>
      </c>
      <c r="G2035" s="140" t="s">
        <v>21</v>
      </c>
      <c r="H2035" s="140" t="s">
        <v>14</v>
      </c>
      <c r="I2035" s="176" t="s">
        <v>68</v>
      </c>
      <c r="J2035" s="174" t="s">
        <v>69</v>
      </c>
    </row>
    <row r="2036" hidden="1" customHeight="1" spans="1:10">
      <c r="A2036" s="140" t="s">
        <v>451</v>
      </c>
      <c r="B2036" s="140" t="s">
        <v>429</v>
      </c>
      <c r="C2036" s="171">
        <v>45710</v>
      </c>
      <c r="D2036" s="172" t="s">
        <v>27</v>
      </c>
      <c r="E2036" s="173" t="s">
        <v>13</v>
      </c>
      <c r="F2036" s="140" t="s">
        <v>14</v>
      </c>
      <c r="G2036" s="140" t="s">
        <v>14</v>
      </c>
      <c r="H2036" s="140" t="s">
        <v>14</v>
      </c>
      <c r="I2036" s="140" t="s">
        <v>14</v>
      </c>
      <c r="J2036" s="174"/>
    </row>
    <row r="2037" hidden="1" customHeight="1" spans="1:10">
      <c r="A2037" s="140" t="s">
        <v>451</v>
      </c>
      <c r="B2037" s="140" t="s">
        <v>429</v>
      </c>
      <c r="C2037" s="171">
        <v>45711</v>
      </c>
      <c r="D2037" s="172" t="s">
        <v>15</v>
      </c>
      <c r="E2037" s="173" t="s">
        <v>13</v>
      </c>
      <c r="F2037" s="140" t="s">
        <v>14</v>
      </c>
      <c r="G2037" s="140" t="s">
        <v>14</v>
      </c>
      <c r="H2037" s="140" t="s">
        <v>14</v>
      </c>
      <c r="I2037" s="140" t="s">
        <v>14</v>
      </c>
      <c r="J2037" s="174"/>
    </row>
    <row r="2038" customHeight="1" spans="1:10">
      <c r="A2038" s="140" t="s">
        <v>451</v>
      </c>
      <c r="B2038" s="140" t="s">
        <v>429</v>
      </c>
      <c r="C2038" s="171">
        <v>45712</v>
      </c>
      <c r="D2038" s="172" t="s">
        <v>16</v>
      </c>
      <c r="E2038" s="140" t="s">
        <v>19</v>
      </c>
      <c r="F2038" s="140" t="s">
        <v>108</v>
      </c>
      <c r="G2038" s="140" t="s">
        <v>21</v>
      </c>
      <c r="H2038" s="140" t="s">
        <v>14</v>
      </c>
      <c r="I2038" s="176" t="s">
        <v>68</v>
      </c>
      <c r="J2038" s="174" t="s">
        <v>69</v>
      </c>
    </row>
    <row r="2039" hidden="1" customHeight="1" spans="1:10">
      <c r="A2039" s="140" t="s">
        <v>451</v>
      </c>
      <c r="B2039" s="140" t="s">
        <v>429</v>
      </c>
      <c r="C2039" s="171">
        <v>45713</v>
      </c>
      <c r="D2039" s="172" t="s">
        <v>17</v>
      </c>
      <c r="E2039" s="140" t="s">
        <v>19</v>
      </c>
      <c r="F2039" s="140" t="s">
        <v>36</v>
      </c>
      <c r="G2039" s="140" t="s">
        <v>21</v>
      </c>
      <c r="H2039" s="140" t="s">
        <v>456</v>
      </c>
      <c r="I2039" s="140" t="s">
        <v>21</v>
      </c>
      <c r="J2039" s="174"/>
    </row>
    <row r="2040" hidden="1" customHeight="1" spans="1:10">
      <c r="A2040" s="140" t="s">
        <v>451</v>
      </c>
      <c r="B2040" s="140" t="s">
        <v>429</v>
      </c>
      <c r="C2040" s="171">
        <v>45714</v>
      </c>
      <c r="D2040" s="172" t="s">
        <v>18</v>
      </c>
      <c r="E2040" s="140" t="s">
        <v>19</v>
      </c>
      <c r="F2040" s="140" t="s">
        <v>33</v>
      </c>
      <c r="G2040" s="140" t="s">
        <v>21</v>
      </c>
      <c r="H2040" s="140" t="s">
        <v>431</v>
      </c>
      <c r="I2040" s="140" t="s">
        <v>21</v>
      </c>
      <c r="J2040" s="174"/>
    </row>
    <row r="2041" hidden="1" customHeight="1" spans="1:10">
      <c r="A2041" s="140" t="s">
        <v>451</v>
      </c>
      <c r="B2041" s="140" t="s">
        <v>429</v>
      </c>
      <c r="C2041" s="171">
        <v>45715</v>
      </c>
      <c r="D2041" s="172" t="s">
        <v>23</v>
      </c>
      <c r="E2041" s="140" t="s">
        <v>19</v>
      </c>
      <c r="F2041" s="140" t="s">
        <v>51</v>
      </c>
      <c r="G2041" s="140" t="s">
        <v>21</v>
      </c>
      <c r="H2041" s="140" t="s">
        <v>445</v>
      </c>
      <c r="I2041" s="140" t="s">
        <v>21</v>
      </c>
      <c r="J2041" s="174"/>
    </row>
    <row r="2042" hidden="1" customHeight="1" spans="1:10">
      <c r="A2042" s="140" t="s">
        <v>451</v>
      </c>
      <c r="B2042" s="140" t="s">
        <v>429</v>
      </c>
      <c r="C2042" s="171">
        <v>45716</v>
      </c>
      <c r="D2042" s="172" t="s">
        <v>25</v>
      </c>
      <c r="E2042" s="140" t="s">
        <v>19</v>
      </c>
      <c r="F2042" s="140" t="s">
        <v>36</v>
      </c>
      <c r="G2042" s="140" t="s">
        <v>21</v>
      </c>
      <c r="H2042" s="140" t="s">
        <v>213</v>
      </c>
      <c r="I2042" s="140" t="s">
        <v>21</v>
      </c>
      <c r="J2042" s="174"/>
    </row>
    <row r="2043" hidden="1" customHeight="1" spans="1:10">
      <c r="A2043" s="140" t="s">
        <v>457</v>
      </c>
      <c r="B2043" s="140" t="s">
        <v>429</v>
      </c>
      <c r="C2043" s="171">
        <v>45689</v>
      </c>
      <c r="D2043" s="172" t="s">
        <v>12</v>
      </c>
      <c r="E2043" s="173" t="s">
        <v>13</v>
      </c>
      <c r="F2043" s="140" t="s">
        <v>14</v>
      </c>
      <c r="G2043" s="140" t="s">
        <v>14</v>
      </c>
      <c r="H2043" s="140" t="s">
        <v>14</v>
      </c>
      <c r="I2043" s="140" t="s">
        <v>14</v>
      </c>
      <c r="J2043" s="174"/>
    </row>
    <row r="2044" hidden="1" customHeight="1" spans="1:10">
      <c r="A2044" s="140" t="s">
        <v>457</v>
      </c>
      <c r="B2044" s="140" t="s">
        <v>429</v>
      </c>
      <c r="C2044" s="171">
        <v>45690</v>
      </c>
      <c r="D2044" s="172" t="s">
        <v>15</v>
      </c>
      <c r="E2044" s="173" t="s">
        <v>13</v>
      </c>
      <c r="F2044" s="140" t="s">
        <v>14</v>
      </c>
      <c r="G2044" s="140" t="s">
        <v>14</v>
      </c>
      <c r="H2044" s="140" t="s">
        <v>14</v>
      </c>
      <c r="I2044" s="140" t="s">
        <v>14</v>
      </c>
      <c r="J2044" s="174"/>
    </row>
    <row r="2045" hidden="1" customHeight="1" spans="1:10">
      <c r="A2045" s="140" t="s">
        <v>457</v>
      </c>
      <c r="B2045" s="140" t="s">
        <v>429</v>
      </c>
      <c r="C2045" s="171">
        <v>45691</v>
      </c>
      <c r="D2045" s="172" t="s">
        <v>16</v>
      </c>
      <c r="E2045" s="173" t="s">
        <v>13</v>
      </c>
      <c r="F2045" s="140" t="s">
        <v>14</v>
      </c>
      <c r="G2045" s="140" t="s">
        <v>14</v>
      </c>
      <c r="H2045" s="140" t="s">
        <v>14</v>
      </c>
      <c r="I2045" s="140" t="s">
        <v>14</v>
      </c>
      <c r="J2045" s="174"/>
    </row>
    <row r="2046" hidden="1" customHeight="1" spans="1:10">
      <c r="A2046" s="140" t="s">
        <v>457</v>
      </c>
      <c r="B2046" s="140" t="s">
        <v>429</v>
      </c>
      <c r="C2046" s="171">
        <v>45692</v>
      </c>
      <c r="D2046" s="172" t="s">
        <v>17</v>
      </c>
      <c r="E2046" s="173" t="s">
        <v>13</v>
      </c>
      <c r="F2046" s="140" t="s">
        <v>14</v>
      </c>
      <c r="G2046" s="140" t="s">
        <v>14</v>
      </c>
      <c r="H2046" s="140" t="s">
        <v>14</v>
      </c>
      <c r="I2046" s="140" t="s">
        <v>14</v>
      </c>
      <c r="J2046" s="174"/>
    </row>
    <row r="2047" hidden="1" customHeight="1" spans="1:10">
      <c r="A2047" s="140" t="s">
        <v>457</v>
      </c>
      <c r="B2047" s="140" t="s">
        <v>429</v>
      </c>
      <c r="C2047" s="171">
        <v>45693</v>
      </c>
      <c r="D2047" s="172" t="s">
        <v>18</v>
      </c>
      <c r="E2047" s="140" t="s">
        <v>19</v>
      </c>
      <c r="F2047" s="140" t="s">
        <v>76</v>
      </c>
      <c r="G2047" s="140" t="s">
        <v>21</v>
      </c>
      <c r="H2047" s="140" t="s">
        <v>333</v>
      </c>
      <c r="I2047" s="140" t="s">
        <v>21</v>
      </c>
      <c r="J2047" s="174"/>
    </row>
    <row r="2048" hidden="1" customHeight="1" spans="1:10">
      <c r="A2048" s="140" t="s">
        <v>457</v>
      </c>
      <c r="B2048" s="140" t="s">
        <v>429</v>
      </c>
      <c r="C2048" s="171">
        <v>45694</v>
      </c>
      <c r="D2048" s="172" t="s">
        <v>23</v>
      </c>
      <c r="E2048" s="140" t="s">
        <v>19</v>
      </c>
      <c r="F2048" s="140" t="s">
        <v>320</v>
      </c>
      <c r="G2048" s="140" t="s">
        <v>21</v>
      </c>
      <c r="H2048" s="140" t="s">
        <v>123</v>
      </c>
      <c r="I2048" s="140" t="s">
        <v>21</v>
      </c>
      <c r="J2048" s="174"/>
    </row>
    <row r="2049" hidden="1" customHeight="1" spans="1:10">
      <c r="A2049" s="140" t="s">
        <v>457</v>
      </c>
      <c r="B2049" s="140" t="s">
        <v>429</v>
      </c>
      <c r="C2049" s="171">
        <v>45695</v>
      </c>
      <c r="D2049" s="172" t="s">
        <v>25</v>
      </c>
      <c r="E2049" s="140" t="s">
        <v>19</v>
      </c>
      <c r="F2049" s="140" t="s">
        <v>72</v>
      </c>
      <c r="G2049" s="140" t="s">
        <v>21</v>
      </c>
      <c r="H2049" s="140" t="s">
        <v>80</v>
      </c>
      <c r="I2049" s="140" t="s">
        <v>21</v>
      </c>
      <c r="J2049" s="174"/>
    </row>
    <row r="2050" hidden="1" customHeight="1" spans="1:10">
      <c r="A2050" s="140" t="s">
        <v>457</v>
      </c>
      <c r="B2050" s="140" t="s">
        <v>429</v>
      </c>
      <c r="C2050" s="171">
        <v>45696</v>
      </c>
      <c r="D2050" s="172" t="s">
        <v>27</v>
      </c>
      <c r="E2050" s="140" t="s">
        <v>19</v>
      </c>
      <c r="F2050" s="140" t="s">
        <v>76</v>
      </c>
      <c r="G2050" s="140" t="s">
        <v>21</v>
      </c>
      <c r="H2050" s="140" t="s">
        <v>372</v>
      </c>
      <c r="I2050" s="140" t="s">
        <v>21</v>
      </c>
      <c r="J2050" s="174"/>
    </row>
    <row r="2051" hidden="1" customHeight="1" spans="1:10">
      <c r="A2051" s="140" t="s">
        <v>457</v>
      </c>
      <c r="B2051" s="140" t="s">
        <v>429</v>
      </c>
      <c r="C2051" s="171">
        <v>45697</v>
      </c>
      <c r="D2051" s="172" t="s">
        <v>15</v>
      </c>
      <c r="E2051" s="173" t="s">
        <v>13</v>
      </c>
      <c r="F2051" s="140" t="s">
        <v>14</v>
      </c>
      <c r="G2051" s="140" t="s">
        <v>14</v>
      </c>
      <c r="H2051" s="140" t="s">
        <v>14</v>
      </c>
      <c r="I2051" s="140" t="s">
        <v>14</v>
      </c>
      <c r="J2051" s="174"/>
    </row>
    <row r="2052" hidden="1" customHeight="1" spans="1:10">
      <c r="A2052" s="140" t="s">
        <v>457</v>
      </c>
      <c r="B2052" s="140" t="s">
        <v>429</v>
      </c>
      <c r="C2052" s="171">
        <v>45698</v>
      </c>
      <c r="D2052" s="172" t="s">
        <v>16</v>
      </c>
      <c r="E2052" s="140" t="s">
        <v>19</v>
      </c>
      <c r="F2052" s="140" t="s">
        <v>58</v>
      </c>
      <c r="G2052" s="140" t="s">
        <v>21</v>
      </c>
      <c r="H2052" s="140" t="s">
        <v>153</v>
      </c>
      <c r="I2052" s="140" t="s">
        <v>21</v>
      </c>
      <c r="J2052" s="174"/>
    </row>
    <row r="2053" hidden="1" customHeight="1" spans="1:10">
      <c r="A2053" s="140" t="s">
        <v>457</v>
      </c>
      <c r="B2053" s="140" t="s">
        <v>429</v>
      </c>
      <c r="C2053" s="171">
        <v>45699</v>
      </c>
      <c r="D2053" s="172" t="s">
        <v>17</v>
      </c>
      <c r="E2053" s="140" t="s">
        <v>19</v>
      </c>
      <c r="F2053" s="140" t="s">
        <v>67</v>
      </c>
      <c r="G2053" s="140" t="s">
        <v>21</v>
      </c>
      <c r="H2053" s="140" t="s">
        <v>160</v>
      </c>
      <c r="I2053" s="140" t="s">
        <v>21</v>
      </c>
      <c r="J2053" s="174"/>
    </row>
    <row r="2054" hidden="1" customHeight="1" spans="1:10">
      <c r="A2054" s="140" t="s">
        <v>457</v>
      </c>
      <c r="B2054" s="140" t="s">
        <v>429</v>
      </c>
      <c r="C2054" s="171">
        <v>45700</v>
      </c>
      <c r="D2054" s="172" t="s">
        <v>18</v>
      </c>
      <c r="E2054" s="140" t="s">
        <v>19</v>
      </c>
      <c r="F2054" s="140" t="s">
        <v>76</v>
      </c>
      <c r="G2054" s="140" t="s">
        <v>21</v>
      </c>
      <c r="H2054" s="140" t="s">
        <v>37</v>
      </c>
      <c r="I2054" s="140" t="s">
        <v>21</v>
      </c>
      <c r="J2054" s="174"/>
    </row>
    <row r="2055" hidden="1" customHeight="1" spans="1:10">
      <c r="A2055" s="140" t="s">
        <v>457</v>
      </c>
      <c r="B2055" s="140" t="s">
        <v>429</v>
      </c>
      <c r="C2055" s="171">
        <v>45701</v>
      </c>
      <c r="D2055" s="172" t="s">
        <v>23</v>
      </c>
      <c r="E2055" s="140" t="s">
        <v>19</v>
      </c>
      <c r="F2055" s="140" t="s">
        <v>72</v>
      </c>
      <c r="G2055" s="140" t="s">
        <v>21</v>
      </c>
      <c r="H2055" s="140" t="s">
        <v>91</v>
      </c>
      <c r="I2055" s="140" t="s">
        <v>21</v>
      </c>
      <c r="J2055" s="174"/>
    </row>
    <row r="2056" hidden="1" customHeight="1" spans="1:10">
      <c r="A2056" s="140" t="s">
        <v>457</v>
      </c>
      <c r="B2056" s="140" t="s">
        <v>429</v>
      </c>
      <c r="C2056" s="171">
        <v>45702</v>
      </c>
      <c r="D2056" s="172" t="s">
        <v>25</v>
      </c>
      <c r="E2056" s="140" t="s">
        <v>19</v>
      </c>
      <c r="F2056" s="140" t="s">
        <v>58</v>
      </c>
      <c r="G2056" s="140" t="s">
        <v>21</v>
      </c>
      <c r="H2056" s="140" t="s">
        <v>374</v>
      </c>
      <c r="I2056" s="140" t="s">
        <v>21</v>
      </c>
      <c r="J2056" s="174"/>
    </row>
    <row r="2057" hidden="1" customHeight="1" spans="1:10">
      <c r="A2057" s="140" t="s">
        <v>457</v>
      </c>
      <c r="B2057" s="140" t="s">
        <v>429</v>
      </c>
      <c r="C2057" s="171">
        <v>45703</v>
      </c>
      <c r="D2057" s="172" t="s">
        <v>27</v>
      </c>
      <c r="E2057" s="173" t="s">
        <v>13</v>
      </c>
      <c r="F2057" s="140" t="s">
        <v>14</v>
      </c>
      <c r="G2057" s="140" t="s">
        <v>14</v>
      </c>
      <c r="H2057" s="140" t="s">
        <v>14</v>
      </c>
      <c r="I2057" s="140" t="s">
        <v>14</v>
      </c>
      <c r="J2057" s="175"/>
    </row>
    <row r="2058" hidden="1" customHeight="1" spans="1:10">
      <c r="A2058" s="140" t="s">
        <v>457</v>
      </c>
      <c r="B2058" s="140" t="s">
        <v>429</v>
      </c>
      <c r="C2058" s="171">
        <v>45704</v>
      </c>
      <c r="D2058" s="172" t="s">
        <v>15</v>
      </c>
      <c r="E2058" s="173" t="s">
        <v>13</v>
      </c>
      <c r="F2058" s="140" t="s">
        <v>14</v>
      </c>
      <c r="G2058" s="140" t="s">
        <v>14</v>
      </c>
      <c r="H2058" s="140" t="s">
        <v>14</v>
      </c>
      <c r="I2058" s="140" t="s">
        <v>14</v>
      </c>
      <c r="J2058" s="174"/>
    </row>
    <row r="2059" hidden="1" customHeight="1" spans="1:10">
      <c r="A2059" s="140" t="s">
        <v>457</v>
      </c>
      <c r="B2059" s="140" t="s">
        <v>429</v>
      </c>
      <c r="C2059" s="171">
        <v>45705</v>
      </c>
      <c r="D2059" s="172" t="s">
        <v>16</v>
      </c>
      <c r="E2059" s="140" t="s">
        <v>19</v>
      </c>
      <c r="F2059" s="140" t="s">
        <v>84</v>
      </c>
      <c r="G2059" s="140" t="s">
        <v>21</v>
      </c>
      <c r="H2059" s="140" t="s">
        <v>130</v>
      </c>
      <c r="I2059" s="140" t="s">
        <v>21</v>
      </c>
      <c r="J2059" s="174"/>
    </row>
    <row r="2060" hidden="1" customHeight="1" spans="1:10">
      <c r="A2060" s="140" t="s">
        <v>457</v>
      </c>
      <c r="B2060" s="140" t="s">
        <v>429</v>
      </c>
      <c r="C2060" s="171">
        <v>45706</v>
      </c>
      <c r="D2060" s="172" t="s">
        <v>17</v>
      </c>
      <c r="E2060" s="140" t="s">
        <v>19</v>
      </c>
      <c r="F2060" s="140" t="s">
        <v>458</v>
      </c>
      <c r="G2060" s="140" t="s">
        <v>21</v>
      </c>
      <c r="H2060" s="140" t="s">
        <v>459</v>
      </c>
      <c r="I2060" s="140" t="s">
        <v>21</v>
      </c>
      <c r="J2060" s="174"/>
    </row>
    <row r="2061" hidden="1" customHeight="1" spans="1:10">
      <c r="A2061" s="140" t="s">
        <v>457</v>
      </c>
      <c r="B2061" s="140" t="s">
        <v>429</v>
      </c>
      <c r="C2061" s="171">
        <v>45707</v>
      </c>
      <c r="D2061" s="172" t="s">
        <v>18</v>
      </c>
      <c r="E2061" s="140" t="s">
        <v>19</v>
      </c>
      <c r="F2061" s="140" t="s">
        <v>58</v>
      </c>
      <c r="G2061" s="140" t="s">
        <v>21</v>
      </c>
      <c r="H2061" s="140" t="s">
        <v>35</v>
      </c>
      <c r="I2061" s="140" t="s">
        <v>21</v>
      </c>
      <c r="J2061" s="174"/>
    </row>
    <row r="2062" hidden="1" customHeight="1" spans="1:10">
      <c r="A2062" s="140" t="s">
        <v>457</v>
      </c>
      <c r="B2062" s="140" t="s">
        <v>429</v>
      </c>
      <c r="C2062" s="171">
        <v>45708</v>
      </c>
      <c r="D2062" s="172" t="s">
        <v>23</v>
      </c>
      <c r="E2062" s="140" t="s">
        <v>19</v>
      </c>
      <c r="F2062" s="140" t="s">
        <v>67</v>
      </c>
      <c r="G2062" s="140" t="s">
        <v>21</v>
      </c>
      <c r="H2062" s="140" t="s">
        <v>364</v>
      </c>
      <c r="I2062" s="140" t="s">
        <v>21</v>
      </c>
      <c r="J2062" s="174"/>
    </row>
    <row r="2063" hidden="1" customHeight="1" spans="1:10">
      <c r="A2063" s="140" t="s">
        <v>457</v>
      </c>
      <c r="B2063" s="140" t="s">
        <v>429</v>
      </c>
      <c r="C2063" s="171">
        <v>45709</v>
      </c>
      <c r="D2063" s="172" t="s">
        <v>25</v>
      </c>
      <c r="E2063" s="140" t="s">
        <v>19</v>
      </c>
      <c r="F2063" s="140" t="s">
        <v>83</v>
      </c>
      <c r="G2063" s="140" t="s">
        <v>21</v>
      </c>
      <c r="H2063" s="140" t="s">
        <v>416</v>
      </c>
      <c r="I2063" s="140" t="s">
        <v>21</v>
      </c>
      <c r="J2063" s="174"/>
    </row>
    <row r="2064" hidden="1" customHeight="1" spans="1:10">
      <c r="A2064" s="140" t="s">
        <v>457</v>
      </c>
      <c r="B2064" s="140" t="s">
        <v>429</v>
      </c>
      <c r="C2064" s="171">
        <v>45710</v>
      </c>
      <c r="D2064" s="172" t="s">
        <v>27</v>
      </c>
      <c r="E2064" s="173" t="s">
        <v>13</v>
      </c>
      <c r="F2064" s="140" t="s">
        <v>14</v>
      </c>
      <c r="G2064" s="140" t="s">
        <v>14</v>
      </c>
      <c r="H2064" s="140" t="s">
        <v>14</v>
      </c>
      <c r="I2064" s="140" t="s">
        <v>14</v>
      </c>
      <c r="J2064" s="174"/>
    </row>
    <row r="2065" hidden="1" customHeight="1" spans="1:10">
      <c r="A2065" s="140" t="s">
        <v>457</v>
      </c>
      <c r="B2065" s="140" t="s">
        <v>429</v>
      </c>
      <c r="C2065" s="171">
        <v>45711</v>
      </c>
      <c r="D2065" s="172" t="s">
        <v>15</v>
      </c>
      <c r="E2065" s="173" t="s">
        <v>13</v>
      </c>
      <c r="F2065" s="140" t="s">
        <v>14</v>
      </c>
      <c r="G2065" s="140" t="s">
        <v>14</v>
      </c>
      <c r="H2065" s="140" t="s">
        <v>14</v>
      </c>
      <c r="I2065" s="140" t="s">
        <v>14</v>
      </c>
      <c r="J2065" s="174"/>
    </row>
    <row r="2066" hidden="1" customHeight="1" spans="1:10">
      <c r="A2066" s="140" t="s">
        <v>457</v>
      </c>
      <c r="B2066" s="140" t="s">
        <v>429</v>
      </c>
      <c r="C2066" s="171">
        <v>45712</v>
      </c>
      <c r="D2066" s="172" t="s">
        <v>16</v>
      </c>
      <c r="E2066" s="140" t="s">
        <v>19</v>
      </c>
      <c r="F2066" s="140" t="s">
        <v>171</v>
      </c>
      <c r="G2066" s="140" t="s">
        <v>21</v>
      </c>
      <c r="H2066" s="140" t="s">
        <v>95</v>
      </c>
      <c r="I2066" s="140" t="s">
        <v>21</v>
      </c>
      <c r="J2066" s="174"/>
    </row>
    <row r="2067" hidden="1" customHeight="1" spans="1:10">
      <c r="A2067" s="140" t="s">
        <v>457</v>
      </c>
      <c r="B2067" s="140" t="s">
        <v>429</v>
      </c>
      <c r="C2067" s="171">
        <v>45713</v>
      </c>
      <c r="D2067" s="172" t="s">
        <v>17</v>
      </c>
      <c r="E2067" s="140" t="s">
        <v>19</v>
      </c>
      <c r="F2067" s="140" t="s">
        <v>67</v>
      </c>
      <c r="G2067" s="140" t="s">
        <v>21</v>
      </c>
      <c r="H2067" s="140" t="s">
        <v>254</v>
      </c>
      <c r="I2067" s="140" t="s">
        <v>21</v>
      </c>
      <c r="J2067" s="174"/>
    </row>
    <row r="2068" hidden="1" customHeight="1" spans="1:10">
      <c r="A2068" s="140" t="s">
        <v>457</v>
      </c>
      <c r="B2068" s="140" t="s">
        <v>429</v>
      </c>
      <c r="C2068" s="171">
        <v>45714</v>
      </c>
      <c r="D2068" s="172" t="s">
        <v>18</v>
      </c>
      <c r="E2068" s="140" t="s">
        <v>19</v>
      </c>
      <c r="F2068" s="140" t="s">
        <v>62</v>
      </c>
      <c r="G2068" s="140" t="s">
        <v>21</v>
      </c>
      <c r="H2068" s="140" t="s">
        <v>45</v>
      </c>
      <c r="I2068" s="140" t="s">
        <v>21</v>
      </c>
      <c r="J2068" s="174"/>
    </row>
    <row r="2069" hidden="1" customHeight="1" spans="1:10">
      <c r="A2069" s="140" t="s">
        <v>457</v>
      </c>
      <c r="B2069" s="140" t="s">
        <v>429</v>
      </c>
      <c r="C2069" s="171">
        <v>45715</v>
      </c>
      <c r="D2069" s="172" t="s">
        <v>23</v>
      </c>
      <c r="E2069" s="140" t="s">
        <v>19</v>
      </c>
      <c r="F2069" s="140" t="s">
        <v>83</v>
      </c>
      <c r="G2069" s="140" t="s">
        <v>21</v>
      </c>
      <c r="H2069" s="140" t="s">
        <v>243</v>
      </c>
      <c r="I2069" s="140" t="s">
        <v>21</v>
      </c>
      <c r="J2069" s="174"/>
    </row>
    <row r="2070" hidden="1" customHeight="1" spans="1:10">
      <c r="A2070" s="140" t="s">
        <v>457</v>
      </c>
      <c r="B2070" s="140" t="s">
        <v>429</v>
      </c>
      <c r="C2070" s="171">
        <v>45716</v>
      </c>
      <c r="D2070" s="172" t="s">
        <v>25</v>
      </c>
      <c r="E2070" s="140" t="s">
        <v>19</v>
      </c>
      <c r="F2070" s="140" t="s">
        <v>188</v>
      </c>
      <c r="G2070" s="140" t="s">
        <v>21</v>
      </c>
      <c r="H2070" s="140" t="s">
        <v>374</v>
      </c>
      <c r="I2070" s="140" t="s">
        <v>21</v>
      </c>
      <c r="J2070" s="174"/>
    </row>
    <row r="2071" hidden="1" customHeight="1" spans="1:10">
      <c r="A2071" s="140" t="s">
        <v>460</v>
      </c>
      <c r="B2071" s="140" t="s">
        <v>429</v>
      </c>
      <c r="C2071" s="171">
        <v>45689</v>
      </c>
      <c r="D2071" s="172" t="s">
        <v>12</v>
      </c>
      <c r="E2071" s="173" t="s">
        <v>13</v>
      </c>
      <c r="F2071" s="140" t="s">
        <v>14</v>
      </c>
      <c r="G2071" s="140" t="s">
        <v>14</v>
      </c>
      <c r="H2071" s="140" t="s">
        <v>14</v>
      </c>
      <c r="I2071" s="140" t="s">
        <v>14</v>
      </c>
      <c r="J2071" s="174"/>
    </row>
    <row r="2072" hidden="1" customHeight="1" spans="1:10">
      <c r="A2072" s="140" t="s">
        <v>460</v>
      </c>
      <c r="B2072" s="140" t="s">
        <v>429</v>
      </c>
      <c r="C2072" s="171">
        <v>45690</v>
      </c>
      <c r="D2072" s="172" t="s">
        <v>15</v>
      </c>
      <c r="E2072" s="173" t="s">
        <v>13</v>
      </c>
      <c r="F2072" s="140" t="s">
        <v>14</v>
      </c>
      <c r="G2072" s="140" t="s">
        <v>14</v>
      </c>
      <c r="H2072" s="140" t="s">
        <v>14</v>
      </c>
      <c r="I2072" s="140" t="s">
        <v>14</v>
      </c>
      <c r="J2072" s="174"/>
    </row>
    <row r="2073" hidden="1" customHeight="1" spans="1:10">
      <c r="A2073" s="140" t="s">
        <v>460</v>
      </c>
      <c r="B2073" s="140" t="s">
        <v>429</v>
      </c>
      <c r="C2073" s="171">
        <v>45691</v>
      </c>
      <c r="D2073" s="172" t="s">
        <v>16</v>
      </c>
      <c r="E2073" s="173" t="s">
        <v>13</v>
      </c>
      <c r="F2073" s="140" t="s">
        <v>14</v>
      </c>
      <c r="G2073" s="140" t="s">
        <v>14</v>
      </c>
      <c r="H2073" s="140" t="s">
        <v>14</v>
      </c>
      <c r="I2073" s="140" t="s">
        <v>14</v>
      </c>
      <c r="J2073" s="174"/>
    </row>
    <row r="2074" hidden="1" customHeight="1" spans="1:10">
      <c r="A2074" s="140" t="s">
        <v>460</v>
      </c>
      <c r="B2074" s="140" t="s">
        <v>429</v>
      </c>
      <c r="C2074" s="171">
        <v>45692</v>
      </c>
      <c r="D2074" s="172" t="s">
        <v>17</v>
      </c>
      <c r="E2074" s="173" t="s">
        <v>13</v>
      </c>
      <c r="F2074" s="140" t="s">
        <v>14</v>
      </c>
      <c r="G2074" s="140" t="s">
        <v>14</v>
      </c>
      <c r="H2074" s="140" t="s">
        <v>14</v>
      </c>
      <c r="I2074" s="140" t="s">
        <v>14</v>
      </c>
      <c r="J2074" s="174"/>
    </row>
    <row r="2075" customHeight="1" spans="1:10">
      <c r="A2075" s="140" t="s">
        <v>460</v>
      </c>
      <c r="B2075" s="140" t="s">
        <v>429</v>
      </c>
      <c r="C2075" s="171">
        <v>45693</v>
      </c>
      <c r="D2075" s="172" t="s">
        <v>18</v>
      </c>
      <c r="E2075" s="140" t="s">
        <v>19</v>
      </c>
      <c r="F2075" s="140" t="s">
        <v>14</v>
      </c>
      <c r="G2075" s="176" t="s">
        <v>68</v>
      </c>
      <c r="H2075" s="140" t="s">
        <v>14</v>
      </c>
      <c r="I2075" s="176" t="s">
        <v>68</v>
      </c>
      <c r="J2075" s="174" t="s">
        <v>234</v>
      </c>
    </row>
    <row r="2076" hidden="1" customHeight="1" spans="1:10">
      <c r="A2076" s="140" t="s">
        <v>460</v>
      </c>
      <c r="B2076" s="140" t="s">
        <v>429</v>
      </c>
      <c r="C2076" s="171">
        <v>45694</v>
      </c>
      <c r="D2076" s="172" t="s">
        <v>23</v>
      </c>
      <c r="E2076" s="140" t="s">
        <v>19</v>
      </c>
      <c r="F2076" s="140" t="s">
        <v>131</v>
      </c>
      <c r="G2076" s="140" t="s">
        <v>21</v>
      </c>
      <c r="H2076" s="140" t="s">
        <v>73</v>
      </c>
      <c r="I2076" s="140" t="s">
        <v>21</v>
      </c>
      <c r="J2076" s="174"/>
    </row>
    <row r="2077" hidden="1" customHeight="1" spans="1:10">
      <c r="A2077" s="140" t="s">
        <v>460</v>
      </c>
      <c r="B2077" s="140" t="s">
        <v>429</v>
      </c>
      <c r="C2077" s="171">
        <v>45695</v>
      </c>
      <c r="D2077" s="172" t="s">
        <v>25</v>
      </c>
      <c r="E2077" s="140" t="s">
        <v>19</v>
      </c>
      <c r="F2077" s="140" t="s">
        <v>137</v>
      </c>
      <c r="G2077" s="140" t="s">
        <v>21</v>
      </c>
      <c r="H2077" s="140" t="s">
        <v>206</v>
      </c>
      <c r="I2077" s="140" t="s">
        <v>21</v>
      </c>
      <c r="J2077" s="174"/>
    </row>
    <row r="2078" hidden="1" customHeight="1" spans="1:10">
      <c r="A2078" s="140" t="s">
        <v>460</v>
      </c>
      <c r="B2078" s="140" t="s">
        <v>429</v>
      </c>
      <c r="C2078" s="171">
        <v>45696</v>
      </c>
      <c r="D2078" s="172" t="s">
        <v>27</v>
      </c>
      <c r="E2078" s="140" t="s">
        <v>19</v>
      </c>
      <c r="F2078" s="140" t="s">
        <v>117</v>
      </c>
      <c r="G2078" s="140" t="s">
        <v>21</v>
      </c>
      <c r="H2078" s="140" t="s">
        <v>260</v>
      </c>
      <c r="I2078" s="140" t="s">
        <v>21</v>
      </c>
      <c r="J2078" s="174"/>
    </row>
    <row r="2079" hidden="1" customHeight="1" spans="1:10">
      <c r="A2079" s="140" t="s">
        <v>460</v>
      </c>
      <c r="B2079" s="140" t="s">
        <v>429</v>
      </c>
      <c r="C2079" s="171">
        <v>45697</v>
      </c>
      <c r="D2079" s="172" t="s">
        <v>15</v>
      </c>
      <c r="E2079" s="173" t="s">
        <v>13</v>
      </c>
      <c r="F2079" s="140" t="s">
        <v>14</v>
      </c>
      <c r="G2079" s="140" t="s">
        <v>14</v>
      </c>
      <c r="H2079" s="140" t="s">
        <v>14</v>
      </c>
      <c r="I2079" s="140" t="s">
        <v>14</v>
      </c>
      <c r="J2079" s="174"/>
    </row>
    <row r="2080" hidden="1" customHeight="1" spans="1:10">
      <c r="A2080" s="140" t="s">
        <v>460</v>
      </c>
      <c r="B2080" s="140" t="s">
        <v>429</v>
      </c>
      <c r="C2080" s="171">
        <v>45698</v>
      </c>
      <c r="D2080" s="172" t="s">
        <v>16</v>
      </c>
      <c r="E2080" s="140" t="s">
        <v>19</v>
      </c>
      <c r="F2080" s="140" t="s">
        <v>173</v>
      </c>
      <c r="G2080" s="140" t="s">
        <v>21</v>
      </c>
      <c r="H2080" s="140" t="s">
        <v>123</v>
      </c>
      <c r="I2080" s="140" t="s">
        <v>21</v>
      </c>
      <c r="J2080" s="174"/>
    </row>
    <row r="2081" hidden="1" customHeight="1" spans="1:10">
      <c r="A2081" s="140" t="s">
        <v>460</v>
      </c>
      <c r="B2081" s="140" t="s">
        <v>429</v>
      </c>
      <c r="C2081" s="171">
        <v>45699</v>
      </c>
      <c r="D2081" s="172" t="s">
        <v>17</v>
      </c>
      <c r="E2081" s="140" t="s">
        <v>19</v>
      </c>
      <c r="F2081" s="140" t="s">
        <v>49</v>
      </c>
      <c r="G2081" s="140" t="s">
        <v>21</v>
      </c>
      <c r="H2081" s="140" t="s">
        <v>249</v>
      </c>
      <c r="I2081" s="140" t="s">
        <v>21</v>
      </c>
      <c r="J2081" s="174"/>
    </row>
    <row r="2082" hidden="1" customHeight="1" spans="1:10">
      <c r="A2082" s="140" t="s">
        <v>460</v>
      </c>
      <c r="B2082" s="140" t="s">
        <v>429</v>
      </c>
      <c r="C2082" s="171">
        <v>45700</v>
      </c>
      <c r="D2082" s="172" t="s">
        <v>18</v>
      </c>
      <c r="E2082" s="140" t="s">
        <v>19</v>
      </c>
      <c r="F2082" s="140" t="s">
        <v>129</v>
      </c>
      <c r="G2082" s="140" t="s">
        <v>21</v>
      </c>
      <c r="H2082" s="140" t="s">
        <v>232</v>
      </c>
      <c r="I2082" s="140" t="s">
        <v>21</v>
      </c>
      <c r="J2082" s="174"/>
    </row>
    <row r="2083" hidden="1" customHeight="1" spans="1:10">
      <c r="A2083" s="140" t="s">
        <v>460</v>
      </c>
      <c r="B2083" s="140" t="s">
        <v>429</v>
      </c>
      <c r="C2083" s="171">
        <v>45701</v>
      </c>
      <c r="D2083" s="172" t="s">
        <v>23</v>
      </c>
      <c r="E2083" s="140" t="s">
        <v>19</v>
      </c>
      <c r="F2083" s="140" t="s">
        <v>183</v>
      </c>
      <c r="G2083" s="140" t="s">
        <v>21</v>
      </c>
      <c r="H2083" s="140" t="s">
        <v>387</v>
      </c>
      <c r="I2083" s="140" t="s">
        <v>21</v>
      </c>
      <c r="J2083" s="174"/>
    </row>
    <row r="2084" hidden="1" customHeight="1" spans="1:10">
      <c r="A2084" s="140" t="s">
        <v>460</v>
      </c>
      <c r="B2084" s="140" t="s">
        <v>429</v>
      </c>
      <c r="C2084" s="171">
        <v>45702</v>
      </c>
      <c r="D2084" s="172" t="s">
        <v>25</v>
      </c>
      <c r="E2084" s="140" t="s">
        <v>19</v>
      </c>
      <c r="F2084" s="140" t="s">
        <v>177</v>
      </c>
      <c r="G2084" s="140" t="s">
        <v>21</v>
      </c>
      <c r="H2084" s="140" t="s">
        <v>461</v>
      </c>
      <c r="I2084" s="140" t="s">
        <v>21</v>
      </c>
      <c r="J2084" s="174"/>
    </row>
    <row r="2085" hidden="1" customHeight="1" spans="1:10">
      <c r="A2085" s="140" t="s">
        <v>460</v>
      </c>
      <c r="B2085" s="140" t="s">
        <v>429</v>
      </c>
      <c r="C2085" s="171">
        <v>45703</v>
      </c>
      <c r="D2085" s="172" t="s">
        <v>27</v>
      </c>
      <c r="E2085" s="173" t="s">
        <v>13</v>
      </c>
      <c r="F2085" s="140" t="s">
        <v>14</v>
      </c>
      <c r="G2085" s="140" t="s">
        <v>14</v>
      </c>
      <c r="H2085" s="140" t="s">
        <v>14</v>
      </c>
      <c r="I2085" s="140" t="s">
        <v>14</v>
      </c>
      <c r="J2085" s="174"/>
    </row>
    <row r="2086" hidden="1" customHeight="1" spans="1:10">
      <c r="A2086" s="140" t="s">
        <v>460</v>
      </c>
      <c r="B2086" s="140" t="s">
        <v>429</v>
      </c>
      <c r="C2086" s="171">
        <v>45704</v>
      </c>
      <c r="D2086" s="172" t="s">
        <v>15</v>
      </c>
      <c r="E2086" s="173" t="s">
        <v>13</v>
      </c>
      <c r="F2086" s="140" t="s">
        <v>14</v>
      </c>
      <c r="G2086" s="140" t="s">
        <v>14</v>
      </c>
      <c r="H2086" s="140" t="s">
        <v>14</v>
      </c>
      <c r="I2086" s="140" t="s">
        <v>14</v>
      </c>
      <c r="J2086" s="174"/>
    </row>
    <row r="2087" hidden="1" customHeight="1" spans="1:10">
      <c r="A2087" s="140" t="s">
        <v>460</v>
      </c>
      <c r="B2087" s="140" t="s">
        <v>429</v>
      </c>
      <c r="C2087" s="171">
        <v>45705</v>
      </c>
      <c r="D2087" s="172" t="s">
        <v>16</v>
      </c>
      <c r="E2087" s="140" t="s">
        <v>19</v>
      </c>
      <c r="F2087" s="140" t="s">
        <v>108</v>
      </c>
      <c r="G2087" s="140" t="s">
        <v>21</v>
      </c>
      <c r="H2087" s="140" t="s">
        <v>254</v>
      </c>
      <c r="I2087" s="140" t="s">
        <v>21</v>
      </c>
      <c r="J2087" s="174"/>
    </row>
    <row r="2088" hidden="1" customHeight="1" spans="1:10">
      <c r="A2088" s="140" t="s">
        <v>460</v>
      </c>
      <c r="B2088" s="140" t="s">
        <v>429</v>
      </c>
      <c r="C2088" s="171">
        <v>45706</v>
      </c>
      <c r="D2088" s="172" t="s">
        <v>17</v>
      </c>
      <c r="E2088" s="140" t="s">
        <v>19</v>
      </c>
      <c r="F2088" s="140" t="s">
        <v>143</v>
      </c>
      <c r="G2088" s="140" t="s">
        <v>21</v>
      </c>
      <c r="H2088" s="140" t="s">
        <v>252</v>
      </c>
      <c r="I2088" s="140" t="s">
        <v>21</v>
      </c>
      <c r="J2088" s="174"/>
    </row>
    <row r="2089" hidden="1" customHeight="1" spans="1:10">
      <c r="A2089" s="140" t="s">
        <v>460</v>
      </c>
      <c r="B2089" s="140" t="s">
        <v>429</v>
      </c>
      <c r="C2089" s="171">
        <v>45707</v>
      </c>
      <c r="D2089" s="172" t="s">
        <v>18</v>
      </c>
      <c r="E2089" s="140" t="s">
        <v>19</v>
      </c>
      <c r="F2089" s="140" t="s">
        <v>173</v>
      </c>
      <c r="G2089" s="140" t="s">
        <v>21</v>
      </c>
      <c r="H2089" s="140" t="s">
        <v>172</v>
      </c>
      <c r="I2089" s="140" t="s">
        <v>21</v>
      </c>
      <c r="J2089" s="174"/>
    </row>
    <row r="2090" hidden="1" customHeight="1" spans="1:10">
      <c r="A2090" s="140" t="s">
        <v>460</v>
      </c>
      <c r="B2090" s="140" t="s">
        <v>429</v>
      </c>
      <c r="C2090" s="171">
        <v>45708</v>
      </c>
      <c r="D2090" s="172" t="s">
        <v>23</v>
      </c>
      <c r="E2090" s="140" t="s">
        <v>19</v>
      </c>
      <c r="F2090" s="140" t="s">
        <v>135</v>
      </c>
      <c r="G2090" s="140" t="s">
        <v>21</v>
      </c>
      <c r="H2090" s="140" t="s">
        <v>462</v>
      </c>
      <c r="I2090" s="140" t="s">
        <v>21</v>
      </c>
      <c r="J2090" s="174"/>
    </row>
    <row r="2091" hidden="1" customHeight="1" spans="1:10">
      <c r="A2091" s="140" t="s">
        <v>460</v>
      </c>
      <c r="B2091" s="140" t="s">
        <v>429</v>
      </c>
      <c r="C2091" s="171">
        <v>45709</v>
      </c>
      <c r="D2091" s="172" t="s">
        <v>25</v>
      </c>
      <c r="E2091" s="140" t="s">
        <v>19</v>
      </c>
      <c r="F2091" s="140" t="s">
        <v>173</v>
      </c>
      <c r="G2091" s="140" t="s">
        <v>21</v>
      </c>
      <c r="H2091" s="140" t="s">
        <v>122</v>
      </c>
      <c r="I2091" s="140" t="s">
        <v>21</v>
      </c>
      <c r="J2091" s="174"/>
    </row>
    <row r="2092" hidden="1" customHeight="1" spans="1:10">
      <c r="A2092" s="140" t="s">
        <v>460</v>
      </c>
      <c r="B2092" s="140" t="s">
        <v>429</v>
      </c>
      <c r="C2092" s="171">
        <v>45710</v>
      </c>
      <c r="D2092" s="172" t="s">
        <v>27</v>
      </c>
      <c r="E2092" s="173" t="s">
        <v>13</v>
      </c>
      <c r="F2092" s="140" t="s">
        <v>14</v>
      </c>
      <c r="G2092" s="140" t="s">
        <v>14</v>
      </c>
      <c r="H2092" s="140" t="s">
        <v>14</v>
      </c>
      <c r="I2092" s="140" t="s">
        <v>14</v>
      </c>
      <c r="J2092" s="174"/>
    </row>
    <row r="2093" hidden="1" customHeight="1" spans="1:10">
      <c r="A2093" s="140" t="s">
        <v>460</v>
      </c>
      <c r="B2093" s="140" t="s">
        <v>429</v>
      </c>
      <c r="C2093" s="171">
        <v>45711</v>
      </c>
      <c r="D2093" s="172" t="s">
        <v>15</v>
      </c>
      <c r="E2093" s="173" t="s">
        <v>13</v>
      </c>
      <c r="F2093" s="140" t="s">
        <v>14</v>
      </c>
      <c r="G2093" s="140" t="s">
        <v>14</v>
      </c>
      <c r="H2093" s="140" t="s">
        <v>14</v>
      </c>
      <c r="I2093" s="140" t="s">
        <v>14</v>
      </c>
      <c r="J2093" s="174"/>
    </row>
    <row r="2094" hidden="1" customHeight="1" spans="1:10">
      <c r="A2094" s="140" t="s">
        <v>460</v>
      </c>
      <c r="B2094" s="140" t="s">
        <v>429</v>
      </c>
      <c r="C2094" s="171">
        <v>45712</v>
      </c>
      <c r="D2094" s="172" t="s">
        <v>16</v>
      </c>
      <c r="E2094" s="140" t="s">
        <v>19</v>
      </c>
      <c r="F2094" s="140" t="s">
        <v>143</v>
      </c>
      <c r="G2094" s="140" t="s">
        <v>21</v>
      </c>
      <c r="H2094" s="140" t="s">
        <v>168</v>
      </c>
      <c r="I2094" s="140" t="s">
        <v>21</v>
      </c>
      <c r="J2094" s="174"/>
    </row>
    <row r="2095" hidden="1" customHeight="1" spans="1:10">
      <c r="A2095" s="140" t="s">
        <v>460</v>
      </c>
      <c r="B2095" s="140" t="s">
        <v>429</v>
      </c>
      <c r="C2095" s="171">
        <v>45713</v>
      </c>
      <c r="D2095" s="172" t="s">
        <v>17</v>
      </c>
      <c r="E2095" s="140" t="s">
        <v>19</v>
      </c>
      <c r="F2095" s="140" t="s">
        <v>143</v>
      </c>
      <c r="G2095" s="140" t="s">
        <v>21</v>
      </c>
      <c r="H2095" s="140" t="s">
        <v>189</v>
      </c>
      <c r="I2095" s="140" t="s">
        <v>21</v>
      </c>
      <c r="J2095" s="174"/>
    </row>
    <row r="2096" hidden="1" customHeight="1" spans="1:10">
      <c r="A2096" s="140" t="s">
        <v>460</v>
      </c>
      <c r="B2096" s="140" t="s">
        <v>429</v>
      </c>
      <c r="C2096" s="171">
        <v>45714</v>
      </c>
      <c r="D2096" s="172" t="s">
        <v>18</v>
      </c>
      <c r="E2096" s="140" t="s">
        <v>19</v>
      </c>
      <c r="F2096" s="140" t="s">
        <v>173</v>
      </c>
      <c r="G2096" s="140" t="s">
        <v>21</v>
      </c>
      <c r="H2096" s="140" t="s">
        <v>205</v>
      </c>
      <c r="I2096" s="140" t="s">
        <v>21</v>
      </c>
      <c r="J2096" s="174"/>
    </row>
    <row r="2097" hidden="1" customHeight="1" spans="1:10">
      <c r="A2097" s="140" t="s">
        <v>460</v>
      </c>
      <c r="B2097" s="140" t="s">
        <v>429</v>
      </c>
      <c r="C2097" s="171">
        <v>45715</v>
      </c>
      <c r="D2097" s="172" t="s">
        <v>23</v>
      </c>
      <c r="E2097" s="140" t="s">
        <v>19</v>
      </c>
      <c r="F2097" s="140" t="s">
        <v>135</v>
      </c>
      <c r="G2097" s="140" t="s">
        <v>21</v>
      </c>
      <c r="H2097" s="140" t="s">
        <v>163</v>
      </c>
      <c r="I2097" s="140" t="s">
        <v>21</v>
      </c>
      <c r="J2097" s="174"/>
    </row>
    <row r="2098" hidden="1" customHeight="1" spans="1:10">
      <c r="A2098" s="140" t="s">
        <v>460</v>
      </c>
      <c r="B2098" s="140" t="s">
        <v>429</v>
      </c>
      <c r="C2098" s="171">
        <v>45716</v>
      </c>
      <c r="D2098" s="172" t="s">
        <v>25</v>
      </c>
      <c r="E2098" s="140" t="s">
        <v>19</v>
      </c>
      <c r="F2098" s="140" t="s">
        <v>173</v>
      </c>
      <c r="G2098" s="140" t="s">
        <v>21</v>
      </c>
      <c r="H2098" s="140" t="s">
        <v>122</v>
      </c>
      <c r="I2098" s="140" t="s">
        <v>21</v>
      </c>
      <c r="J2098" s="174"/>
    </row>
    <row r="2099" hidden="1" customHeight="1" spans="1:10">
      <c r="A2099" s="140" t="s">
        <v>463</v>
      </c>
      <c r="B2099" s="140" t="s">
        <v>298</v>
      </c>
      <c r="C2099" s="171">
        <v>45689</v>
      </c>
      <c r="D2099" s="172" t="s">
        <v>12</v>
      </c>
      <c r="E2099" s="173" t="s">
        <v>13</v>
      </c>
      <c r="F2099" s="140" t="s">
        <v>14</v>
      </c>
      <c r="G2099" s="140" t="s">
        <v>14</v>
      </c>
      <c r="H2099" s="140" t="s">
        <v>14</v>
      </c>
      <c r="I2099" s="140" t="s">
        <v>14</v>
      </c>
      <c r="J2099" s="174"/>
    </row>
    <row r="2100" hidden="1" customHeight="1" spans="1:10">
      <c r="A2100" s="140" t="s">
        <v>463</v>
      </c>
      <c r="B2100" s="140" t="s">
        <v>298</v>
      </c>
      <c r="C2100" s="171">
        <v>45690</v>
      </c>
      <c r="D2100" s="172" t="s">
        <v>15</v>
      </c>
      <c r="E2100" s="173" t="s">
        <v>13</v>
      </c>
      <c r="F2100" s="140" t="s">
        <v>14</v>
      </c>
      <c r="G2100" s="140" t="s">
        <v>14</v>
      </c>
      <c r="H2100" s="140" t="s">
        <v>14</v>
      </c>
      <c r="I2100" s="140" t="s">
        <v>14</v>
      </c>
      <c r="J2100" s="174"/>
    </row>
    <row r="2101" hidden="1" customHeight="1" spans="1:10">
      <c r="A2101" s="140" t="s">
        <v>463</v>
      </c>
      <c r="B2101" s="140" t="s">
        <v>298</v>
      </c>
      <c r="C2101" s="171">
        <v>45691</v>
      </c>
      <c r="D2101" s="172" t="s">
        <v>16</v>
      </c>
      <c r="E2101" s="173" t="s">
        <v>13</v>
      </c>
      <c r="F2101" s="140" t="s">
        <v>14</v>
      </c>
      <c r="G2101" s="140" t="s">
        <v>14</v>
      </c>
      <c r="H2101" s="140" t="s">
        <v>14</v>
      </c>
      <c r="I2101" s="140" t="s">
        <v>14</v>
      </c>
      <c r="J2101" s="174"/>
    </row>
    <row r="2102" hidden="1" customHeight="1" spans="1:10">
      <c r="A2102" s="140" t="s">
        <v>463</v>
      </c>
      <c r="B2102" s="140" t="s">
        <v>298</v>
      </c>
      <c r="C2102" s="171">
        <v>45692</v>
      </c>
      <c r="D2102" s="172" t="s">
        <v>17</v>
      </c>
      <c r="E2102" s="173" t="s">
        <v>13</v>
      </c>
      <c r="F2102" s="140" t="s">
        <v>14</v>
      </c>
      <c r="G2102" s="140" t="s">
        <v>14</v>
      </c>
      <c r="H2102" s="140" t="s">
        <v>14</v>
      </c>
      <c r="I2102" s="140" t="s">
        <v>14</v>
      </c>
      <c r="J2102" s="174"/>
    </row>
    <row r="2103" customHeight="1" spans="1:10">
      <c r="A2103" s="140" t="s">
        <v>463</v>
      </c>
      <c r="B2103" s="140" t="s">
        <v>298</v>
      </c>
      <c r="C2103" s="171">
        <v>45693</v>
      </c>
      <c r="D2103" s="172" t="s">
        <v>18</v>
      </c>
      <c r="E2103" s="140" t="s">
        <v>19</v>
      </c>
      <c r="F2103" s="140" t="s">
        <v>14</v>
      </c>
      <c r="G2103" s="176" t="s">
        <v>68</v>
      </c>
      <c r="H2103" s="140" t="s">
        <v>14</v>
      </c>
      <c r="I2103" s="176" t="s">
        <v>68</v>
      </c>
      <c r="J2103" s="174" t="s">
        <v>234</v>
      </c>
    </row>
    <row r="2104" hidden="1" customHeight="1" spans="1:10">
      <c r="A2104" s="140" t="s">
        <v>463</v>
      </c>
      <c r="B2104" s="140" t="s">
        <v>298</v>
      </c>
      <c r="C2104" s="171">
        <v>45694</v>
      </c>
      <c r="D2104" s="172" t="s">
        <v>23</v>
      </c>
      <c r="E2104" s="140" t="s">
        <v>19</v>
      </c>
      <c r="F2104" s="140" t="s">
        <v>33</v>
      </c>
      <c r="G2104" s="140" t="s">
        <v>21</v>
      </c>
      <c r="H2104" s="140" t="s">
        <v>73</v>
      </c>
      <c r="I2104" s="140" t="s">
        <v>21</v>
      </c>
      <c r="J2104" s="174"/>
    </row>
    <row r="2105" hidden="1" customHeight="1" spans="1:10">
      <c r="A2105" s="140" t="s">
        <v>463</v>
      </c>
      <c r="B2105" s="140" t="s">
        <v>298</v>
      </c>
      <c r="C2105" s="171">
        <v>45695</v>
      </c>
      <c r="D2105" s="172" t="s">
        <v>25</v>
      </c>
      <c r="E2105" s="140" t="s">
        <v>19</v>
      </c>
      <c r="F2105" s="140" t="s">
        <v>157</v>
      </c>
      <c r="G2105" s="140" t="s">
        <v>21</v>
      </c>
      <c r="H2105" s="140" t="s">
        <v>53</v>
      </c>
      <c r="I2105" s="140" t="s">
        <v>21</v>
      </c>
      <c r="J2105" s="174"/>
    </row>
    <row r="2106" hidden="1" customHeight="1" spans="1:10">
      <c r="A2106" s="140" t="s">
        <v>463</v>
      </c>
      <c r="B2106" s="140" t="s">
        <v>298</v>
      </c>
      <c r="C2106" s="171">
        <v>45696</v>
      </c>
      <c r="D2106" s="172" t="s">
        <v>27</v>
      </c>
      <c r="E2106" s="140" t="s">
        <v>19</v>
      </c>
      <c r="F2106" s="140" t="s">
        <v>51</v>
      </c>
      <c r="G2106" s="140" t="s">
        <v>21</v>
      </c>
      <c r="H2106" s="140" t="s">
        <v>181</v>
      </c>
      <c r="I2106" s="140" t="s">
        <v>21</v>
      </c>
      <c r="J2106" s="174"/>
    </row>
    <row r="2107" hidden="1" customHeight="1" spans="1:10">
      <c r="A2107" s="140" t="s">
        <v>463</v>
      </c>
      <c r="B2107" s="140" t="s">
        <v>298</v>
      </c>
      <c r="C2107" s="171">
        <v>45697</v>
      </c>
      <c r="D2107" s="172" t="s">
        <v>15</v>
      </c>
      <c r="E2107" s="173" t="s">
        <v>13</v>
      </c>
      <c r="F2107" s="140" t="s">
        <v>14</v>
      </c>
      <c r="G2107" s="140" t="s">
        <v>14</v>
      </c>
      <c r="H2107" s="140" t="s">
        <v>14</v>
      </c>
      <c r="I2107" s="140" t="s">
        <v>14</v>
      </c>
      <c r="J2107" s="174"/>
    </row>
    <row r="2108" hidden="1" customHeight="1" spans="1:10">
      <c r="A2108" s="140" t="s">
        <v>463</v>
      </c>
      <c r="B2108" s="140" t="s">
        <v>298</v>
      </c>
      <c r="C2108" s="171">
        <v>45698</v>
      </c>
      <c r="D2108" s="172" t="s">
        <v>16</v>
      </c>
      <c r="E2108" s="140" t="s">
        <v>19</v>
      </c>
      <c r="F2108" s="140" t="s">
        <v>154</v>
      </c>
      <c r="G2108" s="140" t="s">
        <v>21</v>
      </c>
      <c r="H2108" s="140" t="s">
        <v>35</v>
      </c>
      <c r="I2108" s="140" t="s">
        <v>21</v>
      </c>
      <c r="J2108" s="174"/>
    </row>
    <row r="2109" hidden="1" customHeight="1" spans="1:10">
      <c r="A2109" s="140" t="s">
        <v>463</v>
      </c>
      <c r="B2109" s="140" t="s">
        <v>298</v>
      </c>
      <c r="C2109" s="171">
        <v>45699</v>
      </c>
      <c r="D2109" s="172" t="s">
        <v>17</v>
      </c>
      <c r="E2109" s="140" t="s">
        <v>19</v>
      </c>
      <c r="F2109" s="140" t="s">
        <v>46</v>
      </c>
      <c r="G2109" s="140" t="s">
        <v>21</v>
      </c>
      <c r="H2109" s="140" t="s">
        <v>206</v>
      </c>
      <c r="I2109" s="140" t="s">
        <v>21</v>
      </c>
      <c r="J2109" s="174"/>
    </row>
    <row r="2110" hidden="1" customHeight="1" spans="1:10">
      <c r="A2110" s="140" t="s">
        <v>463</v>
      </c>
      <c r="B2110" s="140" t="s">
        <v>298</v>
      </c>
      <c r="C2110" s="171">
        <v>45700</v>
      </c>
      <c r="D2110" s="172" t="s">
        <v>18</v>
      </c>
      <c r="E2110" s="140" t="s">
        <v>19</v>
      </c>
      <c r="F2110" s="140" t="s">
        <v>20</v>
      </c>
      <c r="G2110" s="140" t="s">
        <v>21</v>
      </c>
      <c r="H2110" s="140" t="s">
        <v>174</v>
      </c>
      <c r="I2110" s="140" t="s">
        <v>21</v>
      </c>
      <c r="J2110" s="174"/>
    </row>
    <row r="2111" hidden="1" customHeight="1" spans="1:10">
      <c r="A2111" s="140" t="s">
        <v>463</v>
      </c>
      <c r="B2111" s="140" t="s">
        <v>298</v>
      </c>
      <c r="C2111" s="171">
        <v>45701</v>
      </c>
      <c r="D2111" s="172" t="s">
        <v>23</v>
      </c>
      <c r="E2111" s="140" t="s">
        <v>19</v>
      </c>
      <c r="F2111" s="140" t="s">
        <v>51</v>
      </c>
      <c r="G2111" s="140" t="s">
        <v>21</v>
      </c>
      <c r="H2111" s="140" t="s">
        <v>73</v>
      </c>
      <c r="I2111" s="140" t="s">
        <v>21</v>
      </c>
      <c r="J2111" s="175"/>
    </row>
    <row r="2112" hidden="1" customHeight="1" spans="1:10">
      <c r="A2112" s="140" t="s">
        <v>463</v>
      </c>
      <c r="B2112" s="140" t="s">
        <v>298</v>
      </c>
      <c r="C2112" s="171">
        <v>45702</v>
      </c>
      <c r="D2112" s="172" t="s">
        <v>25</v>
      </c>
      <c r="E2112" s="140" t="s">
        <v>19</v>
      </c>
      <c r="F2112" s="140" t="s">
        <v>51</v>
      </c>
      <c r="G2112" s="140" t="s">
        <v>21</v>
      </c>
      <c r="H2112" s="140" t="s">
        <v>189</v>
      </c>
      <c r="I2112" s="140" t="s">
        <v>21</v>
      </c>
      <c r="J2112" s="174"/>
    </row>
    <row r="2113" hidden="1" customHeight="1" spans="1:10">
      <c r="A2113" s="140" t="s">
        <v>463</v>
      </c>
      <c r="B2113" s="140" t="s">
        <v>298</v>
      </c>
      <c r="C2113" s="171">
        <v>45703</v>
      </c>
      <c r="D2113" s="172" t="s">
        <v>27</v>
      </c>
      <c r="E2113" s="173" t="s">
        <v>13</v>
      </c>
      <c r="F2113" s="140" t="s">
        <v>14</v>
      </c>
      <c r="G2113" s="140" t="s">
        <v>14</v>
      </c>
      <c r="H2113" s="140" t="s">
        <v>14</v>
      </c>
      <c r="I2113" s="140" t="s">
        <v>14</v>
      </c>
      <c r="J2113" s="174"/>
    </row>
    <row r="2114" hidden="1" customHeight="1" spans="1:10">
      <c r="A2114" s="140" t="s">
        <v>463</v>
      </c>
      <c r="B2114" s="140" t="s">
        <v>298</v>
      </c>
      <c r="C2114" s="171">
        <v>45704</v>
      </c>
      <c r="D2114" s="172" t="s">
        <v>15</v>
      </c>
      <c r="E2114" s="173" t="s">
        <v>13</v>
      </c>
      <c r="F2114" s="140" t="s">
        <v>14</v>
      </c>
      <c r="G2114" s="140" t="s">
        <v>14</v>
      </c>
      <c r="H2114" s="140" t="s">
        <v>14</v>
      </c>
      <c r="I2114" s="140" t="s">
        <v>14</v>
      </c>
      <c r="J2114" s="174"/>
    </row>
    <row r="2115" hidden="1" customHeight="1" spans="1:10">
      <c r="A2115" s="140" t="s">
        <v>463</v>
      </c>
      <c r="B2115" s="140" t="s">
        <v>298</v>
      </c>
      <c r="C2115" s="171">
        <v>45705</v>
      </c>
      <c r="D2115" s="172" t="s">
        <v>16</v>
      </c>
      <c r="E2115" s="140" t="s">
        <v>19</v>
      </c>
      <c r="F2115" s="140" t="s">
        <v>36</v>
      </c>
      <c r="G2115" s="140" t="s">
        <v>21</v>
      </c>
      <c r="H2115" s="140" t="s">
        <v>235</v>
      </c>
      <c r="I2115" s="140" t="s">
        <v>21</v>
      </c>
      <c r="J2115" s="174"/>
    </row>
    <row r="2116" hidden="1" customHeight="1" spans="1:10">
      <c r="A2116" s="140" t="s">
        <v>463</v>
      </c>
      <c r="B2116" s="140" t="s">
        <v>298</v>
      </c>
      <c r="C2116" s="171">
        <v>45706</v>
      </c>
      <c r="D2116" s="172" t="s">
        <v>17</v>
      </c>
      <c r="E2116" s="140" t="s">
        <v>19</v>
      </c>
      <c r="F2116" s="140" t="s">
        <v>46</v>
      </c>
      <c r="G2116" s="140" t="s">
        <v>21</v>
      </c>
      <c r="H2116" s="140" t="s">
        <v>252</v>
      </c>
      <c r="I2116" s="140" t="s">
        <v>21</v>
      </c>
      <c r="J2116" s="174"/>
    </row>
    <row r="2117" customHeight="1" spans="1:10">
      <c r="A2117" s="140" t="s">
        <v>463</v>
      </c>
      <c r="B2117" s="140" t="s">
        <v>298</v>
      </c>
      <c r="C2117" s="171">
        <v>45707</v>
      </c>
      <c r="D2117" s="172" t="s">
        <v>18</v>
      </c>
      <c r="E2117" s="140" t="s">
        <v>19</v>
      </c>
      <c r="F2117" s="140" t="s">
        <v>14</v>
      </c>
      <c r="G2117" s="176" t="s">
        <v>68</v>
      </c>
      <c r="H2117" s="140" t="s">
        <v>174</v>
      </c>
      <c r="I2117" s="140" t="s">
        <v>21</v>
      </c>
      <c r="J2117" s="174" t="s">
        <v>69</v>
      </c>
    </row>
    <row r="2118" hidden="1" customHeight="1" spans="1:10">
      <c r="A2118" s="140" t="s">
        <v>463</v>
      </c>
      <c r="B2118" s="140" t="s">
        <v>298</v>
      </c>
      <c r="C2118" s="171">
        <v>45708</v>
      </c>
      <c r="D2118" s="172" t="s">
        <v>23</v>
      </c>
      <c r="E2118" s="140" t="s">
        <v>19</v>
      </c>
      <c r="F2118" s="140" t="s">
        <v>51</v>
      </c>
      <c r="G2118" s="140" t="s">
        <v>21</v>
      </c>
      <c r="H2118" s="140" t="s">
        <v>168</v>
      </c>
      <c r="I2118" s="140" t="s">
        <v>21</v>
      </c>
      <c r="J2118" s="174"/>
    </row>
    <row r="2119" hidden="1" customHeight="1" spans="1:10">
      <c r="A2119" s="140" t="s">
        <v>463</v>
      </c>
      <c r="B2119" s="140" t="s">
        <v>298</v>
      </c>
      <c r="C2119" s="171">
        <v>45709</v>
      </c>
      <c r="D2119" s="172" t="s">
        <v>25</v>
      </c>
      <c r="E2119" s="140" t="s">
        <v>19</v>
      </c>
      <c r="F2119" s="140" t="s">
        <v>36</v>
      </c>
      <c r="G2119" s="140" t="s">
        <v>21</v>
      </c>
      <c r="H2119" s="140" t="s">
        <v>122</v>
      </c>
      <c r="I2119" s="140" t="s">
        <v>21</v>
      </c>
      <c r="J2119" s="174"/>
    </row>
    <row r="2120" hidden="1" customHeight="1" spans="1:10">
      <c r="A2120" s="140" t="s">
        <v>463</v>
      </c>
      <c r="B2120" s="140" t="s">
        <v>298</v>
      </c>
      <c r="C2120" s="171">
        <v>45710</v>
      </c>
      <c r="D2120" s="172" t="s">
        <v>27</v>
      </c>
      <c r="E2120" s="173" t="s">
        <v>13</v>
      </c>
      <c r="F2120" s="140" t="s">
        <v>464</v>
      </c>
      <c r="G2120" s="140" t="s">
        <v>21</v>
      </c>
      <c r="H2120" s="140" t="s">
        <v>465</v>
      </c>
      <c r="I2120" s="140" t="s">
        <v>21</v>
      </c>
      <c r="J2120" s="174"/>
    </row>
    <row r="2121" hidden="1" customHeight="1" spans="1:10">
      <c r="A2121" s="140" t="s">
        <v>463</v>
      </c>
      <c r="B2121" s="140" t="s">
        <v>298</v>
      </c>
      <c r="C2121" s="171">
        <v>45711</v>
      </c>
      <c r="D2121" s="172" t="s">
        <v>15</v>
      </c>
      <c r="E2121" s="173" t="s">
        <v>13</v>
      </c>
      <c r="F2121" s="140" t="s">
        <v>14</v>
      </c>
      <c r="G2121" s="140" t="s">
        <v>14</v>
      </c>
      <c r="H2121" s="140" t="s">
        <v>14</v>
      </c>
      <c r="I2121" s="140" t="s">
        <v>14</v>
      </c>
      <c r="J2121" s="174"/>
    </row>
    <row r="2122" hidden="1" customHeight="1" spans="1:10">
      <c r="A2122" s="140" t="s">
        <v>463</v>
      </c>
      <c r="B2122" s="140" t="s">
        <v>298</v>
      </c>
      <c r="C2122" s="171">
        <v>45712</v>
      </c>
      <c r="D2122" s="172" t="s">
        <v>16</v>
      </c>
      <c r="E2122" s="140" t="s">
        <v>19</v>
      </c>
      <c r="F2122" s="140" t="s">
        <v>36</v>
      </c>
      <c r="G2122" s="140" t="s">
        <v>21</v>
      </c>
      <c r="H2122" s="140" t="s">
        <v>41</v>
      </c>
      <c r="I2122" s="140" t="s">
        <v>21</v>
      </c>
      <c r="J2122" s="174"/>
    </row>
    <row r="2123" hidden="1" customHeight="1" spans="1:10">
      <c r="A2123" s="140" t="s">
        <v>463</v>
      </c>
      <c r="B2123" s="140" t="s">
        <v>298</v>
      </c>
      <c r="C2123" s="171">
        <v>45713</v>
      </c>
      <c r="D2123" s="172" t="s">
        <v>17</v>
      </c>
      <c r="E2123" s="140" t="s">
        <v>19</v>
      </c>
      <c r="F2123" s="140" t="s">
        <v>51</v>
      </c>
      <c r="G2123" s="140" t="s">
        <v>21</v>
      </c>
      <c r="H2123" s="140" t="s">
        <v>172</v>
      </c>
      <c r="I2123" s="140" t="s">
        <v>21</v>
      </c>
      <c r="J2123" s="174"/>
    </row>
    <row r="2124" hidden="1" customHeight="1" spans="1:10">
      <c r="A2124" s="140" t="s">
        <v>463</v>
      </c>
      <c r="B2124" s="140" t="s">
        <v>298</v>
      </c>
      <c r="C2124" s="171">
        <v>45714</v>
      </c>
      <c r="D2124" s="172" t="s">
        <v>18</v>
      </c>
      <c r="E2124" s="140" t="s">
        <v>19</v>
      </c>
      <c r="F2124" s="140" t="s">
        <v>33</v>
      </c>
      <c r="G2124" s="140" t="s">
        <v>21</v>
      </c>
      <c r="H2124" s="140" t="s">
        <v>42</v>
      </c>
      <c r="I2124" s="140" t="s">
        <v>21</v>
      </c>
      <c r="J2124" s="174"/>
    </row>
    <row r="2125" hidden="1" customHeight="1" spans="1:10">
      <c r="A2125" s="140" t="s">
        <v>463</v>
      </c>
      <c r="B2125" s="140" t="s">
        <v>298</v>
      </c>
      <c r="C2125" s="171">
        <v>45715</v>
      </c>
      <c r="D2125" s="172" t="s">
        <v>23</v>
      </c>
      <c r="E2125" s="140" t="s">
        <v>19</v>
      </c>
      <c r="F2125" s="140" t="s">
        <v>20</v>
      </c>
      <c r="G2125" s="140" t="s">
        <v>21</v>
      </c>
      <c r="H2125" s="140" t="s">
        <v>116</v>
      </c>
      <c r="I2125" s="140" t="s">
        <v>21</v>
      </c>
      <c r="J2125" s="174"/>
    </row>
    <row r="2126" hidden="1" customHeight="1" spans="1:10">
      <c r="A2126" s="140" t="s">
        <v>463</v>
      </c>
      <c r="B2126" s="140" t="s">
        <v>298</v>
      </c>
      <c r="C2126" s="171">
        <v>45716</v>
      </c>
      <c r="D2126" s="172" t="s">
        <v>25</v>
      </c>
      <c r="E2126" s="140" t="s">
        <v>19</v>
      </c>
      <c r="F2126" s="140" t="s">
        <v>36</v>
      </c>
      <c r="G2126" s="140" t="s">
        <v>21</v>
      </c>
      <c r="H2126" s="140" t="s">
        <v>235</v>
      </c>
      <c r="I2126" s="140" t="s">
        <v>21</v>
      </c>
      <c r="J2126" s="174"/>
    </row>
    <row r="2127" customHeight="1" spans="1:10">
      <c r="A2127" s="140" t="s">
        <v>466</v>
      </c>
      <c r="B2127" s="140" t="s">
        <v>298</v>
      </c>
      <c r="C2127" s="171">
        <v>45693</v>
      </c>
      <c r="D2127" s="172" t="s">
        <v>18</v>
      </c>
      <c r="E2127" s="140" t="s">
        <v>19</v>
      </c>
      <c r="F2127" s="140" t="s">
        <v>467</v>
      </c>
      <c r="G2127" s="177" t="s">
        <v>103</v>
      </c>
      <c r="H2127" s="140" t="s">
        <v>191</v>
      </c>
      <c r="I2127" s="140" t="s">
        <v>21</v>
      </c>
      <c r="J2127" s="174" t="s">
        <v>204</v>
      </c>
    </row>
    <row r="2128" hidden="1" customHeight="1" spans="1:10">
      <c r="A2128" s="140" t="s">
        <v>466</v>
      </c>
      <c r="B2128" s="140" t="s">
        <v>298</v>
      </c>
      <c r="C2128" s="171">
        <v>45694</v>
      </c>
      <c r="D2128" s="172" t="s">
        <v>23</v>
      </c>
      <c r="E2128" s="140" t="s">
        <v>19</v>
      </c>
      <c r="F2128" s="140" t="s">
        <v>150</v>
      </c>
      <c r="G2128" s="140" t="s">
        <v>21</v>
      </c>
      <c r="H2128" s="140" t="s">
        <v>163</v>
      </c>
      <c r="I2128" s="140" t="s">
        <v>21</v>
      </c>
      <c r="J2128" s="174"/>
    </row>
    <row r="2129" hidden="1" customHeight="1" spans="1:10">
      <c r="A2129" s="140" t="s">
        <v>466</v>
      </c>
      <c r="B2129" s="140" t="s">
        <v>298</v>
      </c>
      <c r="C2129" s="171">
        <v>45695</v>
      </c>
      <c r="D2129" s="172" t="s">
        <v>25</v>
      </c>
      <c r="E2129" s="140" t="s">
        <v>19</v>
      </c>
      <c r="F2129" s="140" t="s">
        <v>188</v>
      </c>
      <c r="G2129" s="140" t="s">
        <v>21</v>
      </c>
      <c r="H2129" s="140" t="s">
        <v>167</v>
      </c>
      <c r="I2129" s="140" t="s">
        <v>21</v>
      </c>
      <c r="J2129" s="174"/>
    </row>
    <row r="2130" hidden="1" customHeight="1" spans="1:10">
      <c r="A2130" s="140" t="s">
        <v>466</v>
      </c>
      <c r="B2130" s="140" t="s">
        <v>298</v>
      </c>
      <c r="C2130" s="171">
        <v>45696</v>
      </c>
      <c r="D2130" s="172" t="s">
        <v>27</v>
      </c>
      <c r="E2130" s="140" t="s">
        <v>19</v>
      </c>
      <c r="F2130" s="140" t="s">
        <v>154</v>
      </c>
      <c r="G2130" s="140" t="s">
        <v>21</v>
      </c>
      <c r="H2130" s="140" t="s">
        <v>232</v>
      </c>
      <c r="I2130" s="140" t="s">
        <v>21</v>
      </c>
      <c r="J2130" s="174"/>
    </row>
    <row r="2131" hidden="1" customHeight="1" spans="1:10">
      <c r="A2131" s="140" t="s">
        <v>466</v>
      </c>
      <c r="B2131" s="140" t="s">
        <v>298</v>
      </c>
      <c r="C2131" s="171">
        <v>45697</v>
      </c>
      <c r="D2131" s="172" t="s">
        <v>15</v>
      </c>
      <c r="E2131" s="173" t="s">
        <v>13</v>
      </c>
      <c r="F2131" s="140" t="s">
        <v>14</v>
      </c>
      <c r="G2131" s="140" t="s">
        <v>14</v>
      </c>
      <c r="H2131" s="140" t="s">
        <v>14</v>
      </c>
      <c r="I2131" s="140" t="s">
        <v>14</v>
      </c>
      <c r="J2131" s="174"/>
    </row>
    <row r="2132" hidden="1" customHeight="1" spans="1:10">
      <c r="A2132" s="140" t="s">
        <v>466</v>
      </c>
      <c r="B2132" s="140" t="s">
        <v>298</v>
      </c>
      <c r="C2132" s="171">
        <v>45698</v>
      </c>
      <c r="D2132" s="172" t="s">
        <v>16</v>
      </c>
      <c r="E2132" s="140" t="s">
        <v>19</v>
      </c>
      <c r="F2132" s="140" t="s">
        <v>28</v>
      </c>
      <c r="G2132" s="140" t="s">
        <v>21</v>
      </c>
      <c r="H2132" s="140" t="s">
        <v>78</v>
      </c>
      <c r="I2132" s="140" t="s">
        <v>21</v>
      </c>
      <c r="J2132" s="174"/>
    </row>
    <row r="2133" hidden="1" customHeight="1" spans="1:10">
      <c r="A2133" s="140" t="s">
        <v>466</v>
      </c>
      <c r="B2133" s="140" t="s">
        <v>298</v>
      </c>
      <c r="C2133" s="171">
        <v>45699</v>
      </c>
      <c r="D2133" s="172" t="s">
        <v>17</v>
      </c>
      <c r="E2133" s="140" t="s">
        <v>19</v>
      </c>
      <c r="F2133" s="140" t="s">
        <v>28</v>
      </c>
      <c r="G2133" s="140" t="s">
        <v>21</v>
      </c>
      <c r="H2133" s="140" t="s">
        <v>205</v>
      </c>
      <c r="I2133" s="140" t="s">
        <v>21</v>
      </c>
      <c r="J2133" s="174"/>
    </row>
    <row r="2134" hidden="1" customHeight="1" spans="1:10">
      <c r="A2134" s="140" t="s">
        <v>466</v>
      </c>
      <c r="B2134" s="140" t="s">
        <v>298</v>
      </c>
      <c r="C2134" s="171">
        <v>45700</v>
      </c>
      <c r="D2134" s="172" t="s">
        <v>18</v>
      </c>
      <c r="E2134" s="140" t="s">
        <v>19</v>
      </c>
      <c r="F2134" s="140" t="s">
        <v>28</v>
      </c>
      <c r="G2134" s="140" t="s">
        <v>21</v>
      </c>
      <c r="H2134" s="140" t="s">
        <v>206</v>
      </c>
      <c r="I2134" s="140" t="s">
        <v>21</v>
      </c>
      <c r="J2134" s="174"/>
    </row>
    <row r="2135" hidden="1" customHeight="1" spans="1:10">
      <c r="A2135" s="140" t="s">
        <v>466</v>
      </c>
      <c r="B2135" s="140" t="s">
        <v>298</v>
      </c>
      <c r="C2135" s="171">
        <v>45701</v>
      </c>
      <c r="D2135" s="172" t="s">
        <v>23</v>
      </c>
      <c r="E2135" s="140" t="s">
        <v>19</v>
      </c>
      <c r="F2135" s="140" t="s">
        <v>40</v>
      </c>
      <c r="G2135" s="140" t="s">
        <v>21</v>
      </c>
      <c r="H2135" s="140" t="s">
        <v>78</v>
      </c>
      <c r="I2135" s="140" t="s">
        <v>21</v>
      </c>
      <c r="J2135" s="175"/>
    </row>
    <row r="2136" hidden="1" customHeight="1" spans="1:10">
      <c r="A2136" s="140" t="s">
        <v>466</v>
      </c>
      <c r="B2136" s="140" t="s">
        <v>298</v>
      </c>
      <c r="C2136" s="171">
        <v>45702</v>
      </c>
      <c r="D2136" s="172" t="s">
        <v>25</v>
      </c>
      <c r="E2136" s="140" t="s">
        <v>19</v>
      </c>
      <c r="F2136" s="140" t="s">
        <v>193</v>
      </c>
      <c r="G2136" s="140" t="s">
        <v>21</v>
      </c>
      <c r="H2136" s="140" t="s">
        <v>167</v>
      </c>
      <c r="I2136" s="140" t="s">
        <v>21</v>
      </c>
      <c r="J2136" s="174"/>
    </row>
    <row r="2137" hidden="1" customHeight="1" spans="1:10">
      <c r="A2137" s="140" t="s">
        <v>466</v>
      </c>
      <c r="B2137" s="140" t="s">
        <v>298</v>
      </c>
      <c r="C2137" s="171">
        <v>45703</v>
      </c>
      <c r="D2137" s="172" t="s">
        <v>27</v>
      </c>
      <c r="E2137" s="173" t="s">
        <v>13</v>
      </c>
      <c r="F2137" s="140" t="s">
        <v>14</v>
      </c>
      <c r="G2137" s="140" t="s">
        <v>14</v>
      </c>
      <c r="H2137" s="140" t="s">
        <v>14</v>
      </c>
      <c r="I2137" s="140" t="s">
        <v>14</v>
      </c>
      <c r="J2137" s="174"/>
    </row>
    <row r="2138" hidden="1" customHeight="1" spans="1:10">
      <c r="A2138" s="140" t="s">
        <v>466</v>
      </c>
      <c r="B2138" s="140" t="s">
        <v>298</v>
      </c>
      <c r="C2138" s="171">
        <v>45704</v>
      </c>
      <c r="D2138" s="172" t="s">
        <v>15</v>
      </c>
      <c r="E2138" s="173" t="s">
        <v>13</v>
      </c>
      <c r="F2138" s="140" t="s">
        <v>14</v>
      </c>
      <c r="G2138" s="140" t="s">
        <v>14</v>
      </c>
      <c r="H2138" s="140" t="s">
        <v>14</v>
      </c>
      <c r="I2138" s="140" t="s">
        <v>14</v>
      </c>
      <c r="J2138" s="174"/>
    </row>
    <row r="2139" hidden="1" customHeight="1" spans="1:10">
      <c r="A2139" s="140" t="s">
        <v>466</v>
      </c>
      <c r="B2139" s="140" t="s">
        <v>298</v>
      </c>
      <c r="C2139" s="171">
        <v>45705</v>
      </c>
      <c r="D2139" s="172" t="s">
        <v>16</v>
      </c>
      <c r="E2139" s="140" t="s">
        <v>19</v>
      </c>
      <c r="F2139" s="140" t="s">
        <v>28</v>
      </c>
      <c r="G2139" s="140" t="s">
        <v>21</v>
      </c>
      <c r="H2139" s="140" t="s">
        <v>123</v>
      </c>
      <c r="I2139" s="140" t="s">
        <v>21</v>
      </c>
      <c r="J2139" s="174"/>
    </row>
    <row r="2140" hidden="1" customHeight="1" spans="1:10">
      <c r="A2140" s="140" t="s">
        <v>466</v>
      </c>
      <c r="B2140" s="140" t="s">
        <v>298</v>
      </c>
      <c r="C2140" s="171">
        <v>45706</v>
      </c>
      <c r="D2140" s="172" t="s">
        <v>17</v>
      </c>
      <c r="E2140" s="140" t="s">
        <v>19</v>
      </c>
      <c r="F2140" s="140" t="s">
        <v>154</v>
      </c>
      <c r="G2140" s="140" t="s">
        <v>21</v>
      </c>
      <c r="H2140" s="140" t="s">
        <v>178</v>
      </c>
      <c r="I2140" s="140" t="s">
        <v>21</v>
      </c>
      <c r="J2140" s="174"/>
    </row>
    <row r="2141" hidden="1" customHeight="1" spans="1:10">
      <c r="A2141" s="140" t="s">
        <v>466</v>
      </c>
      <c r="B2141" s="140" t="s">
        <v>298</v>
      </c>
      <c r="C2141" s="171">
        <v>45707</v>
      </c>
      <c r="D2141" s="172" t="s">
        <v>18</v>
      </c>
      <c r="E2141" s="140" t="s">
        <v>19</v>
      </c>
      <c r="F2141" s="140" t="s">
        <v>154</v>
      </c>
      <c r="G2141" s="140" t="s">
        <v>21</v>
      </c>
      <c r="H2141" s="140" t="s">
        <v>53</v>
      </c>
      <c r="I2141" s="140" t="s">
        <v>21</v>
      </c>
      <c r="J2141" s="174"/>
    </row>
    <row r="2142" hidden="1" customHeight="1" spans="1:10">
      <c r="A2142" s="140" t="s">
        <v>466</v>
      </c>
      <c r="B2142" s="140" t="s">
        <v>298</v>
      </c>
      <c r="C2142" s="171">
        <v>45708</v>
      </c>
      <c r="D2142" s="172" t="s">
        <v>23</v>
      </c>
      <c r="E2142" s="140" t="s">
        <v>19</v>
      </c>
      <c r="F2142" s="140" t="s">
        <v>154</v>
      </c>
      <c r="G2142" s="140" t="s">
        <v>21</v>
      </c>
      <c r="H2142" s="140" t="s">
        <v>35</v>
      </c>
      <c r="I2142" s="140" t="s">
        <v>21</v>
      </c>
      <c r="J2142" s="174"/>
    </row>
    <row r="2143" hidden="1" customHeight="1" spans="1:10">
      <c r="A2143" s="140" t="s">
        <v>466</v>
      </c>
      <c r="B2143" s="140" t="s">
        <v>298</v>
      </c>
      <c r="C2143" s="171">
        <v>45709</v>
      </c>
      <c r="D2143" s="172" t="s">
        <v>25</v>
      </c>
      <c r="E2143" s="140" t="s">
        <v>19</v>
      </c>
      <c r="F2143" s="140" t="s">
        <v>154</v>
      </c>
      <c r="G2143" s="140" t="s">
        <v>21</v>
      </c>
      <c r="H2143" s="140" t="s">
        <v>167</v>
      </c>
      <c r="I2143" s="140" t="s">
        <v>21</v>
      </c>
      <c r="J2143" s="174"/>
    </row>
    <row r="2144" hidden="1" customHeight="1" spans="1:10">
      <c r="A2144" s="140" t="s">
        <v>466</v>
      </c>
      <c r="B2144" s="140" t="s">
        <v>298</v>
      </c>
      <c r="C2144" s="171">
        <v>45710</v>
      </c>
      <c r="D2144" s="172" t="s">
        <v>27</v>
      </c>
      <c r="E2144" s="173" t="s">
        <v>13</v>
      </c>
      <c r="F2144" s="140" t="s">
        <v>14</v>
      </c>
      <c r="G2144" s="140" t="s">
        <v>14</v>
      </c>
      <c r="H2144" s="140" t="s">
        <v>14</v>
      </c>
      <c r="I2144" s="140" t="s">
        <v>14</v>
      </c>
      <c r="J2144" s="174"/>
    </row>
    <row r="2145" hidden="1" customHeight="1" spans="1:10">
      <c r="A2145" s="140" t="s">
        <v>466</v>
      </c>
      <c r="B2145" s="140" t="s">
        <v>298</v>
      </c>
      <c r="C2145" s="171">
        <v>45711</v>
      </c>
      <c r="D2145" s="172" t="s">
        <v>15</v>
      </c>
      <c r="E2145" s="173" t="s">
        <v>13</v>
      </c>
      <c r="F2145" s="140" t="s">
        <v>14</v>
      </c>
      <c r="G2145" s="140" t="s">
        <v>14</v>
      </c>
      <c r="H2145" s="140" t="s">
        <v>14</v>
      </c>
      <c r="I2145" s="140" t="s">
        <v>14</v>
      </c>
      <c r="J2145" s="174"/>
    </row>
    <row r="2146" hidden="1" customHeight="1" spans="1:10">
      <c r="A2146" s="140" t="s">
        <v>466</v>
      </c>
      <c r="B2146" s="140" t="s">
        <v>298</v>
      </c>
      <c r="C2146" s="171">
        <v>45712</v>
      </c>
      <c r="D2146" s="172" t="s">
        <v>16</v>
      </c>
      <c r="E2146" s="140" t="s">
        <v>19</v>
      </c>
      <c r="F2146" s="140" t="s">
        <v>28</v>
      </c>
      <c r="G2146" s="140" t="s">
        <v>21</v>
      </c>
      <c r="H2146" s="140" t="s">
        <v>35</v>
      </c>
      <c r="I2146" s="140" t="s">
        <v>21</v>
      </c>
      <c r="J2146" s="174"/>
    </row>
    <row r="2147" hidden="1" customHeight="1" spans="1:10">
      <c r="A2147" s="140" t="s">
        <v>466</v>
      </c>
      <c r="B2147" s="140" t="s">
        <v>298</v>
      </c>
      <c r="C2147" s="171">
        <v>45713</v>
      </c>
      <c r="D2147" s="172" t="s">
        <v>17</v>
      </c>
      <c r="E2147" s="140" t="s">
        <v>19</v>
      </c>
      <c r="F2147" s="140" t="s">
        <v>154</v>
      </c>
      <c r="G2147" s="140" t="s">
        <v>21</v>
      </c>
      <c r="H2147" s="140" t="s">
        <v>170</v>
      </c>
      <c r="I2147" s="140" t="s">
        <v>21</v>
      </c>
      <c r="J2147" s="174"/>
    </row>
    <row r="2148" hidden="1" customHeight="1" spans="1:10">
      <c r="A2148" s="140" t="s">
        <v>466</v>
      </c>
      <c r="B2148" s="140" t="s">
        <v>298</v>
      </c>
      <c r="C2148" s="171">
        <v>45714</v>
      </c>
      <c r="D2148" s="172" t="s">
        <v>18</v>
      </c>
      <c r="E2148" s="140" t="s">
        <v>19</v>
      </c>
      <c r="F2148" s="140" t="s">
        <v>154</v>
      </c>
      <c r="G2148" s="140" t="s">
        <v>21</v>
      </c>
      <c r="H2148" s="140" t="s">
        <v>53</v>
      </c>
      <c r="I2148" s="140" t="s">
        <v>21</v>
      </c>
      <c r="J2148" s="174"/>
    </row>
    <row r="2149" hidden="1" customHeight="1" spans="1:10">
      <c r="A2149" s="140" t="s">
        <v>466</v>
      </c>
      <c r="B2149" s="140" t="s">
        <v>298</v>
      </c>
      <c r="C2149" s="171">
        <v>45715</v>
      </c>
      <c r="D2149" s="172" t="s">
        <v>23</v>
      </c>
      <c r="E2149" s="140" t="s">
        <v>19</v>
      </c>
      <c r="F2149" s="140" t="s">
        <v>28</v>
      </c>
      <c r="G2149" s="140" t="s">
        <v>21</v>
      </c>
      <c r="H2149" s="140" t="s">
        <v>35</v>
      </c>
      <c r="I2149" s="140" t="s">
        <v>21</v>
      </c>
      <c r="J2149" s="174"/>
    </row>
    <row r="2150" hidden="1" customHeight="1" spans="1:10">
      <c r="A2150" s="140" t="s">
        <v>466</v>
      </c>
      <c r="B2150" s="140" t="s">
        <v>298</v>
      </c>
      <c r="C2150" s="171">
        <v>45716</v>
      </c>
      <c r="D2150" s="172" t="s">
        <v>25</v>
      </c>
      <c r="E2150" s="140" t="s">
        <v>19</v>
      </c>
      <c r="F2150" s="140" t="s">
        <v>28</v>
      </c>
      <c r="G2150" s="140" t="s">
        <v>21</v>
      </c>
      <c r="H2150" s="140" t="s">
        <v>53</v>
      </c>
      <c r="I2150" s="140" t="s">
        <v>21</v>
      </c>
      <c r="J2150" s="174"/>
    </row>
    <row r="2151" hidden="1" customHeight="1" spans="1:10">
      <c r="A2151" s="140" t="s">
        <v>468</v>
      </c>
      <c r="B2151" s="140" t="s">
        <v>429</v>
      </c>
      <c r="C2151" s="171">
        <v>45689</v>
      </c>
      <c r="D2151" s="172" t="s">
        <v>12</v>
      </c>
      <c r="E2151" s="173" t="s">
        <v>13</v>
      </c>
      <c r="F2151" s="140" t="s">
        <v>14</v>
      </c>
      <c r="G2151" s="140" t="s">
        <v>14</v>
      </c>
      <c r="H2151" s="140" t="s">
        <v>14</v>
      </c>
      <c r="I2151" s="140" t="s">
        <v>14</v>
      </c>
      <c r="J2151" s="174"/>
    </row>
    <row r="2152" hidden="1" customHeight="1" spans="1:10">
      <c r="A2152" s="140" t="s">
        <v>468</v>
      </c>
      <c r="B2152" s="140" t="s">
        <v>429</v>
      </c>
      <c r="C2152" s="171">
        <v>45690</v>
      </c>
      <c r="D2152" s="172" t="s">
        <v>15</v>
      </c>
      <c r="E2152" s="173" t="s">
        <v>13</v>
      </c>
      <c r="F2152" s="140" t="s">
        <v>14</v>
      </c>
      <c r="G2152" s="140" t="s">
        <v>14</v>
      </c>
      <c r="H2152" s="140" t="s">
        <v>14</v>
      </c>
      <c r="I2152" s="140" t="s">
        <v>14</v>
      </c>
      <c r="J2152" s="174"/>
    </row>
    <row r="2153" hidden="1" customHeight="1" spans="1:10">
      <c r="A2153" s="140" t="s">
        <v>468</v>
      </c>
      <c r="B2153" s="140" t="s">
        <v>429</v>
      </c>
      <c r="C2153" s="171">
        <v>45691</v>
      </c>
      <c r="D2153" s="172" t="s">
        <v>16</v>
      </c>
      <c r="E2153" s="173" t="s">
        <v>13</v>
      </c>
      <c r="F2153" s="140" t="s">
        <v>14</v>
      </c>
      <c r="G2153" s="140" t="s">
        <v>14</v>
      </c>
      <c r="H2153" s="140" t="s">
        <v>14</v>
      </c>
      <c r="I2153" s="140" t="s">
        <v>14</v>
      </c>
      <c r="J2153" s="174"/>
    </row>
    <row r="2154" hidden="1" customHeight="1" spans="1:10">
      <c r="A2154" s="140" t="s">
        <v>468</v>
      </c>
      <c r="B2154" s="140" t="s">
        <v>429</v>
      </c>
      <c r="C2154" s="171">
        <v>45692</v>
      </c>
      <c r="D2154" s="172" t="s">
        <v>17</v>
      </c>
      <c r="E2154" s="173" t="s">
        <v>13</v>
      </c>
      <c r="F2154" s="140" t="s">
        <v>14</v>
      </c>
      <c r="G2154" s="140" t="s">
        <v>14</v>
      </c>
      <c r="H2154" s="140" t="s">
        <v>14</v>
      </c>
      <c r="I2154" s="140" t="s">
        <v>14</v>
      </c>
      <c r="J2154" s="174"/>
    </row>
    <row r="2155" customHeight="1" spans="1:10">
      <c r="A2155" s="140" t="s">
        <v>468</v>
      </c>
      <c r="B2155" s="140" t="s">
        <v>429</v>
      </c>
      <c r="C2155" s="171">
        <v>45693</v>
      </c>
      <c r="D2155" s="172" t="s">
        <v>18</v>
      </c>
      <c r="E2155" s="140" t="s">
        <v>19</v>
      </c>
      <c r="F2155" s="140" t="s">
        <v>14</v>
      </c>
      <c r="G2155" s="176" t="s">
        <v>68</v>
      </c>
      <c r="H2155" s="140" t="s">
        <v>14</v>
      </c>
      <c r="I2155" s="176" t="s">
        <v>68</v>
      </c>
      <c r="J2155" s="174" t="s">
        <v>234</v>
      </c>
    </row>
    <row r="2156" hidden="1" customHeight="1" spans="1:10">
      <c r="A2156" s="140" t="s">
        <v>468</v>
      </c>
      <c r="B2156" s="140" t="s">
        <v>429</v>
      </c>
      <c r="C2156" s="171">
        <v>45694</v>
      </c>
      <c r="D2156" s="172" t="s">
        <v>23</v>
      </c>
      <c r="E2156" s="140" t="s">
        <v>19</v>
      </c>
      <c r="F2156" s="140" t="s">
        <v>188</v>
      </c>
      <c r="G2156" s="140" t="s">
        <v>21</v>
      </c>
      <c r="H2156" s="140" t="s">
        <v>254</v>
      </c>
      <c r="I2156" s="140" t="s">
        <v>21</v>
      </c>
      <c r="J2156" s="174"/>
    </row>
    <row r="2157" hidden="1" customHeight="1" spans="1:10">
      <c r="A2157" s="140" t="s">
        <v>468</v>
      </c>
      <c r="B2157" s="140" t="s">
        <v>429</v>
      </c>
      <c r="C2157" s="171">
        <v>45695</v>
      </c>
      <c r="D2157" s="172" t="s">
        <v>25</v>
      </c>
      <c r="E2157" s="140" t="s">
        <v>19</v>
      </c>
      <c r="F2157" s="140" t="s">
        <v>146</v>
      </c>
      <c r="G2157" s="140" t="s">
        <v>21</v>
      </c>
      <c r="H2157" s="140" t="s">
        <v>170</v>
      </c>
      <c r="I2157" s="140" t="s">
        <v>21</v>
      </c>
      <c r="J2157" s="174"/>
    </row>
    <row r="2158" hidden="1" customHeight="1" spans="1:10">
      <c r="A2158" s="140" t="s">
        <v>468</v>
      </c>
      <c r="B2158" s="140" t="s">
        <v>429</v>
      </c>
      <c r="C2158" s="171">
        <v>45696</v>
      </c>
      <c r="D2158" s="172" t="s">
        <v>27</v>
      </c>
      <c r="E2158" s="140" t="s">
        <v>19</v>
      </c>
      <c r="F2158" s="140" t="s">
        <v>46</v>
      </c>
      <c r="G2158" s="140" t="s">
        <v>21</v>
      </c>
      <c r="H2158" s="140" t="s">
        <v>71</v>
      </c>
      <c r="I2158" s="140" t="s">
        <v>21</v>
      </c>
      <c r="J2158" s="174"/>
    </row>
    <row r="2159" hidden="1" customHeight="1" spans="1:10">
      <c r="A2159" s="140" t="s">
        <v>468</v>
      </c>
      <c r="B2159" s="140" t="s">
        <v>429</v>
      </c>
      <c r="C2159" s="171">
        <v>45697</v>
      </c>
      <c r="D2159" s="172" t="s">
        <v>15</v>
      </c>
      <c r="E2159" s="173" t="s">
        <v>13</v>
      </c>
      <c r="F2159" s="140" t="s">
        <v>14</v>
      </c>
      <c r="G2159" s="140" t="s">
        <v>14</v>
      </c>
      <c r="H2159" s="140" t="s">
        <v>14</v>
      </c>
      <c r="I2159" s="140" t="s">
        <v>14</v>
      </c>
      <c r="J2159" s="174"/>
    </row>
    <row r="2160" hidden="1" customHeight="1" spans="1:10">
      <c r="A2160" s="140" t="s">
        <v>468</v>
      </c>
      <c r="B2160" s="140" t="s">
        <v>429</v>
      </c>
      <c r="C2160" s="171">
        <v>45698</v>
      </c>
      <c r="D2160" s="172" t="s">
        <v>16</v>
      </c>
      <c r="E2160" s="140" t="s">
        <v>19</v>
      </c>
      <c r="F2160" s="140" t="s">
        <v>157</v>
      </c>
      <c r="G2160" s="140" t="s">
        <v>21</v>
      </c>
      <c r="H2160" s="140" t="s">
        <v>163</v>
      </c>
      <c r="I2160" s="140" t="s">
        <v>21</v>
      </c>
      <c r="J2160" s="174"/>
    </row>
    <row r="2161" hidden="1" customHeight="1" spans="1:10">
      <c r="A2161" s="140" t="s">
        <v>468</v>
      </c>
      <c r="B2161" s="140" t="s">
        <v>429</v>
      </c>
      <c r="C2161" s="171">
        <v>45699</v>
      </c>
      <c r="D2161" s="172" t="s">
        <v>17</v>
      </c>
      <c r="E2161" s="140" t="s">
        <v>19</v>
      </c>
      <c r="F2161" s="140" t="s">
        <v>157</v>
      </c>
      <c r="G2161" s="140" t="s">
        <v>21</v>
      </c>
      <c r="H2161" s="140" t="s">
        <v>205</v>
      </c>
      <c r="I2161" s="140" t="s">
        <v>21</v>
      </c>
      <c r="J2161" s="174"/>
    </row>
    <row r="2162" hidden="1" customHeight="1" spans="1:10">
      <c r="A2162" s="140" t="s">
        <v>468</v>
      </c>
      <c r="B2162" s="140" t="s">
        <v>429</v>
      </c>
      <c r="C2162" s="171">
        <v>45700</v>
      </c>
      <c r="D2162" s="172" t="s">
        <v>18</v>
      </c>
      <c r="E2162" s="140" t="s">
        <v>19</v>
      </c>
      <c r="F2162" s="140" t="s">
        <v>146</v>
      </c>
      <c r="G2162" s="140" t="s">
        <v>21</v>
      </c>
      <c r="H2162" s="140" t="s">
        <v>172</v>
      </c>
      <c r="I2162" s="140" t="s">
        <v>21</v>
      </c>
      <c r="J2162" s="174"/>
    </row>
    <row r="2163" hidden="1" customHeight="1" spans="1:10">
      <c r="A2163" s="140" t="s">
        <v>468</v>
      </c>
      <c r="B2163" s="140" t="s">
        <v>429</v>
      </c>
      <c r="C2163" s="171">
        <v>45701</v>
      </c>
      <c r="D2163" s="172" t="s">
        <v>23</v>
      </c>
      <c r="E2163" s="140" t="s">
        <v>19</v>
      </c>
      <c r="F2163" s="140" t="s">
        <v>139</v>
      </c>
      <c r="G2163" s="140" t="s">
        <v>21</v>
      </c>
      <c r="H2163" s="140" t="s">
        <v>163</v>
      </c>
      <c r="I2163" s="140" t="s">
        <v>21</v>
      </c>
      <c r="J2163" s="174"/>
    </row>
    <row r="2164" hidden="1" customHeight="1" spans="1:10">
      <c r="A2164" s="140" t="s">
        <v>468</v>
      </c>
      <c r="B2164" s="140" t="s">
        <v>429</v>
      </c>
      <c r="C2164" s="171">
        <v>45702</v>
      </c>
      <c r="D2164" s="172" t="s">
        <v>25</v>
      </c>
      <c r="E2164" s="140" t="s">
        <v>19</v>
      </c>
      <c r="F2164" s="140" t="s">
        <v>193</v>
      </c>
      <c r="G2164" s="140" t="s">
        <v>21</v>
      </c>
      <c r="H2164" s="140" t="s">
        <v>178</v>
      </c>
      <c r="I2164" s="140" t="s">
        <v>21</v>
      </c>
      <c r="J2164" s="174"/>
    </row>
    <row r="2165" hidden="1" customHeight="1" spans="1:10">
      <c r="A2165" s="140" t="s">
        <v>468</v>
      </c>
      <c r="B2165" s="140" t="s">
        <v>429</v>
      </c>
      <c r="C2165" s="171">
        <v>45703</v>
      </c>
      <c r="D2165" s="172" t="s">
        <v>27</v>
      </c>
      <c r="E2165" s="173" t="s">
        <v>13</v>
      </c>
      <c r="F2165" s="140" t="s">
        <v>14</v>
      </c>
      <c r="G2165" s="140" t="s">
        <v>14</v>
      </c>
      <c r="H2165" s="140" t="s">
        <v>14</v>
      </c>
      <c r="I2165" s="140" t="s">
        <v>14</v>
      </c>
      <c r="J2165" s="174"/>
    </row>
    <row r="2166" hidden="1" customHeight="1" spans="1:10">
      <c r="A2166" s="140" t="s">
        <v>468</v>
      </c>
      <c r="B2166" s="140" t="s">
        <v>429</v>
      </c>
      <c r="C2166" s="171">
        <v>45704</v>
      </c>
      <c r="D2166" s="172" t="s">
        <v>15</v>
      </c>
      <c r="E2166" s="173" t="s">
        <v>13</v>
      </c>
      <c r="F2166" s="140" t="s">
        <v>14</v>
      </c>
      <c r="G2166" s="140" t="s">
        <v>14</v>
      </c>
      <c r="H2166" s="140" t="s">
        <v>14</v>
      </c>
      <c r="I2166" s="140" t="s">
        <v>14</v>
      </c>
      <c r="J2166" s="174"/>
    </row>
    <row r="2167" hidden="1" customHeight="1" spans="1:10">
      <c r="A2167" s="140" t="s">
        <v>468</v>
      </c>
      <c r="B2167" s="140" t="s">
        <v>429</v>
      </c>
      <c r="C2167" s="171">
        <v>45705</v>
      </c>
      <c r="D2167" s="172" t="s">
        <v>16</v>
      </c>
      <c r="E2167" s="140" t="s">
        <v>19</v>
      </c>
      <c r="F2167" s="140" t="s">
        <v>40</v>
      </c>
      <c r="G2167" s="140" t="s">
        <v>21</v>
      </c>
      <c r="H2167" s="140" t="s">
        <v>254</v>
      </c>
      <c r="I2167" s="140" t="s">
        <v>21</v>
      </c>
      <c r="J2167" s="174"/>
    </row>
    <row r="2168" hidden="1" customHeight="1" spans="1:10">
      <c r="A2168" s="140" t="s">
        <v>468</v>
      </c>
      <c r="B2168" s="140" t="s">
        <v>429</v>
      </c>
      <c r="C2168" s="171">
        <v>45706</v>
      </c>
      <c r="D2168" s="172" t="s">
        <v>17</v>
      </c>
      <c r="E2168" s="140" t="s">
        <v>19</v>
      </c>
      <c r="F2168" s="140" t="s">
        <v>154</v>
      </c>
      <c r="G2168" s="140" t="s">
        <v>21</v>
      </c>
      <c r="H2168" s="140" t="s">
        <v>172</v>
      </c>
      <c r="I2168" s="140" t="s">
        <v>21</v>
      </c>
      <c r="J2168" s="174"/>
    </row>
    <row r="2169" hidden="1" customHeight="1" spans="1:10">
      <c r="A2169" s="140" t="s">
        <v>468</v>
      </c>
      <c r="B2169" s="140" t="s">
        <v>429</v>
      </c>
      <c r="C2169" s="171">
        <v>45707</v>
      </c>
      <c r="D2169" s="172" t="s">
        <v>18</v>
      </c>
      <c r="E2169" s="140" t="s">
        <v>19</v>
      </c>
      <c r="F2169" s="140" t="s">
        <v>193</v>
      </c>
      <c r="G2169" s="140" t="s">
        <v>21</v>
      </c>
      <c r="H2169" s="140" t="s">
        <v>178</v>
      </c>
      <c r="I2169" s="140" t="s">
        <v>21</v>
      </c>
      <c r="J2169" s="174"/>
    </row>
    <row r="2170" hidden="1" customHeight="1" spans="1:10">
      <c r="A2170" s="140" t="s">
        <v>468</v>
      </c>
      <c r="B2170" s="140" t="s">
        <v>429</v>
      </c>
      <c r="C2170" s="171">
        <v>45708</v>
      </c>
      <c r="D2170" s="172" t="s">
        <v>23</v>
      </c>
      <c r="E2170" s="140" t="s">
        <v>19</v>
      </c>
      <c r="F2170" s="140" t="s">
        <v>139</v>
      </c>
      <c r="G2170" s="140" t="s">
        <v>21</v>
      </c>
      <c r="H2170" s="140" t="s">
        <v>163</v>
      </c>
      <c r="I2170" s="140" t="s">
        <v>21</v>
      </c>
      <c r="J2170" s="174"/>
    </row>
    <row r="2171" hidden="1" customHeight="1" spans="1:10">
      <c r="A2171" s="140" t="s">
        <v>468</v>
      </c>
      <c r="B2171" s="140" t="s">
        <v>429</v>
      </c>
      <c r="C2171" s="171">
        <v>45709</v>
      </c>
      <c r="D2171" s="172" t="s">
        <v>25</v>
      </c>
      <c r="E2171" s="140" t="s">
        <v>19</v>
      </c>
      <c r="F2171" s="140" t="s">
        <v>139</v>
      </c>
      <c r="G2171" s="140" t="s">
        <v>21</v>
      </c>
      <c r="H2171" s="140" t="s">
        <v>235</v>
      </c>
      <c r="I2171" s="140" t="s">
        <v>21</v>
      </c>
      <c r="J2171" s="174"/>
    </row>
    <row r="2172" hidden="1" customHeight="1" spans="1:10">
      <c r="A2172" s="140" t="s">
        <v>468</v>
      </c>
      <c r="B2172" s="140" t="s">
        <v>429</v>
      </c>
      <c r="C2172" s="171">
        <v>45710</v>
      </c>
      <c r="D2172" s="172" t="s">
        <v>27</v>
      </c>
      <c r="E2172" s="173" t="s">
        <v>13</v>
      </c>
      <c r="F2172" s="140" t="s">
        <v>14</v>
      </c>
      <c r="G2172" s="140" t="s">
        <v>14</v>
      </c>
      <c r="H2172" s="140" t="s">
        <v>14</v>
      </c>
      <c r="I2172" s="140" t="s">
        <v>14</v>
      </c>
      <c r="J2172" s="174"/>
    </row>
    <row r="2173" hidden="1" customHeight="1" spans="1:10">
      <c r="A2173" s="140" t="s">
        <v>468</v>
      </c>
      <c r="B2173" s="140" t="s">
        <v>429</v>
      </c>
      <c r="C2173" s="171">
        <v>45711</v>
      </c>
      <c r="D2173" s="172" t="s">
        <v>15</v>
      </c>
      <c r="E2173" s="173" t="s">
        <v>13</v>
      </c>
      <c r="F2173" s="140" t="s">
        <v>14</v>
      </c>
      <c r="G2173" s="140" t="s">
        <v>14</v>
      </c>
      <c r="H2173" s="140" t="s">
        <v>14</v>
      </c>
      <c r="I2173" s="140" t="s">
        <v>14</v>
      </c>
      <c r="J2173" s="174"/>
    </row>
    <row r="2174" hidden="1" customHeight="1" spans="1:10">
      <c r="A2174" s="140" t="s">
        <v>468</v>
      </c>
      <c r="B2174" s="140" t="s">
        <v>429</v>
      </c>
      <c r="C2174" s="171">
        <v>45712</v>
      </c>
      <c r="D2174" s="172" t="s">
        <v>16</v>
      </c>
      <c r="E2174" s="140" t="s">
        <v>19</v>
      </c>
      <c r="F2174" s="140" t="s">
        <v>146</v>
      </c>
      <c r="G2174" s="140" t="s">
        <v>21</v>
      </c>
      <c r="H2174" s="140" t="s">
        <v>254</v>
      </c>
      <c r="I2174" s="140" t="s">
        <v>21</v>
      </c>
      <c r="J2174" s="174"/>
    </row>
    <row r="2175" hidden="1" customHeight="1" spans="1:10">
      <c r="A2175" s="140" t="s">
        <v>468</v>
      </c>
      <c r="B2175" s="140" t="s">
        <v>429</v>
      </c>
      <c r="C2175" s="171">
        <v>45713</v>
      </c>
      <c r="D2175" s="172" t="s">
        <v>17</v>
      </c>
      <c r="E2175" s="140" t="s">
        <v>19</v>
      </c>
      <c r="F2175" s="140" t="s">
        <v>193</v>
      </c>
      <c r="G2175" s="140" t="s">
        <v>21</v>
      </c>
      <c r="H2175" s="140" t="s">
        <v>26</v>
      </c>
      <c r="I2175" s="140" t="s">
        <v>21</v>
      </c>
      <c r="J2175" s="174"/>
    </row>
    <row r="2176" hidden="1" customHeight="1" spans="1:10">
      <c r="A2176" s="140" t="s">
        <v>468</v>
      </c>
      <c r="B2176" s="140" t="s">
        <v>429</v>
      </c>
      <c r="C2176" s="171">
        <v>45714</v>
      </c>
      <c r="D2176" s="172" t="s">
        <v>18</v>
      </c>
      <c r="E2176" s="140" t="s">
        <v>19</v>
      </c>
      <c r="F2176" s="140" t="s">
        <v>146</v>
      </c>
      <c r="G2176" s="140" t="s">
        <v>21</v>
      </c>
      <c r="H2176" s="140" t="s">
        <v>167</v>
      </c>
      <c r="I2176" s="140" t="s">
        <v>21</v>
      </c>
      <c r="J2176" s="174"/>
    </row>
    <row r="2177" hidden="1" customHeight="1" spans="1:10">
      <c r="A2177" s="140" t="s">
        <v>468</v>
      </c>
      <c r="B2177" s="140" t="s">
        <v>429</v>
      </c>
      <c r="C2177" s="171">
        <v>45715</v>
      </c>
      <c r="D2177" s="172" t="s">
        <v>23</v>
      </c>
      <c r="E2177" s="140" t="s">
        <v>19</v>
      </c>
      <c r="F2177" s="140" t="s">
        <v>193</v>
      </c>
      <c r="G2177" s="140" t="s">
        <v>21</v>
      </c>
      <c r="H2177" s="140" t="s">
        <v>254</v>
      </c>
      <c r="I2177" s="140" t="s">
        <v>21</v>
      </c>
      <c r="J2177" s="174"/>
    </row>
    <row r="2178" hidden="1" customHeight="1" spans="1:10">
      <c r="A2178" s="140" t="s">
        <v>468</v>
      </c>
      <c r="B2178" s="140" t="s">
        <v>429</v>
      </c>
      <c r="C2178" s="171">
        <v>45716</v>
      </c>
      <c r="D2178" s="172" t="s">
        <v>25</v>
      </c>
      <c r="E2178" s="140" t="s">
        <v>19</v>
      </c>
      <c r="F2178" s="140" t="s">
        <v>146</v>
      </c>
      <c r="G2178" s="140" t="s">
        <v>21</v>
      </c>
      <c r="H2178" s="140" t="s">
        <v>189</v>
      </c>
      <c r="I2178" s="140" t="s">
        <v>21</v>
      </c>
      <c r="J2178" s="174"/>
    </row>
    <row r="2179" hidden="1" customHeight="1" spans="1:10">
      <c r="A2179" s="140" t="s">
        <v>469</v>
      </c>
      <c r="B2179" s="140" t="s">
        <v>429</v>
      </c>
      <c r="C2179" s="171">
        <v>45689</v>
      </c>
      <c r="D2179" s="172" t="s">
        <v>12</v>
      </c>
      <c r="E2179" s="173" t="s">
        <v>13</v>
      </c>
      <c r="F2179" s="140" t="s">
        <v>14</v>
      </c>
      <c r="G2179" s="140" t="s">
        <v>14</v>
      </c>
      <c r="H2179" s="140" t="s">
        <v>14</v>
      </c>
      <c r="I2179" s="140" t="s">
        <v>14</v>
      </c>
      <c r="J2179" s="174"/>
    </row>
    <row r="2180" hidden="1" customHeight="1" spans="1:10">
      <c r="A2180" s="140" t="s">
        <v>469</v>
      </c>
      <c r="B2180" s="140" t="s">
        <v>429</v>
      </c>
      <c r="C2180" s="171">
        <v>45690</v>
      </c>
      <c r="D2180" s="172" t="s">
        <v>15</v>
      </c>
      <c r="E2180" s="173" t="s">
        <v>13</v>
      </c>
      <c r="F2180" s="140" t="s">
        <v>14</v>
      </c>
      <c r="G2180" s="140" t="s">
        <v>14</v>
      </c>
      <c r="H2180" s="140" t="s">
        <v>14</v>
      </c>
      <c r="I2180" s="140" t="s">
        <v>14</v>
      </c>
      <c r="J2180" s="174"/>
    </row>
    <row r="2181" hidden="1" customHeight="1" spans="1:10">
      <c r="A2181" s="140" t="s">
        <v>469</v>
      </c>
      <c r="B2181" s="140" t="s">
        <v>429</v>
      </c>
      <c r="C2181" s="171">
        <v>45691</v>
      </c>
      <c r="D2181" s="172" t="s">
        <v>16</v>
      </c>
      <c r="E2181" s="173" t="s">
        <v>13</v>
      </c>
      <c r="F2181" s="140" t="s">
        <v>14</v>
      </c>
      <c r="G2181" s="140" t="s">
        <v>14</v>
      </c>
      <c r="H2181" s="140" t="s">
        <v>14</v>
      </c>
      <c r="I2181" s="140" t="s">
        <v>14</v>
      </c>
      <c r="J2181" s="174"/>
    </row>
    <row r="2182" hidden="1" customHeight="1" spans="1:10">
      <c r="A2182" s="140" t="s">
        <v>469</v>
      </c>
      <c r="B2182" s="140" t="s">
        <v>429</v>
      </c>
      <c r="C2182" s="171">
        <v>45692</v>
      </c>
      <c r="D2182" s="172" t="s">
        <v>17</v>
      </c>
      <c r="E2182" s="173" t="s">
        <v>13</v>
      </c>
      <c r="F2182" s="140" t="s">
        <v>14</v>
      </c>
      <c r="G2182" s="140" t="s">
        <v>14</v>
      </c>
      <c r="H2182" s="140" t="s">
        <v>14</v>
      </c>
      <c r="I2182" s="140" t="s">
        <v>14</v>
      </c>
      <c r="J2182" s="174"/>
    </row>
    <row r="2183" hidden="1" customHeight="1" spans="1:10">
      <c r="A2183" s="140" t="s">
        <v>469</v>
      </c>
      <c r="B2183" s="140" t="s">
        <v>429</v>
      </c>
      <c r="C2183" s="171">
        <v>45693</v>
      </c>
      <c r="D2183" s="172" t="s">
        <v>18</v>
      </c>
      <c r="E2183" s="140" t="s">
        <v>19</v>
      </c>
      <c r="F2183" s="140" t="s">
        <v>108</v>
      </c>
      <c r="G2183" s="140" t="s">
        <v>21</v>
      </c>
      <c r="H2183" s="140" t="s">
        <v>260</v>
      </c>
      <c r="I2183" s="140" t="s">
        <v>21</v>
      </c>
      <c r="J2183" s="174"/>
    </row>
    <row r="2184" hidden="1" customHeight="1" spans="1:10">
      <c r="A2184" s="140" t="s">
        <v>469</v>
      </c>
      <c r="B2184" s="140" t="s">
        <v>429</v>
      </c>
      <c r="C2184" s="171">
        <v>45694</v>
      </c>
      <c r="D2184" s="172" t="s">
        <v>23</v>
      </c>
      <c r="E2184" s="140" t="s">
        <v>19</v>
      </c>
      <c r="F2184" s="140" t="s">
        <v>46</v>
      </c>
      <c r="G2184" s="140" t="s">
        <v>21</v>
      </c>
      <c r="H2184" s="140" t="s">
        <v>45</v>
      </c>
      <c r="I2184" s="140" t="s">
        <v>21</v>
      </c>
      <c r="J2184" s="174"/>
    </row>
    <row r="2185" hidden="1" customHeight="1" spans="1:10">
      <c r="A2185" s="140" t="s">
        <v>469</v>
      </c>
      <c r="B2185" s="140" t="s">
        <v>429</v>
      </c>
      <c r="C2185" s="171">
        <v>45695</v>
      </c>
      <c r="D2185" s="172" t="s">
        <v>25</v>
      </c>
      <c r="E2185" s="140" t="s">
        <v>19</v>
      </c>
      <c r="F2185" s="140" t="s">
        <v>51</v>
      </c>
      <c r="G2185" s="140" t="s">
        <v>21</v>
      </c>
      <c r="H2185" s="140" t="s">
        <v>235</v>
      </c>
      <c r="I2185" s="140" t="s">
        <v>21</v>
      </c>
      <c r="J2185" s="174"/>
    </row>
    <row r="2186" hidden="1" customHeight="1" spans="1:10">
      <c r="A2186" s="140" t="s">
        <v>469</v>
      </c>
      <c r="B2186" s="140" t="s">
        <v>429</v>
      </c>
      <c r="C2186" s="171">
        <v>45696</v>
      </c>
      <c r="D2186" s="172" t="s">
        <v>27</v>
      </c>
      <c r="E2186" s="140" t="s">
        <v>19</v>
      </c>
      <c r="F2186" s="140" t="s">
        <v>209</v>
      </c>
      <c r="G2186" s="140" t="s">
        <v>21</v>
      </c>
      <c r="H2186" s="140" t="s">
        <v>241</v>
      </c>
      <c r="I2186" s="140" t="s">
        <v>21</v>
      </c>
      <c r="J2186" s="174"/>
    </row>
    <row r="2187" hidden="1" customHeight="1" spans="1:10">
      <c r="A2187" s="140" t="s">
        <v>469</v>
      </c>
      <c r="B2187" s="140" t="s">
        <v>429</v>
      </c>
      <c r="C2187" s="171">
        <v>45697</v>
      </c>
      <c r="D2187" s="172" t="s">
        <v>15</v>
      </c>
      <c r="E2187" s="173" t="s">
        <v>13</v>
      </c>
      <c r="F2187" s="140" t="s">
        <v>14</v>
      </c>
      <c r="G2187" s="140" t="s">
        <v>14</v>
      </c>
      <c r="H2187" s="140" t="s">
        <v>14</v>
      </c>
      <c r="I2187" s="140" t="s">
        <v>14</v>
      </c>
      <c r="J2187" s="174"/>
    </row>
    <row r="2188" hidden="1" customHeight="1" spans="1:10">
      <c r="A2188" s="140" t="s">
        <v>469</v>
      </c>
      <c r="B2188" s="140" t="s">
        <v>429</v>
      </c>
      <c r="C2188" s="171">
        <v>45698</v>
      </c>
      <c r="D2188" s="172" t="s">
        <v>16</v>
      </c>
      <c r="E2188" s="140" t="s">
        <v>19</v>
      </c>
      <c r="F2188" s="140" t="s">
        <v>46</v>
      </c>
      <c r="G2188" s="140" t="s">
        <v>21</v>
      </c>
      <c r="H2188" s="140" t="s">
        <v>73</v>
      </c>
      <c r="I2188" s="140" t="s">
        <v>21</v>
      </c>
      <c r="J2188" s="174"/>
    </row>
    <row r="2189" customHeight="1" spans="1:10">
      <c r="A2189" s="140" t="s">
        <v>469</v>
      </c>
      <c r="B2189" s="140" t="s">
        <v>429</v>
      </c>
      <c r="C2189" s="171">
        <v>45699</v>
      </c>
      <c r="D2189" s="172" t="s">
        <v>17</v>
      </c>
      <c r="E2189" s="140" t="s">
        <v>19</v>
      </c>
      <c r="F2189" s="140" t="s">
        <v>43</v>
      </c>
      <c r="G2189" s="140" t="s">
        <v>21</v>
      </c>
      <c r="H2189" s="140" t="s">
        <v>14</v>
      </c>
      <c r="I2189" s="176" t="s">
        <v>68</v>
      </c>
      <c r="J2189" s="174" t="s">
        <v>69</v>
      </c>
    </row>
    <row r="2190" hidden="1" customHeight="1" spans="1:10">
      <c r="A2190" s="140" t="s">
        <v>469</v>
      </c>
      <c r="B2190" s="140" t="s">
        <v>429</v>
      </c>
      <c r="C2190" s="171">
        <v>45700</v>
      </c>
      <c r="D2190" s="172" t="s">
        <v>18</v>
      </c>
      <c r="E2190" s="140" t="s">
        <v>19</v>
      </c>
      <c r="F2190" s="140" t="s">
        <v>43</v>
      </c>
      <c r="G2190" s="140" t="s">
        <v>21</v>
      </c>
      <c r="H2190" s="140" t="s">
        <v>252</v>
      </c>
      <c r="I2190" s="140" t="s">
        <v>21</v>
      </c>
      <c r="J2190" s="174"/>
    </row>
    <row r="2191" hidden="1" customHeight="1" spans="1:10">
      <c r="A2191" s="140" t="s">
        <v>469</v>
      </c>
      <c r="B2191" s="140" t="s">
        <v>429</v>
      </c>
      <c r="C2191" s="171">
        <v>45701</v>
      </c>
      <c r="D2191" s="172" t="s">
        <v>23</v>
      </c>
      <c r="E2191" s="140" t="s">
        <v>19</v>
      </c>
      <c r="F2191" s="140" t="s">
        <v>46</v>
      </c>
      <c r="G2191" s="140" t="s">
        <v>21</v>
      </c>
      <c r="H2191" s="140" t="s">
        <v>24</v>
      </c>
      <c r="I2191" s="140" t="s">
        <v>21</v>
      </c>
      <c r="J2191" s="174"/>
    </row>
    <row r="2192" customHeight="1" spans="1:10">
      <c r="A2192" s="140" t="s">
        <v>469</v>
      </c>
      <c r="B2192" s="140" t="s">
        <v>429</v>
      </c>
      <c r="C2192" s="171">
        <v>45702</v>
      </c>
      <c r="D2192" s="172" t="s">
        <v>25</v>
      </c>
      <c r="E2192" s="140" t="s">
        <v>19</v>
      </c>
      <c r="F2192" s="140" t="s">
        <v>14</v>
      </c>
      <c r="G2192" s="176" t="s">
        <v>68</v>
      </c>
      <c r="H2192" s="140" t="s">
        <v>249</v>
      </c>
      <c r="I2192" s="140" t="s">
        <v>21</v>
      </c>
      <c r="J2192" s="174" t="s">
        <v>136</v>
      </c>
    </row>
    <row r="2193" hidden="1" customHeight="1" spans="1:10">
      <c r="A2193" s="140" t="s">
        <v>469</v>
      </c>
      <c r="B2193" s="140" t="s">
        <v>429</v>
      </c>
      <c r="C2193" s="171">
        <v>45703</v>
      </c>
      <c r="D2193" s="172" t="s">
        <v>27</v>
      </c>
      <c r="E2193" s="173" t="s">
        <v>13</v>
      </c>
      <c r="F2193" s="140" t="s">
        <v>100</v>
      </c>
      <c r="G2193" s="140" t="s">
        <v>21</v>
      </c>
      <c r="H2193" s="140" t="s">
        <v>167</v>
      </c>
      <c r="I2193" s="140" t="s">
        <v>21</v>
      </c>
      <c r="J2193" s="174"/>
    </row>
    <row r="2194" hidden="1" customHeight="1" spans="1:10">
      <c r="A2194" s="140" t="s">
        <v>469</v>
      </c>
      <c r="B2194" s="140" t="s">
        <v>429</v>
      </c>
      <c r="C2194" s="171">
        <v>45704</v>
      </c>
      <c r="D2194" s="172" t="s">
        <v>15</v>
      </c>
      <c r="E2194" s="173" t="s">
        <v>13</v>
      </c>
      <c r="F2194" s="140" t="s">
        <v>14</v>
      </c>
      <c r="G2194" s="140" t="s">
        <v>14</v>
      </c>
      <c r="H2194" s="140" t="s">
        <v>14</v>
      </c>
      <c r="I2194" s="140" t="s">
        <v>14</v>
      </c>
      <c r="J2194" s="174"/>
    </row>
    <row r="2195" hidden="1" customHeight="1" spans="1:10">
      <c r="A2195" s="140" t="s">
        <v>469</v>
      </c>
      <c r="B2195" s="140" t="s">
        <v>429</v>
      </c>
      <c r="C2195" s="171">
        <v>45705</v>
      </c>
      <c r="D2195" s="172" t="s">
        <v>16</v>
      </c>
      <c r="E2195" s="140" t="s">
        <v>19</v>
      </c>
      <c r="F2195" s="140" t="s">
        <v>20</v>
      </c>
      <c r="G2195" s="140" t="s">
        <v>21</v>
      </c>
      <c r="H2195" s="140" t="s">
        <v>163</v>
      </c>
      <c r="I2195" s="140" t="s">
        <v>21</v>
      </c>
      <c r="J2195" s="174"/>
    </row>
    <row r="2196" customHeight="1" spans="1:10">
      <c r="A2196" s="140" t="s">
        <v>469</v>
      </c>
      <c r="B2196" s="140" t="s">
        <v>429</v>
      </c>
      <c r="C2196" s="171">
        <v>45706</v>
      </c>
      <c r="D2196" s="172" t="s">
        <v>17</v>
      </c>
      <c r="E2196" s="140" t="s">
        <v>19</v>
      </c>
      <c r="F2196" s="140" t="s">
        <v>14</v>
      </c>
      <c r="G2196" s="176" t="s">
        <v>68</v>
      </c>
      <c r="H2196" s="140" t="s">
        <v>249</v>
      </c>
      <c r="I2196" s="140" t="s">
        <v>21</v>
      </c>
      <c r="J2196" s="174" t="s">
        <v>69</v>
      </c>
    </row>
    <row r="2197" hidden="1" customHeight="1" spans="1:10">
      <c r="A2197" s="140" t="s">
        <v>469</v>
      </c>
      <c r="B2197" s="140" t="s">
        <v>429</v>
      </c>
      <c r="C2197" s="171">
        <v>45707</v>
      </c>
      <c r="D2197" s="172" t="s">
        <v>18</v>
      </c>
      <c r="E2197" s="140" t="s">
        <v>19</v>
      </c>
      <c r="F2197" s="140" t="s">
        <v>43</v>
      </c>
      <c r="G2197" s="140" t="s">
        <v>21</v>
      </c>
      <c r="H2197" s="140" t="s">
        <v>278</v>
      </c>
      <c r="I2197" s="140" t="s">
        <v>21</v>
      </c>
      <c r="J2197" s="174"/>
    </row>
    <row r="2198" customHeight="1" spans="1:10">
      <c r="A2198" s="140" t="s">
        <v>469</v>
      </c>
      <c r="B2198" s="140" t="s">
        <v>429</v>
      </c>
      <c r="C2198" s="171">
        <v>45708</v>
      </c>
      <c r="D2198" s="172" t="s">
        <v>23</v>
      </c>
      <c r="E2198" s="140" t="s">
        <v>19</v>
      </c>
      <c r="F2198" s="140" t="s">
        <v>14</v>
      </c>
      <c r="G2198" s="176" t="s">
        <v>68</v>
      </c>
      <c r="H2198" s="140" t="s">
        <v>371</v>
      </c>
      <c r="I2198" s="140" t="s">
        <v>21</v>
      </c>
      <c r="J2198" s="174" t="s">
        <v>69</v>
      </c>
    </row>
    <row r="2199" hidden="1" customHeight="1" spans="1:10">
      <c r="A2199" s="140" t="s">
        <v>469</v>
      </c>
      <c r="B2199" s="140" t="s">
        <v>429</v>
      </c>
      <c r="C2199" s="171">
        <v>45709</v>
      </c>
      <c r="D2199" s="172" t="s">
        <v>25</v>
      </c>
      <c r="E2199" s="140" t="s">
        <v>19</v>
      </c>
      <c r="F2199" s="140" t="s">
        <v>43</v>
      </c>
      <c r="G2199" s="140" t="s">
        <v>21</v>
      </c>
      <c r="H2199" s="140" t="s">
        <v>215</v>
      </c>
      <c r="I2199" s="140" t="s">
        <v>21</v>
      </c>
      <c r="J2199" s="174"/>
    </row>
    <row r="2200" hidden="1" customHeight="1" spans="1:10">
      <c r="A2200" s="140" t="s">
        <v>469</v>
      </c>
      <c r="B2200" s="140" t="s">
        <v>429</v>
      </c>
      <c r="C2200" s="171">
        <v>45710</v>
      </c>
      <c r="D2200" s="172" t="s">
        <v>27</v>
      </c>
      <c r="E2200" s="173" t="s">
        <v>13</v>
      </c>
      <c r="F2200" s="140" t="s">
        <v>14</v>
      </c>
      <c r="G2200" s="140" t="s">
        <v>14</v>
      </c>
      <c r="H2200" s="140" t="s">
        <v>14</v>
      </c>
      <c r="I2200" s="140" t="s">
        <v>14</v>
      </c>
      <c r="J2200" s="174"/>
    </row>
    <row r="2201" hidden="1" customHeight="1" spans="1:10">
      <c r="A2201" s="140" t="s">
        <v>469</v>
      </c>
      <c r="B2201" s="140" t="s">
        <v>429</v>
      </c>
      <c r="C2201" s="171">
        <v>45711</v>
      </c>
      <c r="D2201" s="172" t="s">
        <v>15</v>
      </c>
      <c r="E2201" s="173" t="s">
        <v>13</v>
      </c>
      <c r="F2201" s="140" t="s">
        <v>14</v>
      </c>
      <c r="G2201" s="140" t="s">
        <v>14</v>
      </c>
      <c r="H2201" s="140" t="s">
        <v>14</v>
      </c>
      <c r="I2201" s="140" t="s">
        <v>14</v>
      </c>
      <c r="J2201" s="175"/>
    </row>
    <row r="2202" customHeight="1" spans="1:10">
      <c r="A2202" s="140" t="s">
        <v>469</v>
      </c>
      <c r="B2202" s="140" t="s">
        <v>429</v>
      </c>
      <c r="C2202" s="171">
        <v>45712</v>
      </c>
      <c r="D2202" s="172" t="s">
        <v>16</v>
      </c>
      <c r="E2202" s="140" t="s">
        <v>19</v>
      </c>
      <c r="F2202" s="140" t="s">
        <v>14</v>
      </c>
      <c r="G2202" s="176" t="s">
        <v>68</v>
      </c>
      <c r="H2202" s="140" t="s">
        <v>168</v>
      </c>
      <c r="I2202" s="140" t="s">
        <v>21</v>
      </c>
      <c r="J2202" s="174" t="s">
        <v>136</v>
      </c>
    </row>
    <row r="2203" customHeight="1" spans="1:10">
      <c r="A2203" s="140" t="s">
        <v>469</v>
      </c>
      <c r="B2203" s="140" t="s">
        <v>429</v>
      </c>
      <c r="C2203" s="171">
        <v>45713</v>
      </c>
      <c r="D2203" s="172" t="s">
        <v>17</v>
      </c>
      <c r="E2203" s="140" t="s">
        <v>19</v>
      </c>
      <c r="F2203" s="140" t="s">
        <v>14</v>
      </c>
      <c r="G2203" s="176" t="s">
        <v>68</v>
      </c>
      <c r="H2203" s="140" t="s">
        <v>272</v>
      </c>
      <c r="I2203" s="140" t="s">
        <v>21</v>
      </c>
      <c r="J2203" s="174" t="s">
        <v>136</v>
      </c>
    </row>
    <row r="2204" hidden="1" customHeight="1" spans="1:10">
      <c r="A2204" s="140" t="s">
        <v>469</v>
      </c>
      <c r="B2204" s="140" t="s">
        <v>429</v>
      </c>
      <c r="C2204" s="171">
        <v>45714</v>
      </c>
      <c r="D2204" s="172" t="s">
        <v>18</v>
      </c>
      <c r="E2204" s="140" t="s">
        <v>19</v>
      </c>
      <c r="F2204" s="140" t="s">
        <v>20</v>
      </c>
      <c r="G2204" s="140" t="s">
        <v>21</v>
      </c>
      <c r="H2204" s="140" t="s">
        <v>409</v>
      </c>
      <c r="I2204" s="140" t="s">
        <v>21</v>
      </c>
      <c r="J2204" s="174"/>
    </row>
    <row r="2205" hidden="1" customHeight="1" spans="1:10">
      <c r="A2205" s="140" t="s">
        <v>469</v>
      </c>
      <c r="B2205" s="140" t="s">
        <v>429</v>
      </c>
      <c r="C2205" s="171">
        <v>45715</v>
      </c>
      <c r="D2205" s="172" t="s">
        <v>23</v>
      </c>
      <c r="E2205" s="140" t="s">
        <v>19</v>
      </c>
      <c r="F2205" s="140" t="s">
        <v>20</v>
      </c>
      <c r="G2205" s="140" t="s">
        <v>21</v>
      </c>
      <c r="H2205" s="140" t="s">
        <v>73</v>
      </c>
      <c r="I2205" s="140" t="s">
        <v>21</v>
      </c>
      <c r="J2205" s="174"/>
    </row>
    <row r="2206" hidden="1" customHeight="1" spans="1:10">
      <c r="A2206" s="140" t="s">
        <v>469</v>
      </c>
      <c r="B2206" s="140" t="s">
        <v>429</v>
      </c>
      <c r="C2206" s="171">
        <v>45716</v>
      </c>
      <c r="D2206" s="172" t="s">
        <v>25</v>
      </c>
      <c r="E2206" s="140" t="s">
        <v>19</v>
      </c>
      <c r="F2206" s="140" t="s">
        <v>20</v>
      </c>
      <c r="G2206" s="140" t="s">
        <v>21</v>
      </c>
      <c r="H2206" s="140" t="s">
        <v>29</v>
      </c>
      <c r="I2206" s="140" t="s">
        <v>21</v>
      </c>
      <c r="J2206" s="174"/>
    </row>
    <row r="2207" customHeight="1" spans="1:10">
      <c r="A2207" s="140" t="s">
        <v>470</v>
      </c>
      <c r="B2207" s="140" t="s">
        <v>298</v>
      </c>
      <c r="C2207" s="171">
        <v>45693</v>
      </c>
      <c r="D2207" s="172" t="s">
        <v>18</v>
      </c>
      <c r="E2207" s="140" t="s">
        <v>19</v>
      </c>
      <c r="F2207" s="140" t="s">
        <v>14</v>
      </c>
      <c r="G2207" s="176" t="s">
        <v>68</v>
      </c>
      <c r="H2207" s="140" t="s">
        <v>191</v>
      </c>
      <c r="I2207" s="140" t="s">
        <v>21</v>
      </c>
      <c r="J2207" s="174" t="s">
        <v>204</v>
      </c>
    </row>
    <row r="2208" hidden="1" customHeight="1" spans="1:10">
      <c r="A2208" s="140" t="s">
        <v>470</v>
      </c>
      <c r="B2208" s="140" t="s">
        <v>298</v>
      </c>
      <c r="C2208" s="171">
        <v>45694</v>
      </c>
      <c r="D2208" s="172" t="s">
        <v>23</v>
      </c>
      <c r="E2208" s="140" t="s">
        <v>19</v>
      </c>
      <c r="F2208" s="140" t="s">
        <v>137</v>
      </c>
      <c r="G2208" s="140" t="s">
        <v>21</v>
      </c>
      <c r="H2208" s="140" t="s">
        <v>73</v>
      </c>
      <c r="I2208" s="140" t="s">
        <v>21</v>
      </c>
      <c r="J2208" s="174"/>
    </row>
    <row r="2209" hidden="1" customHeight="1" spans="1:10">
      <c r="A2209" s="140" t="s">
        <v>470</v>
      </c>
      <c r="B2209" s="140" t="s">
        <v>298</v>
      </c>
      <c r="C2209" s="171">
        <v>45695</v>
      </c>
      <c r="D2209" s="172" t="s">
        <v>25</v>
      </c>
      <c r="E2209" s="140" t="s">
        <v>19</v>
      </c>
      <c r="F2209" s="140" t="s">
        <v>133</v>
      </c>
      <c r="G2209" s="140" t="s">
        <v>21</v>
      </c>
      <c r="H2209" s="140" t="s">
        <v>167</v>
      </c>
      <c r="I2209" s="140" t="s">
        <v>21</v>
      </c>
      <c r="J2209" s="174"/>
    </row>
    <row r="2210" hidden="1" customHeight="1" spans="1:10">
      <c r="A2210" s="140" t="s">
        <v>470</v>
      </c>
      <c r="B2210" s="140" t="s">
        <v>298</v>
      </c>
      <c r="C2210" s="171">
        <v>45696</v>
      </c>
      <c r="D2210" s="172" t="s">
        <v>27</v>
      </c>
      <c r="E2210" s="140" t="s">
        <v>19</v>
      </c>
      <c r="F2210" s="140" t="s">
        <v>177</v>
      </c>
      <c r="G2210" s="140" t="s">
        <v>21</v>
      </c>
      <c r="H2210" s="140" t="s">
        <v>42</v>
      </c>
      <c r="I2210" s="140" t="s">
        <v>21</v>
      </c>
      <c r="J2210" s="174"/>
    </row>
    <row r="2211" hidden="1" customHeight="1" spans="1:10">
      <c r="A2211" s="140" t="s">
        <v>470</v>
      </c>
      <c r="B2211" s="140" t="s">
        <v>298</v>
      </c>
      <c r="C2211" s="171">
        <v>45697</v>
      </c>
      <c r="D2211" s="172" t="s">
        <v>15</v>
      </c>
      <c r="E2211" s="173" t="s">
        <v>13</v>
      </c>
      <c r="F2211" s="140" t="s">
        <v>14</v>
      </c>
      <c r="G2211" s="140" t="s">
        <v>14</v>
      </c>
      <c r="H2211" s="140" t="s">
        <v>14</v>
      </c>
      <c r="I2211" s="140" t="s">
        <v>14</v>
      </c>
      <c r="J2211" s="174"/>
    </row>
    <row r="2212" hidden="1" customHeight="1" spans="1:10">
      <c r="A2212" s="140" t="s">
        <v>470</v>
      </c>
      <c r="B2212" s="140" t="s">
        <v>298</v>
      </c>
      <c r="C2212" s="171">
        <v>45698</v>
      </c>
      <c r="D2212" s="172" t="s">
        <v>16</v>
      </c>
      <c r="E2212" s="140" t="s">
        <v>19</v>
      </c>
      <c r="F2212" s="140" t="s">
        <v>110</v>
      </c>
      <c r="G2212" s="140" t="s">
        <v>21</v>
      </c>
      <c r="H2212" s="140" t="s">
        <v>73</v>
      </c>
      <c r="I2212" s="140" t="s">
        <v>21</v>
      </c>
      <c r="J2212" s="174"/>
    </row>
    <row r="2213" hidden="1" customHeight="1" spans="1:10">
      <c r="A2213" s="140" t="s">
        <v>470</v>
      </c>
      <c r="B2213" s="140" t="s">
        <v>298</v>
      </c>
      <c r="C2213" s="171">
        <v>45699</v>
      </c>
      <c r="D2213" s="172" t="s">
        <v>17</v>
      </c>
      <c r="E2213" s="140" t="s">
        <v>19</v>
      </c>
      <c r="F2213" s="140" t="s">
        <v>177</v>
      </c>
      <c r="G2213" s="140" t="s">
        <v>21</v>
      </c>
      <c r="H2213" s="140" t="s">
        <v>235</v>
      </c>
      <c r="I2213" s="140" t="s">
        <v>21</v>
      </c>
      <c r="J2213" s="174"/>
    </row>
    <row r="2214" hidden="1" customHeight="1" spans="1:10">
      <c r="A2214" s="140" t="s">
        <v>470</v>
      </c>
      <c r="B2214" s="140" t="s">
        <v>298</v>
      </c>
      <c r="C2214" s="171">
        <v>45700</v>
      </c>
      <c r="D2214" s="172" t="s">
        <v>18</v>
      </c>
      <c r="E2214" s="140" t="s">
        <v>19</v>
      </c>
      <c r="F2214" s="140" t="s">
        <v>110</v>
      </c>
      <c r="G2214" s="140" t="s">
        <v>21</v>
      </c>
      <c r="H2214" s="140" t="s">
        <v>170</v>
      </c>
      <c r="I2214" s="140" t="s">
        <v>21</v>
      </c>
      <c r="J2214" s="174"/>
    </row>
    <row r="2215" hidden="1" customHeight="1" spans="1:10">
      <c r="A2215" s="140" t="s">
        <v>470</v>
      </c>
      <c r="B2215" s="140" t="s">
        <v>298</v>
      </c>
      <c r="C2215" s="171">
        <v>45701</v>
      </c>
      <c r="D2215" s="172" t="s">
        <v>23</v>
      </c>
      <c r="E2215" s="140" t="s">
        <v>19</v>
      </c>
      <c r="F2215" s="140" t="s">
        <v>188</v>
      </c>
      <c r="G2215" s="140" t="s">
        <v>21</v>
      </c>
      <c r="H2215" s="140" t="s">
        <v>73</v>
      </c>
      <c r="I2215" s="140" t="s">
        <v>21</v>
      </c>
      <c r="J2215" s="174"/>
    </row>
    <row r="2216" hidden="1" customHeight="1" spans="1:10">
      <c r="A2216" s="140" t="s">
        <v>470</v>
      </c>
      <c r="B2216" s="140" t="s">
        <v>298</v>
      </c>
      <c r="C2216" s="171">
        <v>45702</v>
      </c>
      <c r="D2216" s="172" t="s">
        <v>25</v>
      </c>
      <c r="E2216" s="140" t="s">
        <v>19</v>
      </c>
      <c r="F2216" s="140" t="s">
        <v>84</v>
      </c>
      <c r="G2216" s="140" t="s">
        <v>21</v>
      </c>
      <c r="H2216" s="140" t="s">
        <v>167</v>
      </c>
      <c r="I2216" s="140" t="s">
        <v>21</v>
      </c>
      <c r="J2216" s="174"/>
    </row>
    <row r="2217" hidden="1" customHeight="1" spans="1:10">
      <c r="A2217" s="140" t="s">
        <v>470</v>
      </c>
      <c r="B2217" s="140" t="s">
        <v>298</v>
      </c>
      <c r="C2217" s="171">
        <v>45703</v>
      </c>
      <c r="D2217" s="172" t="s">
        <v>27</v>
      </c>
      <c r="E2217" s="173" t="s">
        <v>13</v>
      </c>
      <c r="F2217" s="140" t="s">
        <v>14</v>
      </c>
      <c r="G2217" s="140" t="s">
        <v>14</v>
      </c>
      <c r="H2217" s="140" t="s">
        <v>14</v>
      </c>
      <c r="I2217" s="140" t="s">
        <v>14</v>
      </c>
      <c r="J2217" s="174"/>
    </row>
    <row r="2218" hidden="1" customHeight="1" spans="1:10">
      <c r="A2218" s="140" t="s">
        <v>470</v>
      </c>
      <c r="B2218" s="140" t="s">
        <v>298</v>
      </c>
      <c r="C2218" s="171">
        <v>45704</v>
      </c>
      <c r="D2218" s="172" t="s">
        <v>15</v>
      </c>
      <c r="E2218" s="173" t="s">
        <v>13</v>
      </c>
      <c r="F2218" s="140" t="s">
        <v>14</v>
      </c>
      <c r="G2218" s="140" t="s">
        <v>14</v>
      </c>
      <c r="H2218" s="140" t="s">
        <v>14</v>
      </c>
      <c r="I2218" s="140" t="s">
        <v>14</v>
      </c>
      <c r="J2218" s="174"/>
    </row>
    <row r="2219" hidden="1" customHeight="1" spans="1:10">
      <c r="A2219" s="140" t="s">
        <v>470</v>
      </c>
      <c r="B2219" s="140" t="s">
        <v>298</v>
      </c>
      <c r="C2219" s="171">
        <v>45705</v>
      </c>
      <c r="D2219" s="172" t="s">
        <v>16</v>
      </c>
      <c r="E2219" s="140" t="s">
        <v>19</v>
      </c>
      <c r="F2219" s="140" t="s">
        <v>40</v>
      </c>
      <c r="G2219" s="140" t="s">
        <v>21</v>
      </c>
      <c r="H2219" s="140" t="s">
        <v>190</v>
      </c>
      <c r="I2219" s="140" t="s">
        <v>21</v>
      </c>
      <c r="J2219" s="174"/>
    </row>
    <row r="2220" hidden="1" customHeight="1" spans="1:10">
      <c r="A2220" s="140" t="s">
        <v>470</v>
      </c>
      <c r="B2220" s="140" t="s">
        <v>298</v>
      </c>
      <c r="C2220" s="171">
        <v>45706</v>
      </c>
      <c r="D2220" s="172" t="s">
        <v>17</v>
      </c>
      <c r="E2220" s="140" t="s">
        <v>19</v>
      </c>
      <c r="F2220" s="140" t="s">
        <v>193</v>
      </c>
      <c r="G2220" s="140" t="s">
        <v>21</v>
      </c>
      <c r="H2220" s="140" t="s">
        <v>178</v>
      </c>
      <c r="I2220" s="140" t="s">
        <v>21</v>
      </c>
      <c r="J2220" s="174"/>
    </row>
    <row r="2221" hidden="1" customHeight="1" spans="1:10">
      <c r="A2221" s="140" t="s">
        <v>470</v>
      </c>
      <c r="B2221" s="140" t="s">
        <v>298</v>
      </c>
      <c r="C2221" s="171">
        <v>45707</v>
      </c>
      <c r="D2221" s="172" t="s">
        <v>18</v>
      </c>
      <c r="E2221" s="140" t="s">
        <v>19</v>
      </c>
      <c r="F2221" s="140" t="s">
        <v>195</v>
      </c>
      <c r="G2221" s="140" t="s">
        <v>21</v>
      </c>
      <c r="H2221" s="140" t="s">
        <v>53</v>
      </c>
      <c r="I2221" s="140" t="s">
        <v>21</v>
      </c>
      <c r="J2221" s="174"/>
    </row>
    <row r="2222" hidden="1" customHeight="1" spans="1:10">
      <c r="A2222" s="140" t="s">
        <v>470</v>
      </c>
      <c r="B2222" s="140" t="s">
        <v>298</v>
      </c>
      <c r="C2222" s="171">
        <v>45708</v>
      </c>
      <c r="D2222" s="172" t="s">
        <v>23</v>
      </c>
      <c r="E2222" s="140" t="s">
        <v>19</v>
      </c>
      <c r="F2222" s="140" t="s">
        <v>146</v>
      </c>
      <c r="G2222" s="140" t="s">
        <v>21</v>
      </c>
      <c r="H2222" s="140" t="s">
        <v>163</v>
      </c>
      <c r="I2222" s="140" t="s">
        <v>21</v>
      </c>
      <c r="J2222" s="174"/>
    </row>
    <row r="2223" hidden="1" customHeight="1" spans="1:10">
      <c r="A2223" s="140" t="s">
        <v>470</v>
      </c>
      <c r="B2223" s="140" t="s">
        <v>298</v>
      </c>
      <c r="C2223" s="171">
        <v>45709</v>
      </c>
      <c r="D2223" s="172" t="s">
        <v>25</v>
      </c>
      <c r="E2223" s="140" t="s">
        <v>19</v>
      </c>
      <c r="F2223" s="140" t="s">
        <v>150</v>
      </c>
      <c r="G2223" s="140" t="s">
        <v>21</v>
      </c>
      <c r="H2223" s="140" t="s">
        <v>167</v>
      </c>
      <c r="I2223" s="140" t="s">
        <v>21</v>
      </c>
      <c r="J2223" s="174"/>
    </row>
    <row r="2224" hidden="1" customHeight="1" spans="1:10">
      <c r="A2224" s="140" t="s">
        <v>470</v>
      </c>
      <c r="B2224" s="140" t="s">
        <v>298</v>
      </c>
      <c r="C2224" s="171">
        <v>45710</v>
      </c>
      <c r="D2224" s="172" t="s">
        <v>27</v>
      </c>
      <c r="E2224" s="173" t="s">
        <v>13</v>
      </c>
      <c r="F2224" s="140" t="s">
        <v>14</v>
      </c>
      <c r="G2224" s="140" t="s">
        <v>14</v>
      </c>
      <c r="H2224" s="140" t="s">
        <v>14</v>
      </c>
      <c r="I2224" s="140" t="s">
        <v>14</v>
      </c>
      <c r="J2224" s="174"/>
    </row>
    <row r="2225" hidden="1" customHeight="1" spans="1:10">
      <c r="A2225" s="140" t="s">
        <v>470</v>
      </c>
      <c r="B2225" s="140" t="s">
        <v>298</v>
      </c>
      <c r="C2225" s="171">
        <v>45711</v>
      </c>
      <c r="D2225" s="172" t="s">
        <v>15</v>
      </c>
      <c r="E2225" s="173" t="s">
        <v>13</v>
      </c>
      <c r="F2225" s="140" t="s">
        <v>14</v>
      </c>
      <c r="G2225" s="140" t="s">
        <v>14</v>
      </c>
      <c r="H2225" s="140" t="s">
        <v>14</v>
      </c>
      <c r="I2225" s="140" t="s">
        <v>14</v>
      </c>
      <c r="J2225" s="174"/>
    </row>
    <row r="2226" hidden="1" customHeight="1" spans="1:10">
      <c r="A2226" s="140" t="s">
        <v>470</v>
      </c>
      <c r="B2226" s="140" t="s">
        <v>298</v>
      </c>
      <c r="C2226" s="171">
        <v>45712</v>
      </c>
      <c r="D2226" s="172" t="s">
        <v>16</v>
      </c>
      <c r="E2226" s="140" t="s">
        <v>19</v>
      </c>
      <c r="F2226" s="140" t="s">
        <v>150</v>
      </c>
      <c r="G2226" s="140" t="s">
        <v>21</v>
      </c>
      <c r="H2226" s="140" t="s">
        <v>78</v>
      </c>
      <c r="I2226" s="140" t="s">
        <v>21</v>
      </c>
      <c r="J2226" s="174"/>
    </row>
    <row r="2227" hidden="1" customHeight="1" spans="1:10">
      <c r="A2227" s="140" t="s">
        <v>470</v>
      </c>
      <c r="B2227" s="140" t="s">
        <v>298</v>
      </c>
      <c r="C2227" s="171">
        <v>45713</v>
      </c>
      <c r="D2227" s="172" t="s">
        <v>17</v>
      </c>
      <c r="E2227" s="140" t="s">
        <v>19</v>
      </c>
      <c r="F2227" s="140" t="s">
        <v>193</v>
      </c>
      <c r="G2227" s="140" t="s">
        <v>21</v>
      </c>
      <c r="H2227" s="140" t="s">
        <v>170</v>
      </c>
      <c r="I2227" s="140" t="s">
        <v>21</v>
      </c>
      <c r="J2227" s="174"/>
    </row>
    <row r="2228" hidden="1" customHeight="1" spans="1:10">
      <c r="A2228" s="140" t="s">
        <v>470</v>
      </c>
      <c r="B2228" s="140" t="s">
        <v>298</v>
      </c>
      <c r="C2228" s="171">
        <v>45714</v>
      </c>
      <c r="D2228" s="172" t="s">
        <v>18</v>
      </c>
      <c r="E2228" s="140" t="s">
        <v>19</v>
      </c>
      <c r="F2228" s="140" t="s">
        <v>40</v>
      </c>
      <c r="G2228" s="140" t="s">
        <v>21</v>
      </c>
      <c r="H2228" s="140" t="s">
        <v>206</v>
      </c>
      <c r="I2228" s="140" t="s">
        <v>21</v>
      </c>
      <c r="J2228" s="174"/>
    </row>
    <row r="2229" hidden="1" customHeight="1" spans="1:10">
      <c r="A2229" s="140" t="s">
        <v>470</v>
      </c>
      <c r="B2229" s="140" t="s">
        <v>298</v>
      </c>
      <c r="C2229" s="171">
        <v>45715</v>
      </c>
      <c r="D2229" s="172" t="s">
        <v>23</v>
      </c>
      <c r="E2229" s="140" t="s">
        <v>19</v>
      </c>
      <c r="F2229" s="140" t="s">
        <v>40</v>
      </c>
      <c r="G2229" s="140" t="s">
        <v>21</v>
      </c>
      <c r="H2229" s="140" t="s">
        <v>35</v>
      </c>
      <c r="I2229" s="140" t="s">
        <v>21</v>
      </c>
      <c r="J2229" s="174"/>
    </row>
    <row r="2230" hidden="1" customHeight="1" spans="1:10">
      <c r="A2230" s="140" t="s">
        <v>470</v>
      </c>
      <c r="B2230" s="140" t="s">
        <v>298</v>
      </c>
      <c r="C2230" s="171">
        <v>45716</v>
      </c>
      <c r="D2230" s="172" t="s">
        <v>25</v>
      </c>
      <c r="E2230" s="140" t="s">
        <v>19</v>
      </c>
      <c r="F2230" s="140" t="s">
        <v>195</v>
      </c>
      <c r="G2230" s="140" t="s">
        <v>21</v>
      </c>
      <c r="H2230" s="140" t="s">
        <v>53</v>
      </c>
      <c r="I2230" s="140" t="s">
        <v>21</v>
      </c>
      <c r="J2230" s="174"/>
    </row>
    <row r="2231" hidden="1" customHeight="1" spans="1:10">
      <c r="A2231" s="140" t="s">
        <v>471</v>
      </c>
      <c r="B2231" s="140" t="s">
        <v>429</v>
      </c>
      <c r="C2231" s="171">
        <v>45689</v>
      </c>
      <c r="D2231" s="172" t="s">
        <v>12</v>
      </c>
      <c r="E2231" s="173" t="s">
        <v>13</v>
      </c>
      <c r="F2231" s="140" t="s">
        <v>14</v>
      </c>
      <c r="G2231" s="140" t="s">
        <v>14</v>
      </c>
      <c r="H2231" s="140" t="s">
        <v>14</v>
      </c>
      <c r="I2231" s="140" t="s">
        <v>14</v>
      </c>
      <c r="J2231" s="174"/>
    </row>
    <row r="2232" hidden="1" customHeight="1" spans="1:10">
      <c r="A2232" s="140" t="s">
        <v>471</v>
      </c>
      <c r="B2232" s="140" t="s">
        <v>429</v>
      </c>
      <c r="C2232" s="171">
        <v>45690</v>
      </c>
      <c r="D2232" s="172" t="s">
        <v>15</v>
      </c>
      <c r="E2232" s="173" t="s">
        <v>13</v>
      </c>
      <c r="F2232" s="140" t="s">
        <v>14</v>
      </c>
      <c r="G2232" s="140" t="s">
        <v>14</v>
      </c>
      <c r="H2232" s="140" t="s">
        <v>14</v>
      </c>
      <c r="I2232" s="140" t="s">
        <v>14</v>
      </c>
      <c r="J2232" s="174"/>
    </row>
    <row r="2233" hidden="1" customHeight="1" spans="1:10">
      <c r="A2233" s="140" t="s">
        <v>471</v>
      </c>
      <c r="B2233" s="140" t="s">
        <v>429</v>
      </c>
      <c r="C2233" s="171">
        <v>45691</v>
      </c>
      <c r="D2233" s="172" t="s">
        <v>16</v>
      </c>
      <c r="E2233" s="173" t="s">
        <v>13</v>
      </c>
      <c r="F2233" s="140" t="s">
        <v>14</v>
      </c>
      <c r="G2233" s="140" t="s">
        <v>14</v>
      </c>
      <c r="H2233" s="140" t="s">
        <v>14</v>
      </c>
      <c r="I2233" s="140" t="s">
        <v>14</v>
      </c>
      <c r="J2233" s="174"/>
    </row>
    <row r="2234" hidden="1" customHeight="1" spans="1:10">
      <c r="A2234" s="140" t="s">
        <v>471</v>
      </c>
      <c r="B2234" s="140" t="s">
        <v>429</v>
      </c>
      <c r="C2234" s="171">
        <v>45692</v>
      </c>
      <c r="D2234" s="172" t="s">
        <v>17</v>
      </c>
      <c r="E2234" s="173" t="s">
        <v>13</v>
      </c>
      <c r="F2234" s="140" t="s">
        <v>14</v>
      </c>
      <c r="G2234" s="140" t="s">
        <v>14</v>
      </c>
      <c r="H2234" s="140" t="s">
        <v>14</v>
      </c>
      <c r="I2234" s="140" t="s">
        <v>14</v>
      </c>
      <c r="J2234" s="174"/>
    </row>
    <row r="2235" customHeight="1" spans="1:10">
      <c r="A2235" s="140" t="s">
        <v>471</v>
      </c>
      <c r="B2235" s="140" t="s">
        <v>429</v>
      </c>
      <c r="C2235" s="171">
        <v>45693</v>
      </c>
      <c r="D2235" s="172" t="s">
        <v>18</v>
      </c>
      <c r="E2235" s="140" t="s">
        <v>19</v>
      </c>
      <c r="F2235" s="140" t="s">
        <v>14</v>
      </c>
      <c r="G2235" s="176" t="s">
        <v>68</v>
      </c>
      <c r="H2235" s="140" t="s">
        <v>14</v>
      </c>
      <c r="I2235" s="176" t="s">
        <v>68</v>
      </c>
      <c r="J2235" s="174" t="s">
        <v>234</v>
      </c>
    </row>
    <row r="2236" customHeight="1" spans="1:10">
      <c r="A2236" s="140" t="s">
        <v>471</v>
      </c>
      <c r="B2236" s="140" t="s">
        <v>429</v>
      </c>
      <c r="C2236" s="171">
        <v>45694</v>
      </c>
      <c r="D2236" s="172" t="s">
        <v>23</v>
      </c>
      <c r="E2236" s="140" t="s">
        <v>19</v>
      </c>
      <c r="F2236" s="140" t="s">
        <v>14</v>
      </c>
      <c r="G2236" s="176" t="s">
        <v>68</v>
      </c>
      <c r="H2236" s="140" t="s">
        <v>14</v>
      </c>
      <c r="I2236" s="176" t="s">
        <v>68</v>
      </c>
      <c r="J2236" s="174" t="s">
        <v>234</v>
      </c>
    </row>
    <row r="2237" customHeight="1" spans="1:10">
      <c r="A2237" s="140" t="s">
        <v>471</v>
      </c>
      <c r="B2237" s="140" t="s">
        <v>429</v>
      </c>
      <c r="C2237" s="171">
        <v>45695</v>
      </c>
      <c r="D2237" s="172" t="s">
        <v>25</v>
      </c>
      <c r="E2237" s="140" t="s">
        <v>19</v>
      </c>
      <c r="F2237" s="140" t="s">
        <v>14</v>
      </c>
      <c r="G2237" s="176" t="s">
        <v>68</v>
      </c>
      <c r="H2237" s="140" t="s">
        <v>14</v>
      </c>
      <c r="I2237" s="176" t="s">
        <v>68</v>
      </c>
      <c r="J2237" s="174" t="s">
        <v>234</v>
      </c>
    </row>
    <row r="2238" customHeight="1" spans="1:10">
      <c r="A2238" s="140" t="s">
        <v>471</v>
      </c>
      <c r="B2238" s="140" t="s">
        <v>429</v>
      </c>
      <c r="C2238" s="171">
        <v>45696</v>
      </c>
      <c r="D2238" s="172" t="s">
        <v>27</v>
      </c>
      <c r="E2238" s="140" t="s">
        <v>19</v>
      </c>
      <c r="F2238" s="140" t="s">
        <v>14</v>
      </c>
      <c r="G2238" s="176" t="s">
        <v>68</v>
      </c>
      <c r="H2238" s="140" t="s">
        <v>14</v>
      </c>
      <c r="I2238" s="176" t="s">
        <v>68</v>
      </c>
      <c r="J2238" s="174" t="s">
        <v>234</v>
      </c>
    </row>
    <row r="2239" hidden="1" customHeight="1" spans="1:10">
      <c r="A2239" s="140" t="s">
        <v>471</v>
      </c>
      <c r="B2239" s="140" t="s">
        <v>429</v>
      </c>
      <c r="C2239" s="171">
        <v>45697</v>
      </c>
      <c r="D2239" s="172" t="s">
        <v>15</v>
      </c>
      <c r="E2239" s="173" t="s">
        <v>13</v>
      </c>
      <c r="F2239" s="140" t="s">
        <v>14</v>
      </c>
      <c r="G2239" s="140" t="s">
        <v>14</v>
      </c>
      <c r="H2239" s="140" t="s">
        <v>14</v>
      </c>
      <c r="I2239" s="140" t="s">
        <v>14</v>
      </c>
      <c r="J2239" s="174"/>
    </row>
    <row r="2240" hidden="1" customHeight="1" spans="1:10">
      <c r="A2240" s="140" t="s">
        <v>471</v>
      </c>
      <c r="B2240" s="140" t="s">
        <v>429</v>
      </c>
      <c r="C2240" s="171">
        <v>45698</v>
      </c>
      <c r="D2240" s="172" t="s">
        <v>16</v>
      </c>
      <c r="E2240" s="140" t="s">
        <v>19</v>
      </c>
      <c r="F2240" s="140" t="s">
        <v>154</v>
      </c>
      <c r="G2240" s="140" t="s">
        <v>21</v>
      </c>
      <c r="H2240" s="140" t="s">
        <v>54</v>
      </c>
      <c r="I2240" s="140" t="s">
        <v>21</v>
      </c>
      <c r="J2240" s="174"/>
    </row>
    <row r="2241" hidden="1" customHeight="1" spans="1:10">
      <c r="A2241" s="140" t="s">
        <v>471</v>
      </c>
      <c r="B2241" s="140" t="s">
        <v>429</v>
      </c>
      <c r="C2241" s="171">
        <v>45699</v>
      </c>
      <c r="D2241" s="172" t="s">
        <v>17</v>
      </c>
      <c r="E2241" s="140" t="s">
        <v>19</v>
      </c>
      <c r="F2241" s="140" t="s">
        <v>51</v>
      </c>
      <c r="G2241" s="140" t="s">
        <v>21</v>
      </c>
      <c r="H2241" s="140" t="s">
        <v>156</v>
      </c>
      <c r="I2241" s="140" t="s">
        <v>21</v>
      </c>
      <c r="J2241" s="174"/>
    </row>
    <row r="2242" hidden="1" customHeight="1" spans="1:10">
      <c r="A2242" s="140" t="s">
        <v>471</v>
      </c>
      <c r="B2242" s="140" t="s">
        <v>429</v>
      </c>
      <c r="C2242" s="171">
        <v>45700</v>
      </c>
      <c r="D2242" s="172" t="s">
        <v>18</v>
      </c>
      <c r="E2242" s="140" t="s">
        <v>19</v>
      </c>
      <c r="F2242" s="140" t="s">
        <v>36</v>
      </c>
      <c r="G2242" s="140" t="s">
        <v>21</v>
      </c>
      <c r="H2242" s="140" t="s">
        <v>66</v>
      </c>
      <c r="I2242" s="140" t="s">
        <v>21</v>
      </c>
      <c r="J2242" s="174"/>
    </row>
    <row r="2243" customHeight="1" spans="1:10">
      <c r="A2243" s="140" t="s">
        <v>471</v>
      </c>
      <c r="B2243" s="140" t="s">
        <v>429</v>
      </c>
      <c r="C2243" s="171">
        <v>45701</v>
      </c>
      <c r="D2243" s="172" t="s">
        <v>23</v>
      </c>
      <c r="E2243" s="140" t="s">
        <v>19</v>
      </c>
      <c r="F2243" s="140" t="s">
        <v>14</v>
      </c>
      <c r="G2243" s="176" t="s">
        <v>68</v>
      </c>
      <c r="H2243" s="140" t="s">
        <v>91</v>
      </c>
      <c r="I2243" s="140" t="s">
        <v>21</v>
      </c>
      <c r="J2243" s="174" t="s">
        <v>69</v>
      </c>
    </row>
    <row r="2244" hidden="1" customHeight="1" spans="1:10">
      <c r="A2244" s="140" t="s">
        <v>471</v>
      </c>
      <c r="B2244" s="140" t="s">
        <v>429</v>
      </c>
      <c r="C2244" s="171">
        <v>45702</v>
      </c>
      <c r="D2244" s="172" t="s">
        <v>25</v>
      </c>
      <c r="E2244" s="140" t="s">
        <v>19</v>
      </c>
      <c r="F2244" s="140" t="s">
        <v>193</v>
      </c>
      <c r="G2244" s="140" t="s">
        <v>21</v>
      </c>
      <c r="H2244" s="140" t="s">
        <v>155</v>
      </c>
      <c r="I2244" s="140" t="s">
        <v>21</v>
      </c>
      <c r="J2244" s="174"/>
    </row>
    <row r="2245" hidden="1" customHeight="1" spans="1:10">
      <c r="A2245" s="140" t="s">
        <v>471</v>
      </c>
      <c r="B2245" s="140" t="s">
        <v>429</v>
      </c>
      <c r="C2245" s="171">
        <v>45703</v>
      </c>
      <c r="D2245" s="172" t="s">
        <v>27</v>
      </c>
      <c r="E2245" s="173" t="s">
        <v>13</v>
      </c>
      <c r="F2245" s="140" t="s">
        <v>472</v>
      </c>
      <c r="G2245" s="140" t="s">
        <v>21</v>
      </c>
      <c r="H2245" s="140" t="s">
        <v>473</v>
      </c>
      <c r="I2245" s="140" t="s">
        <v>21</v>
      </c>
      <c r="J2245" s="174"/>
    </row>
    <row r="2246" hidden="1" customHeight="1" spans="1:10">
      <c r="A2246" s="140" t="s">
        <v>471</v>
      </c>
      <c r="B2246" s="140" t="s">
        <v>429</v>
      </c>
      <c r="C2246" s="171">
        <v>45704</v>
      </c>
      <c r="D2246" s="172" t="s">
        <v>15</v>
      </c>
      <c r="E2246" s="173" t="s">
        <v>13</v>
      </c>
      <c r="F2246" s="140" t="s">
        <v>14</v>
      </c>
      <c r="G2246" s="140" t="s">
        <v>14</v>
      </c>
      <c r="H2246" s="140" t="s">
        <v>14</v>
      </c>
      <c r="I2246" s="140" t="s">
        <v>14</v>
      </c>
      <c r="J2246" s="174"/>
    </row>
    <row r="2247" hidden="1" customHeight="1" spans="1:10">
      <c r="A2247" s="140" t="s">
        <v>471</v>
      </c>
      <c r="B2247" s="140" t="s">
        <v>429</v>
      </c>
      <c r="C2247" s="171">
        <v>45705</v>
      </c>
      <c r="D2247" s="172" t="s">
        <v>16</v>
      </c>
      <c r="E2247" s="140" t="s">
        <v>19</v>
      </c>
      <c r="F2247" s="140" t="s">
        <v>51</v>
      </c>
      <c r="G2247" s="140" t="s">
        <v>21</v>
      </c>
      <c r="H2247" s="140" t="s">
        <v>474</v>
      </c>
      <c r="I2247" s="140" t="s">
        <v>21</v>
      </c>
      <c r="J2247" s="174"/>
    </row>
    <row r="2248" hidden="1" customHeight="1" spans="1:10">
      <c r="A2248" s="140" t="s">
        <v>471</v>
      </c>
      <c r="B2248" s="140" t="s">
        <v>429</v>
      </c>
      <c r="C2248" s="171">
        <v>45706</v>
      </c>
      <c r="D2248" s="172" t="s">
        <v>17</v>
      </c>
      <c r="E2248" s="140" t="s">
        <v>19</v>
      </c>
      <c r="F2248" s="140" t="s">
        <v>51</v>
      </c>
      <c r="G2248" s="140" t="s">
        <v>21</v>
      </c>
      <c r="H2248" s="140" t="s">
        <v>337</v>
      </c>
      <c r="I2248" s="140" t="s">
        <v>21</v>
      </c>
      <c r="J2248" s="174"/>
    </row>
    <row r="2249" hidden="1" customHeight="1" spans="1:10">
      <c r="A2249" s="140" t="s">
        <v>471</v>
      </c>
      <c r="B2249" s="140" t="s">
        <v>429</v>
      </c>
      <c r="C2249" s="171">
        <v>45707</v>
      </c>
      <c r="D2249" s="172" t="s">
        <v>18</v>
      </c>
      <c r="E2249" s="140" t="s">
        <v>19</v>
      </c>
      <c r="F2249" s="140" t="s">
        <v>51</v>
      </c>
      <c r="G2249" s="140" t="s">
        <v>21</v>
      </c>
      <c r="H2249" s="140" t="s">
        <v>161</v>
      </c>
      <c r="I2249" s="140" t="s">
        <v>21</v>
      </c>
      <c r="J2249" s="174"/>
    </row>
    <row r="2250" hidden="1" customHeight="1" spans="1:10">
      <c r="A2250" s="140" t="s">
        <v>471</v>
      </c>
      <c r="B2250" s="140" t="s">
        <v>429</v>
      </c>
      <c r="C2250" s="171">
        <v>45708</v>
      </c>
      <c r="D2250" s="172" t="s">
        <v>23</v>
      </c>
      <c r="E2250" s="140" t="s">
        <v>19</v>
      </c>
      <c r="F2250" s="140" t="s">
        <v>154</v>
      </c>
      <c r="G2250" s="140" t="s">
        <v>21</v>
      </c>
      <c r="H2250" s="140" t="s">
        <v>475</v>
      </c>
      <c r="I2250" s="140" t="s">
        <v>21</v>
      </c>
      <c r="J2250" s="174"/>
    </row>
    <row r="2251" hidden="1" customHeight="1" spans="1:10">
      <c r="A2251" s="140" t="s">
        <v>471</v>
      </c>
      <c r="B2251" s="140" t="s">
        <v>429</v>
      </c>
      <c r="C2251" s="171">
        <v>45709</v>
      </c>
      <c r="D2251" s="172" t="s">
        <v>25</v>
      </c>
      <c r="E2251" s="140" t="s">
        <v>19</v>
      </c>
      <c r="F2251" s="140" t="s">
        <v>154</v>
      </c>
      <c r="G2251" s="140" t="s">
        <v>21</v>
      </c>
      <c r="H2251" s="140" t="s">
        <v>176</v>
      </c>
      <c r="I2251" s="140" t="s">
        <v>21</v>
      </c>
      <c r="J2251" s="174"/>
    </row>
    <row r="2252" hidden="1" customHeight="1" spans="1:10">
      <c r="A2252" s="140" t="s">
        <v>471</v>
      </c>
      <c r="B2252" s="140" t="s">
        <v>429</v>
      </c>
      <c r="C2252" s="171">
        <v>45710</v>
      </c>
      <c r="D2252" s="172" t="s">
        <v>27</v>
      </c>
      <c r="E2252" s="173" t="s">
        <v>13</v>
      </c>
      <c r="F2252" s="140" t="s">
        <v>14</v>
      </c>
      <c r="G2252" s="140" t="s">
        <v>14</v>
      </c>
      <c r="H2252" s="140" t="s">
        <v>14</v>
      </c>
      <c r="I2252" s="140" t="s">
        <v>14</v>
      </c>
      <c r="J2252" s="174"/>
    </row>
    <row r="2253" hidden="1" customHeight="1" spans="1:10">
      <c r="A2253" s="140" t="s">
        <v>471</v>
      </c>
      <c r="B2253" s="140" t="s">
        <v>429</v>
      </c>
      <c r="C2253" s="171">
        <v>45711</v>
      </c>
      <c r="D2253" s="172" t="s">
        <v>15</v>
      </c>
      <c r="E2253" s="173" t="s">
        <v>13</v>
      </c>
      <c r="F2253" s="140" t="s">
        <v>14</v>
      </c>
      <c r="G2253" s="140" t="s">
        <v>14</v>
      </c>
      <c r="H2253" s="140" t="s">
        <v>14</v>
      </c>
      <c r="I2253" s="140" t="s">
        <v>14</v>
      </c>
      <c r="J2253" s="174"/>
    </row>
    <row r="2254" hidden="1" customHeight="1" spans="1:10">
      <c r="A2254" s="140" t="s">
        <v>471</v>
      </c>
      <c r="B2254" s="140" t="s">
        <v>429</v>
      </c>
      <c r="C2254" s="171">
        <v>45712</v>
      </c>
      <c r="D2254" s="172" t="s">
        <v>16</v>
      </c>
      <c r="E2254" s="140" t="s">
        <v>19</v>
      </c>
      <c r="F2254" s="140" t="s">
        <v>51</v>
      </c>
      <c r="G2254" s="140" t="s">
        <v>21</v>
      </c>
      <c r="H2254" s="140" t="s">
        <v>283</v>
      </c>
      <c r="I2254" s="140" t="s">
        <v>21</v>
      </c>
      <c r="J2254" s="174"/>
    </row>
    <row r="2255" hidden="1" customHeight="1" spans="1:10">
      <c r="A2255" s="140" t="s">
        <v>471</v>
      </c>
      <c r="B2255" s="140" t="s">
        <v>429</v>
      </c>
      <c r="C2255" s="171">
        <v>45713</v>
      </c>
      <c r="D2255" s="172" t="s">
        <v>17</v>
      </c>
      <c r="E2255" s="140" t="s">
        <v>19</v>
      </c>
      <c r="F2255" s="140" t="s">
        <v>154</v>
      </c>
      <c r="G2255" s="140" t="s">
        <v>21</v>
      </c>
      <c r="H2255" s="140" t="s">
        <v>116</v>
      </c>
      <c r="I2255" s="140" t="s">
        <v>21</v>
      </c>
      <c r="J2255" s="174"/>
    </row>
    <row r="2256" hidden="1" customHeight="1" spans="1:10">
      <c r="A2256" s="140" t="s">
        <v>471</v>
      </c>
      <c r="B2256" s="140" t="s">
        <v>429</v>
      </c>
      <c r="C2256" s="171">
        <v>45714</v>
      </c>
      <c r="D2256" s="172" t="s">
        <v>18</v>
      </c>
      <c r="E2256" s="140" t="s">
        <v>19</v>
      </c>
      <c r="F2256" s="140" t="s">
        <v>193</v>
      </c>
      <c r="G2256" s="140" t="s">
        <v>21</v>
      </c>
      <c r="H2256" s="140" t="s">
        <v>66</v>
      </c>
      <c r="I2256" s="140" t="s">
        <v>21</v>
      </c>
      <c r="J2256" s="174"/>
    </row>
    <row r="2257" hidden="1" customHeight="1" spans="1:10">
      <c r="A2257" s="140" t="s">
        <v>471</v>
      </c>
      <c r="B2257" s="140" t="s">
        <v>429</v>
      </c>
      <c r="C2257" s="171">
        <v>45715</v>
      </c>
      <c r="D2257" s="172" t="s">
        <v>23</v>
      </c>
      <c r="E2257" s="140" t="s">
        <v>19</v>
      </c>
      <c r="F2257" s="140" t="s">
        <v>33</v>
      </c>
      <c r="G2257" s="140" t="s">
        <v>21</v>
      </c>
      <c r="H2257" s="140" t="s">
        <v>368</v>
      </c>
      <c r="I2257" s="140" t="s">
        <v>21</v>
      </c>
      <c r="J2257" s="174"/>
    </row>
    <row r="2258" hidden="1" customHeight="1" spans="1:10">
      <c r="A2258" s="140" t="s">
        <v>471</v>
      </c>
      <c r="B2258" s="140" t="s">
        <v>429</v>
      </c>
      <c r="C2258" s="171">
        <v>45716</v>
      </c>
      <c r="D2258" s="172" t="s">
        <v>25</v>
      </c>
      <c r="E2258" s="140" t="s">
        <v>19</v>
      </c>
      <c r="F2258" s="140" t="s">
        <v>33</v>
      </c>
      <c r="G2258" s="140" t="s">
        <v>21</v>
      </c>
      <c r="H2258" s="140" t="s">
        <v>92</v>
      </c>
      <c r="I2258" s="140" t="s">
        <v>21</v>
      </c>
      <c r="J2258" s="174"/>
    </row>
    <row r="2259" hidden="1" customHeight="1" spans="1:10">
      <c r="A2259" s="140" t="s">
        <v>476</v>
      </c>
      <c r="B2259" s="140" t="s">
        <v>429</v>
      </c>
      <c r="C2259" s="171">
        <v>45689</v>
      </c>
      <c r="D2259" s="172" t="s">
        <v>12</v>
      </c>
      <c r="E2259" s="173" t="s">
        <v>13</v>
      </c>
      <c r="F2259" s="140" t="s">
        <v>14</v>
      </c>
      <c r="G2259" s="140" t="s">
        <v>14</v>
      </c>
      <c r="H2259" s="140" t="s">
        <v>14</v>
      </c>
      <c r="I2259" s="140" t="s">
        <v>14</v>
      </c>
      <c r="J2259" s="174"/>
    </row>
    <row r="2260" hidden="1" customHeight="1" spans="1:10">
      <c r="A2260" s="140" t="s">
        <v>476</v>
      </c>
      <c r="B2260" s="140" t="s">
        <v>429</v>
      </c>
      <c r="C2260" s="171">
        <v>45690</v>
      </c>
      <c r="D2260" s="172" t="s">
        <v>15</v>
      </c>
      <c r="E2260" s="173" t="s">
        <v>13</v>
      </c>
      <c r="F2260" s="140" t="s">
        <v>14</v>
      </c>
      <c r="G2260" s="140" t="s">
        <v>14</v>
      </c>
      <c r="H2260" s="140" t="s">
        <v>14</v>
      </c>
      <c r="I2260" s="140" t="s">
        <v>14</v>
      </c>
      <c r="J2260" s="174"/>
    </row>
    <row r="2261" hidden="1" customHeight="1" spans="1:10">
      <c r="A2261" s="140" t="s">
        <v>476</v>
      </c>
      <c r="B2261" s="140" t="s">
        <v>429</v>
      </c>
      <c r="C2261" s="171">
        <v>45691</v>
      </c>
      <c r="D2261" s="172" t="s">
        <v>16</v>
      </c>
      <c r="E2261" s="173" t="s">
        <v>13</v>
      </c>
      <c r="F2261" s="140" t="s">
        <v>14</v>
      </c>
      <c r="G2261" s="140" t="s">
        <v>14</v>
      </c>
      <c r="H2261" s="140" t="s">
        <v>14</v>
      </c>
      <c r="I2261" s="140" t="s">
        <v>14</v>
      </c>
      <c r="J2261" s="174"/>
    </row>
    <row r="2262" hidden="1" customHeight="1" spans="1:10">
      <c r="A2262" s="140" t="s">
        <v>476</v>
      </c>
      <c r="B2262" s="140" t="s">
        <v>429</v>
      </c>
      <c r="C2262" s="171">
        <v>45692</v>
      </c>
      <c r="D2262" s="172" t="s">
        <v>17</v>
      </c>
      <c r="E2262" s="173" t="s">
        <v>13</v>
      </c>
      <c r="F2262" s="140" t="s">
        <v>14</v>
      </c>
      <c r="G2262" s="140" t="s">
        <v>14</v>
      </c>
      <c r="H2262" s="140" t="s">
        <v>14</v>
      </c>
      <c r="I2262" s="140" t="s">
        <v>14</v>
      </c>
      <c r="J2262" s="174"/>
    </row>
    <row r="2263" customHeight="1" spans="1:10">
      <c r="A2263" s="140" t="s">
        <v>476</v>
      </c>
      <c r="B2263" s="140" t="s">
        <v>429</v>
      </c>
      <c r="C2263" s="171">
        <v>45693</v>
      </c>
      <c r="D2263" s="172" t="s">
        <v>18</v>
      </c>
      <c r="E2263" s="140" t="s">
        <v>19</v>
      </c>
      <c r="F2263" s="140" t="s">
        <v>14</v>
      </c>
      <c r="G2263" s="176" t="s">
        <v>68</v>
      </c>
      <c r="H2263" s="140" t="s">
        <v>225</v>
      </c>
      <c r="I2263" s="140" t="s">
        <v>21</v>
      </c>
      <c r="J2263" s="174" t="s">
        <v>69</v>
      </c>
    </row>
    <row r="2264" hidden="1" customHeight="1" spans="1:10">
      <c r="A2264" s="140" t="s">
        <v>476</v>
      </c>
      <c r="B2264" s="140" t="s">
        <v>429</v>
      </c>
      <c r="C2264" s="171">
        <v>45694</v>
      </c>
      <c r="D2264" s="172" t="s">
        <v>23</v>
      </c>
      <c r="E2264" s="140" t="s">
        <v>19</v>
      </c>
      <c r="F2264" s="140" t="s">
        <v>51</v>
      </c>
      <c r="G2264" s="140" t="s">
        <v>21</v>
      </c>
      <c r="H2264" s="140" t="s">
        <v>41</v>
      </c>
      <c r="I2264" s="140" t="s">
        <v>21</v>
      </c>
      <c r="J2264" s="174"/>
    </row>
    <row r="2265" hidden="1" customHeight="1" spans="1:10">
      <c r="A2265" s="140" t="s">
        <v>476</v>
      </c>
      <c r="B2265" s="140" t="s">
        <v>429</v>
      </c>
      <c r="C2265" s="171">
        <v>45695</v>
      </c>
      <c r="D2265" s="172" t="s">
        <v>25</v>
      </c>
      <c r="E2265" s="140" t="s">
        <v>19</v>
      </c>
      <c r="F2265" s="140" t="s">
        <v>33</v>
      </c>
      <c r="G2265" s="140" t="s">
        <v>21</v>
      </c>
      <c r="H2265" s="140" t="s">
        <v>249</v>
      </c>
      <c r="I2265" s="140" t="s">
        <v>21</v>
      </c>
      <c r="J2265" s="174"/>
    </row>
    <row r="2266" hidden="1" customHeight="1" spans="1:10">
      <c r="A2266" s="140" t="s">
        <v>476</v>
      </c>
      <c r="B2266" s="140" t="s">
        <v>429</v>
      </c>
      <c r="C2266" s="171">
        <v>45696</v>
      </c>
      <c r="D2266" s="172" t="s">
        <v>27</v>
      </c>
      <c r="E2266" s="140" t="s">
        <v>19</v>
      </c>
      <c r="F2266" s="140" t="s">
        <v>51</v>
      </c>
      <c r="G2266" s="140" t="s">
        <v>21</v>
      </c>
      <c r="H2266" s="140" t="s">
        <v>477</v>
      </c>
      <c r="I2266" s="140" t="s">
        <v>21</v>
      </c>
      <c r="J2266" s="174"/>
    </row>
    <row r="2267" hidden="1" customHeight="1" spans="1:10">
      <c r="A2267" s="140" t="s">
        <v>476</v>
      </c>
      <c r="B2267" s="140" t="s">
        <v>429</v>
      </c>
      <c r="C2267" s="171">
        <v>45697</v>
      </c>
      <c r="D2267" s="172" t="s">
        <v>15</v>
      </c>
      <c r="E2267" s="173" t="s">
        <v>13</v>
      </c>
      <c r="F2267" s="140" t="s">
        <v>14</v>
      </c>
      <c r="G2267" s="140" t="s">
        <v>14</v>
      </c>
      <c r="H2267" s="140" t="s">
        <v>14</v>
      </c>
      <c r="I2267" s="140" t="s">
        <v>14</v>
      </c>
      <c r="J2267" s="174"/>
    </row>
    <row r="2268" hidden="1" customHeight="1" spans="1:10">
      <c r="A2268" s="140" t="s">
        <v>476</v>
      </c>
      <c r="B2268" s="140" t="s">
        <v>429</v>
      </c>
      <c r="C2268" s="171">
        <v>45698</v>
      </c>
      <c r="D2268" s="172" t="s">
        <v>16</v>
      </c>
      <c r="E2268" s="140" t="s">
        <v>19</v>
      </c>
      <c r="F2268" s="140" t="s">
        <v>209</v>
      </c>
      <c r="G2268" s="140" t="s">
        <v>21</v>
      </c>
      <c r="H2268" s="140" t="s">
        <v>315</v>
      </c>
      <c r="I2268" s="140" t="s">
        <v>21</v>
      </c>
      <c r="J2268" s="174"/>
    </row>
    <row r="2269" hidden="1" customHeight="1" spans="1:10">
      <c r="A2269" s="140" t="s">
        <v>476</v>
      </c>
      <c r="B2269" s="140" t="s">
        <v>429</v>
      </c>
      <c r="C2269" s="171">
        <v>45699</v>
      </c>
      <c r="D2269" s="172" t="s">
        <v>17</v>
      </c>
      <c r="E2269" s="140" t="s">
        <v>19</v>
      </c>
      <c r="F2269" s="140" t="s">
        <v>51</v>
      </c>
      <c r="G2269" s="140" t="s">
        <v>21</v>
      </c>
      <c r="H2269" s="140" t="s">
        <v>375</v>
      </c>
      <c r="I2269" s="140" t="s">
        <v>21</v>
      </c>
      <c r="J2269" s="174"/>
    </row>
    <row r="2270" customHeight="1" spans="1:10">
      <c r="A2270" s="140" t="s">
        <v>476</v>
      </c>
      <c r="B2270" s="140" t="s">
        <v>429</v>
      </c>
      <c r="C2270" s="171">
        <v>45700</v>
      </c>
      <c r="D2270" s="172" t="s">
        <v>18</v>
      </c>
      <c r="E2270" s="140" t="s">
        <v>19</v>
      </c>
      <c r="F2270" s="140" t="s">
        <v>14</v>
      </c>
      <c r="G2270" s="176" t="s">
        <v>68</v>
      </c>
      <c r="H2270" s="140" t="s">
        <v>14</v>
      </c>
      <c r="I2270" s="176" t="s">
        <v>68</v>
      </c>
      <c r="J2270" s="174" t="s">
        <v>234</v>
      </c>
    </row>
    <row r="2271" hidden="1" customHeight="1" spans="1:10">
      <c r="A2271" s="140" t="s">
        <v>476</v>
      </c>
      <c r="B2271" s="140" t="s">
        <v>429</v>
      </c>
      <c r="C2271" s="171">
        <v>45701</v>
      </c>
      <c r="D2271" s="172" t="s">
        <v>23</v>
      </c>
      <c r="E2271" s="140" t="s">
        <v>19</v>
      </c>
      <c r="F2271" s="140" t="s">
        <v>51</v>
      </c>
      <c r="G2271" s="140" t="s">
        <v>21</v>
      </c>
      <c r="H2271" s="140" t="s">
        <v>118</v>
      </c>
      <c r="I2271" s="140" t="s">
        <v>21</v>
      </c>
      <c r="J2271" s="174"/>
    </row>
    <row r="2272" hidden="1" customHeight="1" spans="1:10">
      <c r="A2272" s="140" t="s">
        <v>476</v>
      </c>
      <c r="B2272" s="140" t="s">
        <v>429</v>
      </c>
      <c r="C2272" s="171">
        <v>45702</v>
      </c>
      <c r="D2272" s="172" t="s">
        <v>25</v>
      </c>
      <c r="E2272" s="140" t="s">
        <v>19</v>
      </c>
      <c r="F2272" s="140" t="s">
        <v>193</v>
      </c>
      <c r="G2272" s="140" t="s">
        <v>21</v>
      </c>
      <c r="H2272" s="140" t="s">
        <v>265</v>
      </c>
      <c r="I2272" s="140" t="s">
        <v>21</v>
      </c>
      <c r="J2272" s="174"/>
    </row>
    <row r="2273" hidden="1" customHeight="1" spans="1:10">
      <c r="A2273" s="140" t="s">
        <v>476</v>
      </c>
      <c r="B2273" s="140" t="s">
        <v>429</v>
      </c>
      <c r="C2273" s="171">
        <v>45703</v>
      </c>
      <c r="D2273" s="172" t="s">
        <v>27</v>
      </c>
      <c r="E2273" s="173" t="s">
        <v>13</v>
      </c>
      <c r="F2273" s="140" t="s">
        <v>14</v>
      </c>
      <c r="G2273" s="140" t="s">
        <v>14</v>
      </c>
      <c r="H2273" s="140" t="s">
        <v>14</v>
      </c>
      <c r="I2273" s="140" t="s">
        <v>14</v>
      </c>
      <c r="J2273" s="174"/>
    </row>
    <row r="2274" hidden="1" customHeight="1" spans="1:10">
      <c r="A2274" s="140" t="s">
        <v>476</v>
      </c>
      <c r="B2274" s="140" t="s">
        <v>429</v>
      </c>
      <c r="C2274" s="171">
        <v>45704</v>
      </c>
      <c r="D2274" s="172" t="s">
        <v>15</v>
      </c>
      <c r="E2274" s="173" t="s">
        <v>13</v>
      </c>
      <c r="F2274" s="140" t="s">
        <v>14</v>
      </c>
      <c r="G2274" s="140" t="s">
        <v>14</v>
      </c>
      <c r="H2274" s="140" t="s">
        <v>14</v>
      </c>
      <c r="I2274" s="140" t="s">
        <v>14</v>
      </c>
      <c r="J2274" s="174"/>
    </row>
    <row r="2275" hidden="1" customHeight="1" spans="1:10">
      <c r="A2275" s="140" t="s">
        <v>476</v>
      </c>
      <c r="B2275" s="140" t="s">
        <v>429</v>
      </c>
      <c r="C2275" s="171">
        <v>45705</v>
      </c>
      <c r="D2275" s="172" t="s">
        <v>16</v>
      </c>
      <c r="E2275" s="140" t="s">
        <v>19</v>
      </c>
      <c r="F2275" s="140" t="s">
        <v>51</v>
      </c>
      <c r="G2275" s="140" t="s">
        <v>21</v>
      </c>
      <c r="H2275" s="140" t="s">
        <v>35</v>
      </c>
      <c r="I2275" s="140" t="s">
        <v>21</v>
      </c>
      <c r="J2275" s="174"/>
    </row>
    <row r="2276" hidden="1" customHeight="1" spans="1:10">
      <c r="A2276" s="140" t="s">
        <v>476</v>
      </c>
      <c r="B2276" s="140" t="s">
        <v>429</v>
      </c>
      <c r="C2276" s="171">
        <v>45706</v>
      </c>
      <c r="D2276" s="172" t="s">
        <v>17</v>
      </c>
      <c r="E2276" s="140" t="s">
        <v>19</v>
      </c>
      <c r="F2276" s="140" t="s">
        <v>51</v>
      </c>
      <c r="G2276" s="140" t="s">
        <v>21</v>
      </c>
      <c r="H2276" s="140" t="s">
        <v>80</v>
      </c>
      <c r="I2276" s="140" t="s">
        <v>21</v>
      </c>
      <c r="J2276" s="174"/>
    </row>
    <row r="2277" hidden="1" customHeight="1" spans="1:10">
      <c r="A2277" s="140" t="s">
        <v>476</v>
      </c>
      <c r="B2277" s="140" t="s">
        <v>429</v>
      </c>
      <c r="C2277" s="171">
        <v>45707</v>
      </c>
      <c r="D2277" s="172" t="s">
        <v>18</v>
      </c>
      <c r="E2277" s="140" t="s">
        <v>19</v>
      </c>
      <c r="F2277" s="140" t="s">
        <v>51</v>
      </c>
      <c r="G2277" s="140" t="s">
        <v>21</v>
      </c>
      <c r="H2277" s="140" t="s">
        <v>240</v>
      </c>
      <c r="I2277" s="140" t="s">
        <v>21</v>
      </c>
      <c r="J2277" s="174"/>
    </row>
    <row r="2278" hidden="1" customHeight="1" spans="1:10">
      <c r="A2278" s="140" t="s">
        <v>476</v>
      </c>
      <c r="B2278" s="140" t="s">
        <v>429</v>
      </c>
      <c r="C2278" s="171">
        <v>45708</v>
      </c>
      <c r="D2278" s="172" t="s">
        <v>23</v>
      </c>
      <c r="E2278" s="140" t="s">
        <v>19</v>
      </c>
      <c r="F2278" s="140" t="s">
        <v>33</v>
      </c>
      <c r="G2278" s="140" t="s">
        <v>21</v>
      </c>
      <c r="H2278" s="140" t="s">
        <v>475</v>
      </c>
      <c r="I2278" s="140" t="s">
        <v>21</v>
      </c>
      <c r="J2278" s="175"/>
    </row>
    <row r="2279" hidden="1" customHeight="1" spans="1:10">
      <c r="A2279" s="140" t="s">
        <v>476</v>
      </c>
      <c r="B2279" s="140" t="s">
        <v>429</v>
      </c>
      <c r="C2279" s="171">
        <v>45709</v>
      </c>
      <c r="D2279" s="172" t="s">
        <v>25</v>
      </c>
      <c r="E2279" s="140" t="s">
        <v>19</v>
      </c>
      <c r="F2279" s="140" t="s">
        <v>33</v>
      </c>
      <c r="G2279" s="140" t="s">
        <v>21</v>
      </c>
      <c r="H2279" s="140" t="s">
        <v>124</v>
      </c>
      <c r="I2279" s="140" t="s">
        <v>21</v>
      </c>
      <c r="J2279" s="174"/>
    </row>
    <row r="2280" hidden="1" customHeight="1" spans="1:10">
      <c r="A2280" s="140" t="s">
        <v>476</v>
      </c>
      <c r="B2280" s="140" t="s">
        <v>429</v>
      </c>
      <c r="C2280" s="171">
        <v>45710</v>
      </c>
      <c r="D2280" s="172" t="s">
        <v>27</v>
      </c>
      <c r="E2280" s="173" t="s">
        <v>13</v>
      </c>
      <c r="F2280" s="140" t="s">
        <v>14</v>
      </c>
      <c r="G2280" s="140" t="s">
        <v>14</v>
      </c>
      <c r="H2280" s="140" t="s">
        <v>14</v>
      </c>
      <c r="I2280" s="140" t="s">
        <v>14</v>
      </c>
      <c r="J2280" s="174"/>
    </row>
    <row r="2281" hidden="1" customHeight="1" spans="1:10">
      <c r="A2281" s="140" t="s">
        <v>476</v>
      </c>
      <c r="B2281" s="140" t="s">
        <v>429</v>
      </c>
      <c r="C2281" s="171">
        <v>45711</v>
      </c>
      <c r="D2281" s="172" t="s">
        <v>15</v>
      </c>
      <c r="E2281" s="173" t="s">
        <v>13</v>
      </c>
      <c r="F2281" s="140" t="s">
        <v>14</v>
      </c>
      <c r="G2281" s="140" t="s">
        <v>14</v>
      </c>
      <c r="H2281" s="140" t="s">
        <v>14</v>
      </c>
      <c r="I2281" s="140" t="s">
        <v>14</v>
      </c>
      <c r="J2281" s="174"/>
    </row>
    <row r="2282" hidden="1" customHeight="1" spans="1:10">
      <c r="A2282" s="140" t="s">
        <v>476</v>
      </c>
      <c r="B2282" s="140" t="s">
        <v>429</v>
      </c>
      <c r="C2282" s="171">
        <v>45712</v>
      </c>
      <c r="D2282" s="172" t="s">
        <v>16</v>
      </c>
      <c r="E2282" s="140" t="s">
        <v>19</v>
      </c>
      <c r="F2282" s="140" t="s">
        <v>195</v>
      </c>
      <c r="G2282" s="140" t="s">
        <v>21</v>
      </c>
      <c r="H2282" s="140" t="s">
        <v>130</v>
      </c>
      <c r="I2282" s="140" t="s">
        <v>21</v>
      </c>
      <c r="J2282" s="174"/>
    </row>
    <row r="2283" customHeight="1" spans="1:10">
      <c r="A2283" s="140" t="s">
        <v>476</v>
      </c>
      <c r="B2283" s="140" t="s">
        <v>429</v>
      </c>
      <c r="C2283" s="171">
        <v>45713</v>
      </c>
      <c r="D2283" s="172" t="s">
        <v>17</v>
      </c>
      <c r="E2283" s="140" t="s">
        <v>19</v>
      </c>
      <c r="F2283" s="140" t="s">
        <v>14</v>
      </c>
      <c r="G2283" s="176" t="s">
        <v>68</v>
      </c>
      <c r="H2283" s="140" t="s">
        <v>14</v>
      </c>
      <c r="I2283" s="176" t="s">
        <v>68</v>
      </c>
      <c r="J2283" s="174" t="s">
        <v>234</v>
      </c>
    </row>
    <row r="2284" hidden="1" customHeight="1" spans="1:10">
      <c r="A2284" s="140" t="s">
        <v>476</v>
      </c>
      <c r="B2284" s="140" t="s">
        <v>429</v>
      </c>
      <c r="C2284" s="171">
        <v>45714</v>
      </c>
      <c r="D2284" s="172" t="s">
        <v>18</v>
      </c>
      <c r="E2284" s="140" t="s">
        <v>19</v>
      </c>
      <c r="F2284" s="140" t="s">
        <v>193</v>
      </c>
      <c r="G2284" s="140" t="s">
        <v>21</v>
      </c>
      <c r="H2284" s="140" t="s">
        <v>24</v>
      </c>
      <c r="I2284" s="140" t="s">
        <v>21</v>
      </c>
      <c r="J2284" s="174"/>
    </row>
    <row r="2285" hidden="1" customHeight="1" spans="1:10">
      <c r="A2285" s="140" t="s">
        <v>476</v>
      </c>
      <c r="B2285" s="140" t="s">
        <v>429</v>
      </c>
      <c r="C2285" s="171">
        <v>45715</v>
      </c>
      <c r="D2285" s="172" t="s">
        <v>23</v>
      </c>
      <c r="E2285" s="140" t="s">
        <v>19</v>
      </c>
      <c r="F2285" s="140" t="s">
        <v>193</v>
      </c>
      <c r="G2285" s="140" t="s">
        <v>21</v>
      </c>
      <c r="H2285" s="140" t="s">
        <v>364</v>
      </c>
      <c r="I2285" s="140" t="s">
        <v>21</v>
      </c>
      <c r="J2285" s="174"/>
    </row>
    <row r="2286" hidden="1" customHeight="1" spans="1:10">
      <c r="A2286" s="140" t="s">
        <v>476</v>
      </c>
      <c r="B2286" s="140" t="s">
        <v>429</v>
      </c>
      <c r="C2286" s="171">
        <v>45716</v>
      </c>
      <c r="D2286" s="172" t="s">
        <v>25</v>
      </c>
      <c r="E2286" s="140" t="s">
        <v>19</v>
      </c>
      <c r="F2286" s="140" t="s">
        <v>51</v>
      </c>
      <c r="G2286" s="140" t="s">
        <v>21</v>
      </c>
      <c r="H2286" s="140" t="s">
        <v>172</v>
      </c>
      <c r="I2286" s="140" t="s">
        <v>21</v>
      </c>
      <c r="J2286" s="174"/>
    </row>
    <row r="2287" hidden="1" customHeight="1" spans="1:10">
      <c r="A2287" s="140" t="s">
        <v>478</v>
      </c>
      <c r="B2287" s="140" t="s">
        <v>429</v>
      </c>
      <c r="C2287" s="171">
        <v>45689</v>
      </c>
      <c r="D2287" s="172" t="s">
        <v>12</v>
      </c>
      <c r="E2287" s="173" t="s">
        <v>13</v>
      </c>
      <c r="F2287" s="140" t="s">
        <v>14</v>
      </c>
      <c r="G2287" s="140" t="s">
        <v>14</v>
      </c>
      <c r="H2287" s="140" t="s">
        <v>14</v>
      </c>
      <c r="I2287" s="140" t="s">
        <v>14</v>
      </c>
      <c r="J2287" s="174"/>
    </row>
    <row r="2288" hidden="1" customHeight="1" spans="1:10">
      <c r="A2288" s="140" t="s">
        <v>478</v>
      </c>
      <c r="B2288" s="140" t="s">
        <v>429</v>
      </c>
      <c r="C2288" s="171">
        <v>45690</v>
      </c>
      <c r="D2288" s="172" t="s">
        <v>15</v>
      </c>
      <c r="E2288" s="173" t="s">
        <v>13</v>
      </c>
      <c r="F2288" s="140" t="s">
        <v>14</v>
      </c>
      <c r="G2288" s="140" t="s">
        <v>14</v>
      </c>
      <c r="H2288" s="140" t="s">
        <v>14</v>
      </c>
      <c r="I2288" s="140" t="s">
        <v>14</v>
      </c>
      <c r="J2288" s="174"/>
    </row>
    <row r="2289" hidden="1" customHeight="1" spans="1:10">
      <c r="A2289" s="140" t="s">
        <v>478</v>
      </c>
      <c r="B2289" s="140" t="s">
        <v>429</v>
      </c>
      <c r="C2289" s="171">
        <v>45691</v>
      </c>
      <c r="D2289" s="172" t="s">
        <v>16</v>
      </c>
      <c r="E2289" s="173" t="s">
        <v>13</v>
      </c>
      <c r="F2289" s="140" t="s">
        <v>14</v>
      </c>
      <c r="G2289" s="140" t="s">
        <v>14</v>
      </c>
      <c r="H2289" s="140" t="s">
        <v>14</v>
      </c>
      <c r="I2289" s="140" t="s">
        <v>14</v>
      </c>
      <c r="J2289" s="174"/>
    </row>
    <row r="2290" hidden="1" customHeight="1" spans="1:10">
      <c r="A2290" s="140" t="s">
        <v>478</v>
      </c>
      <c r="B2290" s="140" t="s">
        <v>429</v>
      </c>
      <c r="C2290" s="171">
        <v>45692</v>
      </c>
      <c r="D2290" s="172" t="s">
        <v>17</v>
      </c>
      <c r="E2290" s="173" t="s">
        <v>13</v>
      </c>
      <c r="F2290" s="140" t="s">
        <v>14</v>
      </c>
      <c r="G2290" s="140" t="s">
        <v>14</v>
      </c>
      <c r="H2290" s="140" t="s">
        <v>14</v>
      </c>
      <c r="I2290" s="140" t="s">
        <v>14</v>
      </c>
      <c r="J2290" s="174"/>
    </row>
    <row r="2291" hidden="1" customHeight="1" spans="1:10">
      <c r="A2291" s="140" t="s">
        <v>478</v>
      </c>
      <c r="B2291" s="140" t="s">
        <v>429</v>
      </c>
      <c r="C2291" s="171">
        <v>45693</v>
      </c>
      <c r="D2291" s="172" t="s">
        <v>18</v>
      </c>
      <c r="E2291" s="140" t="s">
        <v>19</v>
      </c>
      <c r="F2291" s="140" t="s">
        <v>40</v>
      </c>
      <c r="G2291" s="140" t="s">
        <v>21</v>
      </c>
      <c r="H2291" s="140" t="s">
        <v>167</v>
      </c>
      <c r="I2291" s="140" t="s">
        <v>21</v>
      </c>
      <c r="J2291" s="174"/>
    </row>
    <row r="2292" hidden="1" customHeight="1" spans="1:10">
      <c r="A2292" s="140" t="s">
        <v>478</v>
      </c>
      <c r="B2292" s="140" t="s">
        <v>429</v>
      </c>
      <c r="C2292" s="171">
        <v>45694</v>
      </c>
      <c r="D2292" s="172" t="s">
        <v>23</v>
      </c>
      <c r="E2292" s="140" t="s">
        <v>19</v>
      </c>
      <c r="F2292" s="140" t="s">
        <v>146</v>
      </c>
      <c r="G2292" s="140" t="s">
        <v>21</v>
      </c>
      <c r="H2292" s="140" t="s">
        <v>123</v>
      </c>
      <c r="I2292" s="140" t="s">
        <v>21</v>
      </c>
      <c r="J2292" s="174"/>
    </row>
    <row r="2293" hidden="1" customHeight="1" spans="1:10">
      <c r="A2293" s="140" t="s">
        <v>478</v>
      </c>
      <c r="B2293" s="140" t="s">
        <v>429</v>
      </c>
      <c r="C2293" s="171">
        <v>45695</v>
      </c>
      <c r="D2293" s="172" t="s">
        <v>25</v>
      </c>
      <c r="E2293" s="140" t="s">
        <v>19</v>
      </c>
      <c r="F2293" s="140" t="s">
        <v>157</v>
      </c>
      <c r="G2293" s="140" t="s">
        <v>21</v>
      </c>
      <c r="H2293" s="140" t="s">
        <v>205</v>
      </c>
      <c r="I2293" s="140" t="s">
        <v>21</v>
      </c>
      <c r="J2293" s="175"/>
    </row>
    <row r="2294" hidden="1" customHeight="1" spans="1:10">
      <c r="A2294" s="140" t="s">
        <v>478</v>
      </c>
      <c r="B2294" s="140" t="s">
        <v>429</v>
      </c>
      <c r="C2294" s="171">
        <v>45696</v>
      </c>
      <c r="D2294" s="172" t="s">
        <v>27</v>
      </c>
      <c r="E2294" s="140" t="s">
        <v>19</v>
      </c>
      <c r="F2294" s="140" t="s">
        <v>46</v>
      </c>
      <c r="G2294" s="140" t="s">
        <v>21</v>
      </c>
      <c r="H2294" s="140" t="s">
        <v>122</v>
      </c>
      <c r="I2294" s="140" t="s">
        <v>21</v>
      </c>
      <c r="J2294" s="174"/>
    </row>
    <row r="2295" hidden="1" customHeight="1" spans="1:10">
      <c r="A2295" s="140" t="s">
        <v>478</v>
      </c>
      <c r="B2295" s="140" t="s">
        <v>429</v>
      </c>
      <c r="C2295" s="171">
        <v>45697</v>
      </c>
      <c r="D2295" s="172" t="s">
        <v>15</v>
      </c>
      <c r="E2295" s="173" t="s">
        <v>13</v>
      </c>
      <c r="F2295" s="140" t="s">
        <v>14</v>
      </c>
      <c r="G2295" s="140" t="s">
        <v>14</v>
      </c>
      <c r="H2295" s="140" t="s">
        <v>14</v>
      </c>
      <c r="I2295" s="140" t="s">
        <v>14</v>
      </c>
      <c r="J2295" s="174"/>
    </row>
    <row r="2296" hidden="1" customHeight="1" spans="1:10">
      <c r="A2296" s="140" t="s">
        <v>478</v>
      </c>
      <c r="B2296" s="140" t="s">
        <v>429</v>
      </c>
      <c r="C2296" s="171">
        <v>45698</v>
      </c>
      <c r="D2296" s="172" t="s">
        <v>16</v>
      </c>
      <c r="E2296" s="140" t="s">
        <v>19</v>
      </c>
      <c r="F2296" s="140" t="s">
        <v>154</v>
      </c>
      <c r="G2296" s="140" t="s">
        <v>21</v>
      </c>
      <c r="H2296" s="140" t="s">
        <v>35</v>
      </c>
      <c r="I2296" s="140" t="s">
        <v>21</v>
      </c>
      <c r="J2296" s="174"/>
    </row>
    <row r="2297" hidden="1" customHeight="1" spans="1:10">
      <c r="A2297" s="140" t="s">
        <v>478</v>
      </c>
      <c r="B2297" s="140" t="s">
        <v>429</v>
      </c>
      <c r="C2297" s="171">
        <v>45699</v>
      </c>
      <c r="D2297" s="172" t="s">
        <v>17</v>
      </c>
      <c r="E2297" s="140" t="s">
        <v>19</v>
      </c>
      <c r="F2297" s="140" t="s">
        <v>33</v>
      </c>
      <c r="G2297" s="140" t="s">
        <v>21</v>
      </c>
      <c r="H2297" s="140" t="s">
        <v>240</v>
      </c>
      <c r="I2297" s="140" t="s">
        <v>21</v>
      </c>
      <c r="J2297" s="175"/>
    </row>
    <row r="2298" hidden="1" customHeight="1" spans="1:10">
      <c r="A2298" s="140" t="s">
        <v>478</v>
      </c>
      <c r="B2298" s="140" t="s">
        <v>429</v>
      </c>
      <c r="C2298" s="171">
        <v>45700</v>
      </c>
      <c r="D2298" s="172" t="s">
        <v>18</v>
      </c>
      <c r="E2298" s="140" t="s">
        <v>19</v>
      </c>
      <c r="F2298" s="140" t="s">
        <v>46</v>
      </c>
      <c r="G2298" s="140" t="s">
        <v>21</v>
      </c>
      <c r="H2298" s="140" t="s">
        <v>215</v>
      </c>
      <c r="I2298" s="140" t="s">
        <v>21</v>
      </c>
      <c r="J2298" s="174"/>
    </row>
    <row r="2299" hidden="1" customHeight="1" spans="1:10">
      <c r="A2299" s="140" t="s">
        <v>478</v>
      </c>
      <c r="B2299" s="140" t="s">
        <v>429</v>
      </c>
      <c r="C2299" s="171">
        <v>45701</v>
      </c>
      <c r="D2299" s="172" t="s">
        <v>23</v>
      </c>
      <c r="E2299" s="140" t="s">
        <v>19</v>
      </c>
      <c r="F2299" s="140" t="s">
        <v>33</v>
      </c>
      <c r="G2299" s="140" t="s">
        <v>21</v>
      </c>
      <c r="H2299" s="140" t="s">
        <v>160</v>
      </c>
      <c r="I2299" s="140" t="s">
        <v>21</v>
      </c>
      <c r="J2299" s="174"/>
    </row>
    <row r="2300" hidden="1" customHeight="1" spans="1:10">
      <c r="A2300" s="140" t="s">
        <v>478</v>
      </c>
      <c r="B2300" s="140" t="s">
        <v>429</v>
      </c>
      <c r="C2300" s="171">
        <v>45702</v>
      </c>
      <c r="D2300" s="172" t="s">
        <v>25</v>
      </c>
      <c r="E2300" s="140" t="s">
        <v>19</v>
      </c>
      <c r="F2300" s="140" t="s">
        <v>157</v>
      </c>
      <c r="G2300" s="140" t="s">
        <v>21</v>
      </c>
      <c r="H2300" s="140" t="s">
        <v>71</v>
      </c>
      <c r="I2300" s="140" t="s">
        <v>21</v>
      </c>
      <c r="J2300" s="174"/>
    </row>
    <row r="2301" hidden="1" customHeight="1" spans="1:10">
      <c r="A2301" s="140" t="s">
        <v>478</v>
      </c>
      <c r="B2301" s="140" t="s">
        <v>429</v>
      </c>
      <c r="C2301" s="171">
        <v>45703</v>
      </c>
      <c r="D2301" s="172" t="s">
        <v>27</v>
      </c>
      <c r="E2301" s="173" t="s">
        <v>13</v>
      </c>
      <c r="F2301" s="140" t="s">
        <v>14</v>
      </c>
      <c r="G2301" s="140" t="s">
        <v>14</v>
      </c>
      <c r="H2301" s="140" t="s">
        <v>14</v>
      </c>
      <c r="I2301" s="140" t="s">
        <v>14</v>
      </c>
      <c r="J2301" s="174"/>
    </row>
    <row r="2302" hidden="1" customHeight="1" spans="1:10">
      <c r="A2302" s="140" t="s">
        <v>478</v>
      </c>
      <c r="B2302" s="140" t="s">
        <v>429</v>
      </c>
      <c r="C2302" s="171">
        <v>45704</v>
      </c>
      <c r="D2302" s="172" t="s">
        <v>15</v>
      </c>
      <c r="E2302" s="173" t="s">
        <v>13</v>
      </c>
      <c r="F2302" s="140" t="s">
        <v>14</v>
      </c>
      <c r="G2302" s="140" t="s">
        <v>14</v>
      </c>
      <c r="H2302" s="140" t="s">
        <v>14</v>
      </c>
      <c r="I2302" s="140" t="s">
        <v>14</v>
      </c>
      <c r="J2302" s="174"/>
    </row>
    <row r="2303" hidden="1" customHeight="1" spans="1:10">
      <c r="A2303" s="140" t="s">
        <v>478</v>
      </c>
      <c r="B2303" s="140" t="s">
        <v>429</v>
      </c>
      <c r="C2303" s="171">
        <v>45705</v>
      </c>
      <c r="D2303" s="172" t="s">
        <v>16</v>
      </c>
      <c r="E2303" s="140" t="s">
        <v>19</v>
      </c>
      <c r="F2303" s="140" t="s">
        <v>28</v>
      </c>
      <c r="G2303" s="140" t="s">
        <v>21</v>
      </c>
      <c r="H2303" s="140" t="s">
        <v>174</v>
      </c>
      <c r="I2303" s="140" t="s">
        <v>21</v>
      </c>
      <c r="J2303" s="175"/>
    </row>
    <row r="2304" hidden="1" customHeight="1" spans="1:10">
      <c r="A2304" s="140" t="s">
        <v>478</v>
      </c>
      <c r="B2304" s="140" t="s">
        <v>429</v>
      </c>
      <c r="C2304" s="171">
        <v>45706</v>
      </c>
      <c r="D2304" s="172" t="s">
        <v>17</v>
      </c>
      <c r="E2304" s="140" t="s">
        <v>19</v>
      </c>
      <c r="F2304" s="140" t="s">
        <v>33</v>
      </c>
      <c r="G2304" s="140" t="s">
        <v>21</v>
      </c>
      <c r="H2304" s="140" t="s">
        <v>96</v>
      </c>
      <c r="I2304" s="140" t="s">
        <v>21</v>
      </c>
      <c r="J2304" s="174"/>
    </row>
    <row r="2305" hidden="1" customHeight="1" spans="1:10">
      <c r="A2305" s="140" t="s">
        <v>478</v>
      </c>
      <c r="B2305" s="140" t="s">
        <v>429</v>
      </c>
      <c r="C2305" s="171">
        <v>45707</v>
      </c>
      <c r="D2305" s="172" t="s">
        <v>18</v>
      </c>
      <c r="E2305" s="140" t="s">
        <v>19</v>
      </c>
      <c r="F2305" s="140" t="s">
        <v>33</v>
      </c>
      <c r="G2305" s="140" t="s">
        <v>21</v>
      </c>
      <c r="H2305" s="140" t="s">
        <v>178</v>
      </c>
      <c r="I2305" s="140" t="s">
        <v>21</v>
      </c>
      <c r="J2305" s="174"/>
    </row>
    <row r="2306" hidden="1" customHeight="1" spans="1:10">
      <c r="A2306" s="140" t="s">
        <v>478</v>
      </c>
      <c r="B2306" s="140" t="s">
        <v>429</v>
      </c>
      <c r="C2306" s="171">
        <v>45708</v>
      </c>
      <c r="D2306" s="172" t="s">
        <v>23</v>
      </c>
      <c r="E2306" s="140" t="s">
        <v>19</v>
      </c>
      <c r="F2306" s="140" t="s">
        <v>28</v>
      </c>
      <c r="G2306" s="140" t="s">
        <v>21</v>
      </c>
      <c r="H2306" s="140" t="s">
        <v>35</v>
      </c>
      <c r="I2306" s="140" t="s">
        <v>21</v>
      </c>
      <c r="J2306" s="174"/>
    </row>
    <row r="2307" hidden="1" customHeight="1" spans="1:10">
      <c r="A2307" s="140" t="s">
        <v>478</v>
      </c>
      <c r="B2307" s="140" t="s">
        <v>429</v>
      </c>
      <c r="C2307" s="171">
        <v>45709</v>
      </c>
      <c r="D2307" s="172" t="s">
        <v>25</v>
      </c>
      <c r="E2307" s="140" t="s">
        <v>19</v>
      </c>
      <c r="F2307" s="140" t="s">
        <v>157</v>
      </c>
      <c r="G2307" s="140" t="s">
        <v>21</v>
      </c>
      <c r="H2307" s="140" t="s">
        <v>205</v>
      </c>
      <c r="I2307" s="140" t="s">
        <v>21</v>
      </c>
      <c r="J2307" s="174"/>
    </row>
    <row r="2308" hidden="1" customHeight="1" spans="1:10">
      <c r="A2308" s="140" t="s">
        <v>478</v>
      </c>
      <c r="B2308" s="140" t="s">
        <v>429</v>
      </c>
      <c r="C2308" s="171">
        <v>45710</v>
      </c>
      <c r="D2308" s="172" t="s">
        <v>27</v>
      </c>
      <c r="E2308" s="173" t="s">
        <v>13</v>
      </c>
      <c r="F2308" s="140" t="s">
        <v>14</v>
      </c>
      <c r="G2308" s="140" t="s">
        <v>14</v>
      </c>
      <c r="H2308" s="140" t="s">
        <v>14</v>
      </c>
      <c r="I2308" s="140" t="s">
        <v>14</v>
      </c>
      <c r="J2308" s="174"/>
    </row>
    <row r="2309" hidden="1" customHeight="1" spans="1:10">
      <c r="A2309" s="140" t="s">
        <v>478</v>
      </c>
      <c r="B2309" s="140" t="s">
        <v>429</v>
      </c>
      <c r="C2309" s="171">
        <v>45711</v>
      </c>
      <c r="D2309" s="172" t="s">
        <v>15</v>
      </c>
      <c r="E2309" s="173" t="s">
        <v>13</v>
      </c>
      <c r="F2309" s="140" t="s">
        <v>14</v>
      </c>
      <c r="G2309" s="140" t="s">
        <v>14</v>
      </c>
      <c r="H2309" s="140" t="s">
        <v>14</v>
      </c>
      <c r="I2309" s="140" t="s">
        <v>14</v>
      </c>
      <c r="J2309" s="174"/>
    </row>
    <row r="2310" hidden="1" customHeight="1" spans="1:10">
      <c r="A2310" s="140" t="s">
        <v>478</v>
      </c>
      <c r="B2310" s="140" t="s">
        <v>429</v>
      </c>
      <c r="C2310" s="171">
        <v>45712</v>
      </c>
      <c r="D2310" s="172" t="s">
        <v>16</v>
      </c>
      <c r="E2310" s="140" t="s">
        <v>19</v>
      </c>
      <c r="F2310" s="140" t="s">
        <v>154</v>
      </c>
      <c r="G2310" s="140" t="s">
        <v>21</v>
      </c>
      <c r="H2310" s="140" t="s">
        <v>31</v>
      </c>
      <c r="I2310" s="140" t="s">
        <v>21</v>
      </c>
      <c r="J2310" s="174"/>
    </row>
    <row r="2311" hidden="1" customHeight="1" spans="1:10">
      <c r="A2311" s="140" t="s">
        <v>478</v>
      </c>
      <c r="B2311" s="140" t="s">
        <v>429</v>
      </c>
      <c r="C2311" s="171">
        <v>45713</v>
      </c>
      <c r="D2311" s="172" t="s">
        <v>17</v>
      </c>
      <c r="E2311" s="140" t="s">
        <v>19</v>
      </c>
      <c r="F2311" s="140" t="s">
        <v>33</v>
      </c>
      <c r="G2311" s="140" t="s">
        <v>21</v>
      </c>
      <c r="H2311" s="140" t="s">
        <v>167</v>
      </c>
      <c r="I2311" s="140" t="s">
        <v>21</v>
      </c>
      <c r="J2311" s="174"/>
    </row>
    <row r="2312" hidden="1" customHeight="1" spans="1:10">
      <c r="A2312" s="140" t="s">
        <v>478</v>
      </c>
      <c r="B2312" s="140" t="s">
        <v>429</v>
      </c>
      <c r="C2312" s="171">
        <v>45714</v>
      </c>
      <c r="D2312" s="172" t="s">
        <v>18</v>
      </c>
      <c r="E2312" s="140" t="s">
        <v>19</v>
      </c>
      <c r="F2312" s="140" t="s">
        <v>30</v>
      </c>
      <c r="G2312" s="140" t="s">
        <v>21</v>
      </c>
      <c r="H2312" s="140" t="s">
        <v>172</v>
      </c>
      <c r="I2312" s="140" t="s">
        <v>21</v>
      </c>
      <c r="J2312" s="175"/>
    </row>
    <row r="2313" hidden="1" customHeight="1" spans="1:10">
      <c r="A2313" s="140" t="s">
        <v>478</v>
      </c>
      <c r="B2313" s="140" t="s">
        <v>429</v>
      </c>
      <c r="C2313" s="171">
        <v>45715</v>
      </c>
      <c r="D2313" s="172" t="s">
        <v>23</v>
      </c>
      <c r="E2313" s="140" t="s">
        <v>19</v>
      </c>
      <c r="F2313" s="140" t="s">
        <v>157</v>
      </c>
      <c r="G2313" s="140" t="s">
        <v>21</v>
      </c>
      <c r="H2313" s="140" t="s">
        <v>31</v>
      </c>
      <c r="I2313" s="140" t="s">
        <v>21</v>
      </c>
      <c r="J2313" s="174"/>
    </row>
    <row r="2314" hidden="1" customHeight="1" spans="1:10">
      <c r="A2314" s="140" t="s">
        <v>478</v>
      </c>
      <c r="B2314" s="140" t="s">
        <v>429</v>
      </c>
      <c r="C2314" s="171">
        <v>45716</v>
      </c>
      <c r="D2314" s="172" t="s">
        <v>25</v>
      </c>
      <c r="E2314" s="140" t="s">
        <v>19</v>
      </c>
      <c r="F2314" s="140" t="s">
        <v>30</v>
      </c>
      <c r="G2314" s="140" t="s">
        <v>21</v>
      </c>
      <c r="H2314" s="140" t="s">
        <v>200</v>
      </c>
      <c r="I2314" s="140" t="s">
        <v>21</v>
      </c>
      <c r="J2314" s="174"/>
    </row>
    <row r="2315" hidden="1" customHeight="1" spans="1:10">
      <c r="A2315" s="140" t="s">
        <v>479</v>
      </c>
      <c r="B2315" s="140" t="s">
        <v>398</v>
      </c>
      <c r="C2315" s="171">
        <v>45689</v>
      </c>
      <c r="D2315" s="172" t="s">
        <v>12</v>
      </c>
      <c r="E2315" s="173" t="s">
        <v>13</v>
      </c>
      <c r="F2315" s="140" t="s">
        <v>14</v>
      </c>
      <c r="G2315" s="140" t="s">
        <v>14</v>
      </c>
      <c r="H2315" s="140" t="s">
        <v>14</v>
      </c>
      <c r="I2315" s="140" t="s">
        <v>14</v>
      </c>
      <c r="J2315" s="174"/>
    </row>
    <row r="2316" hidden="1" customHeight="1" spans="1:10">
      <c r="A2316" s="140" t="s">
        <v>479</v>
      </c>
      <c r="B2316" s="140" t="s">
        <v>398</v>
      </c>
      <c r="C2316" s="171">
        <v>45690</v>
      </c>
      <c r="D2316" s="172" t="s">
        <v>15</v>
      </c>
      <c r="E2316" s="173" t="s">
        <v>13</v>
      </c>
      <c r="F2316" s="140" t="s">
        <v>14</v>
      </c>
      <c r="G2316" s="140" t="s">
        <v>14</v>
      </c>
      <c r="H2316" s="140" t="s">
        <v>14</v>
      </c>
      <c r="I2316" s="140" t="s">
        <v>14</v>
      </c>
      <c r="J2316" s="174"/>
    </row>
    <row r="2317" hidden="1" customHeight="1" spans="1:10">
      <c r="A2317" s="140" t="s">
        <v>479</v>
      </c>
      <c r="B2317" s="140" t="s">
        <v>398</v>
      </c>
      <c r="C2317" s="171">
        <v>45691</v>
      </c>
      <c r="D2317" s="172" t="s">
        <v>16</v>
      </c>
      <c r="E2317" s="173" t="s">
        <v>13</v>
      </c>
      <c r="F2317" s="140" t="s">
        <v>14</v>
      </c>
      <c r="G2317" s="140" t="s">
        <v>14</v>
      </c>
      <c r="H2317" s="140" t="s">
        <v>14</v>
      </c>
      <c r="I2317" s="140" t="s">
        <v>14</v>
      </c>
      <c r="J2317" s="174"/>
    </row>
    <row r="2318" hidden="1" customHeight="1" spans="1:10">
      <c r="A2318" s="140" t="s">
        <v>479</v>
      </c>
      <c r="B2318" s="140" t="s">
        <v>398</v>
      </c>
      <c r="C2318" s="171">
        <v>45692</v>
      </c>
      <c r="D2318" s="172" t="s">
        <v>17</v>
      </c>
      <c r="E2318" s="173" t="s">
        <v>13</v>
      </c>
      <c r="F2318" s="140" t="s">
        <v>14</v>
      </c>
      <c r="G2318" s="140" t="s">
        <v>14</v>
      </c>
      <c r="H2318" s="140" t="s">
        <v>14</v>
      </c>
      <c r="I2318" s="140" t="s">
        <v>14</v>
      </c>
      <c r="J2318" s="174"/>
    </row>
    <row r="2319" hidden="1" customHeight="1" spans="1:10">
      <c r="A2319" s="140" t="s">
        <v>479</v>
      </c>
      <c r="B2319" s="140" t="s">
        <v>398</v>
      </c>
      <c r="C2319" s="171">
        <v>45693</v>
      </c>
      <c r="D2319" s="172" t="s">
        <v>18</v>
      </c>
      <c r="E2319" s="140" t="s">
        <v>19</v>
      </c>
      <c r="F2319" s="140" t="s">
        <v>157</v>
      </c>
      <c r="G2319" s="140" t="s">
        <v>21</v>
      </c>
      <c r="H2319" s="140" t="s">
        <v>175</v>
      </c>
      <c r="I2319" s="140" t="s">
        <v>21</v>
      </c>
      <c r="J2319" s="174"/>
    </row>
    <row r="2320" hidden="1" customHeight="1" spans="1:10">
      <c r="A2320" s="140" t="s">
        <v>479</v>
      </c>
      <c r="B2320" s="140" t="s">
        <v>398</v>
      </c>
      <c r="C2320" s="171">
        <v>45694</v>
      </c>
      <c r="D2320" s="172" t="s">
        <v>23</v>
      </c>
      <c r="E2320" s="140" t="s">
        <v>19</v>
      </c>
      <c r="F2320" s="140" t="s">
        <v>28</v>
      </c>
      <c r="G2320" s="140" t="s">
        <v>21</v>
      </c>
      <c r="H2320" s="140" t="s">
        <v>50</v>
      </c>
      <c r="I2320" s="140" t="s">
        <v>21</v>
      </c>
      <c r="J2320" s="174"/>
    </row>
    <row r="2321" hidden="1" customHeight="1" spans="1:10">
      <c r="A2321" s="140" t="s">
        <v>479</v>
      </c>
      <c r="B2321" s="140" t="s">
        <v>398</v>
      </c>
      <c r="C2321" s="171">
        <v>45695</v>
      </c>
      <c r="D2321" s="172" t="s">
        <v>25</v>
      </c>
      <c r="E2321" s="140" t="s">
        <v>19</v>
      </c>
      <c r="F2321" s="140" t="s">
        <v>30</v>
      </c>
      <c r="G2321" s="140" t="s">
        <v>21</v>
      </c>
      <c r="H2321" s="140" t="s">
        <v>53</v>
      </c>
      <c r="I2321" s="140" t="s">
        <v>21</v>
      </c>
      <c r="J2321" s="174"/>
    </row>
    <row r="2322" hidden="1" customHeight="1" spans="1:10">
      <c r="A2322" s="140" t="s">
        <v>479</v>
      </c>
      <c r="B2322" s="140" t="s">
        <v>398</v>
      </c>
      <c r="C2322" s="171">
        <v>45696</v>
      </c>
      <c r="D2322" s="172" t="s">
        <v>27</v>
      </c>
      <c r="E2322" s="140" t="s">
        <v>19</v>
      </c>
      <c r="F2322" s="140" t="s">
        <v>90</v>
      </c>
      <c r="G2322" s="140" t="s">
        <v>21</v>
      </c>
      <c r="H2322" s="140" t="s">
        <v>170</v>
      </c>
      <c r="I2322" s="140" t="s">
        <v>21</v>
      </c>
      <c r="J2322" s="174"/>
    </row>
    <row r="2323" hidden="1" customHeight="1" spans="1:10">
      <c r="A2323" s="140" t="s">
        <v>479</v>
      </c>
      <c r="B2323" s="140" t="s">
        <v>398</v>
      </c>
      <c r="C2323" s="171">
        <v>45697</v>
      </c>
      <c r="D2323" s="172" t="s">
        <v>15</v>
      </c>
      <c r="E2323" s="173" t="s">
        <v>13</v>
      </c>
      <c r="F2323" s="140" t="s">
        <v>14</v>
      </c>
      <c r="G2323" s="140" t="s">
        <v>14</v>
      </c>
      <c r="H2323" s="140" t="s">
        <v>14</v>
      </c>
      <c r="I2323" s="140" t="s">
        <v>14</v>
      </c>
      <c r="J2323" s="175"/>
    </row>
    <row r="2324" hidden="1" customHeight="1" spans="1:10">
      <c r="A2324" s="140" t="s">
        <v>479</v>
      </c>
      <c r="B2324" s="140" t="s">
        <v>398</v>
      </c>
      <c r="C2324" s="171">
        <v>45698</v>
      </c>
      <c r="D2324" s="172" t="s">
        <v>16</v>
      </c>
      <c r="E2324" s="140" t="s">
        <v>19</v>
      </c>
      <c r="F2324" s="140" t="s">
        <v>30</v>
      </c>
      <c r="G2324" s="140" t="s">
        <v>21</v>
      </c>
      <c r="H2324" s="140" t="s">
        <v>168</v>
      </c>
      <c r="I2324" s="140" t="s">
        <v>21</v>
      </c>
      <c r="J2324" s="174"/>
    </row>
    <row r="2325" hidden="1" customHeight="1" spans="1:10">
      <c r="A2325" s="140" t="s">
        <v>479</v>
      </c>
      <c r="B2325" s="140" t="s">
        <v>398</v>
      </c>
      <c r="C2325" s="171">
        <v>45699</v>
      </c>
      <c r="D2325" s="172" t="s">
        <v>17</v>
      </c>
      <c r="E2325" s="140" t="s">
        <v>19</v>
      </c>
      <c r="F2325" s="140" t="s">
        <v>33</v>
      </c>
      <c r="G2325" s="140" t="s">
        <v>21</v>
      </c>
      <c r="H2325" s="140" t="s">
        <v>205</v>
      </c>
      <c r="I2325" s="140" t="s">
        <v>21</v>
      </c>
      <c r="J2325" s="174"/>
    </row>
    <row r="2326" hidden="1" customHeight="1" spans="1:10">
      <c r="A2326" s="140" t="s">
        <v>479</v>
      </c>
      <c r="B2326" s="140" t="s">
        <v>398</v>
      </c>
      <c r="C2326" s="171">
        <v>45700</v>
      </c>
      <c r="D2326" s="172" t="s">
        <v>18</v>
      </c>
      <c r="E2326" s="140" t="s">
        <v>19</v>
      </c>
      <c r="F2326" s="140" t="s">
        <v>28</v>
      </c>
      <c r="G2326" s="140" t="s">
        <v>21</v>
      </c>
      <c r="H2326" s="140" t="s">
        <v>213</v>
      </c>
      <c r="I2326" s="140" t="s">
        <v>21</v>
      </c>
      <c r="J2326" s="174"/>
    </row>
    <row r="2327" hidden="1" customHeight="1" spans="1:10">
      <c r="A2327" s="140" t="s">
        <v>479</v>
      </c>
      <c r="B2327" s="140" t="s">
        <v>398</v>
      </c>
      <c r="C2327" s="171">
        <v>45701</v>
      </c>
      <c r="D2327" s="172" t="s">
        <v>23</v>
      </c>
      <c r="E2327" s="140" t="s">
        <v>19</v>
      </c>
      <c r="F2327" s="140" t="s">
        <v>30</v>
      </c>
      <c r="G2327" s="140" t="s">
        <v>21</v>
      </c>
      <c r="H2327" s="140" t="s">
        <v>50</v>
      </c>
      <c r="I2327" s="140" t="s">
        <v>21</v>
      </c>
      <c r="J2327" s="174"/>
    </row>
    <row r="2328" hidden="1" customHeight="1" spans="1:10">
      <c r="A2328" s="140" t="s">
        <v>479</v>
      </c>
      <c r="B2328" s="140" t="s">
        <v>398</v>
      </c>
      <c r="C2328" s="171">
        <v>45702</v>
      </c>
      <c r="D2328" s="172" t="s">
        <v>25</v>
      </c>
      <c r="E2328" s="140" t="s">
        <v>19</v>
      </c>
      <c r="F2328" s="140" t="s">
        <v>30</v>
      </c>
      <c r="G2328" s="140" t="s">
        <v>21</v>
      </c>
      <c r="H2328" s="140" t="s">
        <v>175</v>
      </c>
      <c r="I2328" s="140" t="s">
        <v>21</v>
      </c>
      <c r="J2328" s="174"/>
    </row>
    <row r="2329" hidden="1" customHeight="1" spans="1:10">
      <c r="A2329" s="140" t="s">
        <v>479</v>
      </c>
      <c r="B2329" s="140" t="s">
        <v>398</v>
      </c>
      <c r="C2329" s="171">
        <v>45703</v>
      </c>
      <c r="D2329" s="172" t="s">
        <v>27</v>
      </c>
      <c r="E2329" s="173" t="s">
        <v>13</v>
      </c>
      <c r="F2329" s="140" t="s">
        <v>14</v>
      </c>
      <c r="G2329" s="140" t="s">
        <v>14</v>
      </c>
      <c r="H2329" s="140" t="s">
        <v>14</v>
      </c>
      <c r="I2329" s="140" t="s">
        <v>14</v>
      </c>
      <c r="J2329" s="174"/>
    </row>
    <row r="2330" hidden="1" customHeight="1" spans="1:10">
      <c r="A2330" s="140" t="s">
        <v>479</v>
      </c>
      <c r="B2330" s="140" t="s">
        <v>398</v>
      </c>
      <c r="C2330" s="171">
        <v>45704</v>
      </c>
      <c r="D2330" s="172" t="s">
        <v>15</v>
      </c>
      <c r="E2330" s="173" t="s">
        <v>13</v>
      </c>
      <c r="F2330" s="140" t="s">
        <v>14</v>
      </c>
      <c r="G2330" s="140" t="s">
        <v>14</v>
      </c>
      <c r="H2330" s="140" t="s">
        <v>14</v>
      </c>
      <c r="I2330" s="140" t="s">
        <v>14</v>
      </c>
      <c r="J2330" s="174"/>
    </row>
    <row r="2331" hidden="1" customHeight="1" spans="1:10">
      <c r="A2331" s="140" t="s">
        <v>479</v>
      </c>
      <c r="B2331" s="140" t="s">
        <v>398</v>
      </c>
      <c r="C2331" s="171">
        <v>45705</v>
      </c>
      <c r="D2331" s="172" t="s">
        <v>16</v>
      </c>
      <c r="E2331" s="140" t="s">
        <v>19</v>
      </c>
      <c r="F2331" s="140" t="s">
        <v>193</v>
      </c>
      <c r="G2331" s="140" t="s">
        <v>21</v>
      </c>
      <c r="H2331" s="140" t="s">
        <v>78</v>
      </c>
      <c r="I2331" s="140" t="s">
        <v>21</v>
      </c>
      <c r="J2331" s="174"/>
    </row>
    <row r="2332" hidden="1" customHeight="1" spans="1:10">
      <c r="A2332" s="140" t="s">
        <v>479</v>
      </c>
      <c r="B2332" s="140" t="s">
        <v>398</v>
      </c>
      <c r="C2332" s="171">
        <v>45706</v>
      </c>
      <c r="D2332" s="172" t="s">
        <v>17</v>
      </c>
      <c r="E2332" s="140" t="s">
        <v>19</v>
      </c>
      <c r="F2332" s="140" t="s">
        <v>154</v>
      </c>
      <c r="G2332" s="140" t="s">
        <v>21</v>
      </c>
      <c r="H2332" s="140" t="s">
        <v>239</v>
      </c>
      <c r="I2332" s="140" t="s">
        <v>21</v>
      </c>
      <c r="J2332" s="174"/>
    </row>
    <row r="2333" hidden="1" customHeight="1" spans="1:10">
      <c r="A2333" s="140" t="s">
        <v>479</v>
      </c>
      <c r="B2333" s="140" t="s">
        <v>398</v>
      </c>
      <c r="C2333" s="171">
        <v>45707</v>
      </c>
      <c r="D2333" s="172" t="s">
        <v>18</v>
      </c>
      <c r="E2333" s="140" t="s">
        <v>19</v>
      </c>
      <c r="F2333" s="140" t="s">
        <v>139</v>
      </c>
      <c r="G2333" s="140" t="s">
        <v>21</v>
      </c>
      <c r="H2333" s="140" t="s">
        <v>213</v>
      </c>
      <c r="I2333" s="140" t="s">
        <v>21</v>
      </c>
      <c r="J2333" s="174"/>
    </row>
    <row r="2334" hidden="1" customHeight="1" spans="1:10">
      <c r="A2334" s="140" t="s">
        <v>479</v>
      </c>
      <c r="B2334" s="140" t="s">
        <v>398</v>
      </c>
      <c r="C2334" s="171">
        <v>45708</v>
      </c>
      <c r="D2334" s="172" t="s">
        <v>23</v>
      </c>
      <c r="E2334" s="140" t="s">
        <v>19</v>
      </c>
      <c r="F2334" s="140" t="s">
        <v>157</v>
      </c>
      <c r="G2334" s="140" t="s">
        <v>21</v>
      </c>
      <c r="H2334" s="140" t="s">
        <v>78</v>
      </c>
      <c r="I2334" s="140" t="s">
        <v>21</v>
      </c>
      <c r="J2334" s="174"/>
    </row>
    <row r="2335" hidden="1" customHeight="1" spans="1:10">
      <c r="A2335" s="140" t="s">
        <v>479</v>
      </c>
      <c r="B2335" s="140" t="s">
        <v>398</v>
      </c>
      <c r="C2335" s="171">
        <v>45709</v>
      </c>
      <c r="D2335" s="172" t="s">
        <v>25</v>
      </c>
      <c r="E2335" s="140" t="s">
        <v>19</v>
      </c>
      <c r="F2335" s="140" t="s">
        <v>154</v>
      </c>
      <c r="G2335" s="140" t="s">
        <v>21</v>
      </c>
      <c r="H2335" s="140" t="s">
        <v>191</v>
      </c>
      <c r="I2335" s="140" t="s">
        <v>21</v>
      </c>
      <c r="J2335" s="174"/>
    </row>
    <row r="2336" hidden="1" customHeight="1" spans="1:10">
      <c r="A2336" s="140" t="s">
        <v>479</v>
      </c>
      <c r="B2336" s="140" t="s">
        <v>398</v>
      </c>
      <c r="C2336" s="171">
        <v>45710</v>
      </c>
      <c r="D2336" s="172" t="s">
        <v>27</v>
      </c>
      <c r="E2336" s="173" t="s">
        <v>13</v>
      </c>
      <c r="F2336" s="140" t="s">
        <v>14</v>
      </c>
      <c r="G2336" s="140" t="s">
        <v>14</v>
      </c>
      <c r="H2336" s="140" t="s">
        <v>14</v>
      </c>
      <c r="I2336" s="140" t="s">
        <v>14</v>
      </c>
      <c r="J2336" s="174"/>
    </row>
    <row r="2337" hidden="1" customHeight="1" spans="1:10">
      <c r="A2337" s="140" t="s">
        <v>479</v>
      </c>
      <c r="B2337" s="140" t="s">
        <v>398</v>
      </c>
      <c r="C2337" s="171">
        <v>45711</v>
      </c>
      <c r="D2337" s="172" t="s">
        <v>15</v>
      </c>
      <c r="E2337" s="173" t="s">
        <v>13</v>
      </c>
      <c r="F2337" s="140" t="s">
        <v>14</v>
      </c>
      <c r="G2337" s="140" t="s">
        <v>14</v>
      </c>
      <c r="H2337" s="140" t="s">
        <v>14</v>
      </c>
      <c r="I2337" s="140" t="s">
        <v>14</v>
      </c>
      <c r="J2337" s="174"/>
    </row>
    <row r="2338" hidden="1" customHeight="1" spans="1:10">
      <c r="A2338" s="140" t="s">
        <v>479</v>
      </c>
      <c r="B2338" s="140" t="s">
        <v>398</v>
      </c>
      <c r="C2338" s="171">
        <v>45712</v>
      </c>
      <c r="D2338" s="172" t="s">
        <v>16</v>
      </c>
      <c r="E2338" s="140" t="s">
        <v>19</v>
      </c>
      <c r="F2338" s="140" t="s">
        <v>188</v>
      </c>
      <c r="G2338" s="140" t="s">
        <v>21</v>
      </c>
      <c r="H2338" s="140" t="s">
        <v>45</v>
      </c>
      <c r="I2338" s="140" t="s">
        <v>21</v>
      </c>
      <c r="J2338" s="174"/>
    </row>
    <row r="2339" hidden="1" customHeight="1" spans="1:10">
      <c r="A2339" s="140" t="s">
        <v>479</v>
      </c>
      <c r="B2339" s="140" t="s">
        <v>398</v>
      </c>
      <c r="C2339" s="171">
        <v>45713</v>
      </c>
      <c r="D2339" s="172" t="s">
        <v>17</v>
      </c>
      <c r="E2339" s="140" t="s">
        <v>19</v>
      </c>
      <c r="F2339" s="140" t="s">
        <v>150</v>
      </c>
      <c r="G2339" s="140" t="s">
        <v>21</v>
      </c>
      <c r="H2339" s="140" t="s">
        <v>191</v>
      </c>
      <c r="I2339" s="140" t="s">
        <v>21</v>
      </c>
      <c r="J2339" s="174"/>
    </row>
    <row r="2340" hidden="1" customHeight="1" spans="1:10">
      <c r="A2340" s="140" t="s">
        <v>479</v>
      </c>
      <c r="B2340" s="140" t="s">
        <v>398</v>
      </c>
      <c r="C2340" s="171">
        <v>45714</v>
      </c>
      <c r="D2340" s="172" t="s">
        <v>18</v>
      </c>
      <c r="E2340" s="140" t="s">
        <v>19</v>
      </c>
      <c r="F2340" s="140" t="s">
        <v>150</v>
      </c>
      <c r="G2340" s="140" t="s">
        <v>21</v>
      </c>
      <c r="H2340" s="140" t="s">
        <v>200</v>
      </c>
      <c r="I2340" s="140" t="s">
        <v>21</v>
      </c>
      <c r="J2340" s="174"/>
    </row>
    <row r="2341" hidden="1" customHeight="1" spans="1:10">
      <c r="A2341" s="140" t="s">
        <v>479</v>
      </c>
      <c r="B2341" s="140" t="s">
        <v>398</v>
      </c>
      <c r="C2341" s="171">
        <v>45715</v>
      </c>
      <c r="D2341" s="172" t="s">
        <v>23</v>
      </c>
      <c r="E2341" s="140" t="s">
        <v>19</v>
      </c>
      <c r="F2341" s="140" t="s">
        <v>193</v>
      </c>
      <c r="G2341" s="140" t="s">
        <v>21</v>
      </c>
      <c r="H2341" s="140" t="s">
        <v>50</v>
      </c>
      <c r="I2341" s="140" t="s">
        <v>21</v>
      </c>
      <c r="J2341" s="174"/>
    </row>
    <row r="2342" hidden="1" customHeight="1" spans="1:10">
      <c r="A2342" s="140" t="s">
        <v>479</v>
      </c>
      <c r="B2342" s="140" t="s">
        <v>398</v>
      </c>
      <c r="C2342" s="171">
        <v>45716</v>
      </c>
      <c r="D2342" s="172" t="s">
        <v>25</v>
      </c>
      <c r="E2342" s="140" t="s">
        <v>19</v>
      </c>
      <c r="F2342" s="140" t="s">
        <v>188</v>
      </c>
      <c r="G2342" s="140" t="s">
        <v>21</v>
      </c>
      <c r="H2342" s="140" t="s">
        <v>210</v>
      </c>
      <c r="I2342" s="140" t="s">
        <v>21</v>
      </c>
      <c r="J2342" s="174"/>
    </row>
    <row r="2343" hidden="1" customHeight="1" spans="1:10">
      <c r="A2343" s="140" t="s">
        <v>480</v>
      </c>
      <c r="B2343" s="140" t="s">
        <v>318</v>
      </c>
      <c r="C2343" s="171">
        <v>45689</v>
      </c>
      <c r="D2343" s="172" t="s">
        <v>12</v>
      </c>
      <c r="E2343" s="173" t="s">
        <v>13</v>
      </c>
      <c r="F2343" s="140" t="s">
        <v>14</v>
      </c>
      <c r="G2343" s="140" t="s">
        <v>14</v>
      </c>
      <c r="H2343" s="140" t="s">
        <v>14</v>
      </c>
      <c r="I2343" s="140" t="s">
        <v>14</v>
      </c>
      <c r="J2343" s="174"/>
    </row>
    <row r="2344" hidden="1" customHeight="1" spans="1:10">
      <c r="A2344" s="140" t="s">
        <v>480</v>
      </c>
      <c r="B2344" s="140" t="s">
        <v>318</v>
      </c>
      <c r="C2344" s="171">
        <v>45690</v>
      </c>
      <c r="D2344" s="172" t="s">
        <v>15</v>
      </c>
      <c r="E2344" s="173" t="s">
        <v>13</v>
      </c>
      <c r="F2344" s="140" t="s">
        <v>14</v>
      </c>
      <c r="G2344" s="140" t="s">
        <v>14</v>
      </c>
      <c r="H2344" s="140" t="s">
        <v>14</v>
      </c>
      <c r="I2344" s="140" t="s">
        <v>14</v>
      </c>
      <c r="J2344" s="174"/>
    </row>
    <row r="2345" hidden="1" customHeight="1" spans="1:10">
      <c r="A2345" s="140" t="s">
        <v>480</v>
      </c>
      <c r="B2345" s="140" t="s">
        <v>318</v>
      </c>
      <c r="C2345" s="171">
        <v>45691</v>
      </c>
      <c r="D2345" s="172" t="s">
        <v>16</v>
      </c>
      <c r="E2345" s="173" t="s">
        <v>13</v>
      </c>
      <c r="F2345" s="140" t="s">
        <v>14</v>
      </c>
      <c r="G2345" s="140" t="s">
        <v>14</v>
      </c>
      <c r="H2345" s="140" t="s">
        <v>14</v>
      </c>
      <c r="I2345" s="140" t="s">
        <v>14</v>
      </c>
      <c r="J2345" s="174"/>
    </row>
    <row r="2346" hidden="1" customHeight="1" spans="1:10">
      <c r="A2346" s="140" t="s">
        <v>480</v>
      </c>
      <c r="B2346" s="140" t="s">
        <v>318</v>
      </c>
      <c r="C2346" s="171">
        <v>45692</v>
      </c>
      <c r="D2346" s="172" t="s">
        <v>17</v>
      </c>
      <c r="E2346" s="173" t="s">
        <v>13</v>
      </c>
      <c r="F2346" s="140" t="s">
        <v>14</v>
      </c>
      <c r="G2346" s="140" t="s">
        <v>14</v>
      </c>
      <c r="H2346" s="140" t="s">
        <v>14</v>
      </c>
      <c r="I2346" s="140" t="s">
        <v>14</v>
      </c>
      <c r="J2346" s="174"/>
    </row>
    <row r="2347" hidden="1" customHeight="1" spans="1:10">
      <c r="A2347" s="140" t="s">
        <v>480</v>
      </c>
      <c r="B2347" s="140" t="s">
        <v>318</v>
      </c>
      <c r="C2347" s="171">
        <v>45693</v>
      </c>
      <c r="D2347" s="172" t="s">
        <v>18</v>
      </c>
      <c r="E2347" s="140" t="s">
        <v>19</v>
      </c>
      <c r="F2347" s="140" t="s">
        <v>379</v>
      </c>
      <c r="G2347" s="140" t="s">
        <v>21</v>
      </c>
      <c r="H2347" s="140" t="s">
        <v>55</v>
      </c>
      <c r="I2347" s="140" t="s">
        <v>21</v>
      </c>
      <c r="J2347" s="174"/>
    </row>
    <row r="2348" hidden="1" customHeight="1" spans="1:10">
      <c r="A2348" s="140" t="s">
        <v>480</v>
      </c>
      <c r="B2348" s="140" t="s">
        <v>318</v>
      </c>
      <c r="C2348" s="171">
        <v>45694</v>
      </c>
      <c r="D2348" s="172" t="s">
        <v>23</v>
      </c>
      <c r="E2348" s="140" t="s">
        <v>19</v>
      </c>
      <c r="F2348" s="140" t="s">
        <v>94</v>
      </c>
      <c r="G2348" s="140" t="s">
        <v>21</v>
      </c>
      <c r="H2348" s="140" t="s">
        <v>481</v>
      </c>
      <c r="I2348" s="140" t="s">
        <v>21</v>
      </c>
      <c r="J2348" s="174"/>
    </row>
    <row r="2349" hidden="1" customHeight="1" spans="1:10">
      <c r="A2349" s="140" t="s">
        <v>480</v>
      </c>
      <c r="B2349" s="140" t="s">
        <v>318</v>
      </c>
      <c r="C2349" s="171">
        <v>45695</v>
      </c>
      <c r="D2349" s="172" t="s">
        <v>25</v>
      </c>
      <c r="E2349" s="140" t="s">
        <v>19</v>
      </c>
      <c r="F2349" s="140" t="s">
        <v>110</v>
      </c>
      <c r="G2349" s="140" t="s">
        <v>21</v>
      </c>
      <c r="H2349" s="140" t="s">
        <v>401</v>
      </c>
      <c r="I2349" s="140" t="s">
        <v>21</v>
      </c>
      <c r="J2349" s="174"/>
    </row>
    <row r="2350" hidden="1" customHeight="1" spans="1:10">
      <c r="A2350" s="140" t="s">
        <v>480</v>
      </c>
      <c r="B2350" s="140" t="s">
        <v>318</v>
      </c>
      <c r="C2350" s="171">
        <v>45696</v>
      </c>
      <c r="D2350" s="172" t="s">
        <v>27</v>
      </c>
      <c r="E2350" s="140" t="s">
        <v>19</v>
      </c>
      <c r="F2350" s="140" t="s">
        <v>98</v>
      </c>
      <c r="G2350" s="140" t="s">
        <v>21</v>
      </c>
      <c r="H2350" s="140" t="s">
        <v>482</v>
      </c>
      <c r="I2350" s="140" t="s">
        <v>21</v>
      </c>
      <c r="J2350" s="174"/>
    </row>
    <row r="2351" hidden="1" customHeight="1" spans="1:10">
      <c r="A2351" s="140" t="s">
        <v>480</v>
      </c>
      <c r="B2351" s="140" t="s">
        <v>318</v>
      </c>
      <c r="C2351" s="171">
        <v>45697</v>
      </c>
      <c r="D2351" s="172" t="s">
        <v>15</v>
      </c>
      <c r="E2351" s="173" t="s">
        <v>13</v>
      </c>
      <c r="F2351" s="140" t="s">
        <v>14</v>
      </c>
      <c r="G2351" s="140" t="s">
        <v>14</v>
      </c>
      <c r="H2351" s="140" t="s">
        <v>14</v>
      </c>
      <c r="I2351" s="140" t="s">
        <v>14</v>
      </c>
      <c r="J2351" s="174"/>
    </row>
    <row r="2352" hidden="1" customHeight="1" spans="1:10">
      <c r="A2352" s="140" t="s">
        <v>480</v>
      </c>
      <c r="B2352" s="140" t="s">
        <v>318</v>
      </c>
      <c r="C2352" s="171">
        <v>45698</v>
      </c>
      <c r="D2352" s="172" t="s">
        <v>16</v>
      </c>
      <c r="E2352" s="140" t="s">
        <v>19</v>
      </c>
      <c r="F2352" s="140" t="s">
        <v>146</v>
      </c>
      <c r="G2352" s="140" t="s">
        <v>21</v>
      </c>
      <c r="H2352" s="140" t="s">
        <v>54</v>
      </c>
      <c r="I2352" s="140" t="s">
        <v>21</v>
      </c>
      <c r="J2352" s="174"/>
    </row>
    <row r="2353" hidden="1" customHeight="1" spans="1:10">
      <c r="A2353" s="140" t="s">
        <v>480</v>
      </c>
      <c r="B2353" s="140" t="s">
        <v>318</v>
      </c>
      <c r="C2353" s="171">
        <v>45699</v>
      </c>
      <c r="D2353" s="172" t="s">
        <v>17</v>
      </c>
      <c r="E2353" s="140" t="s">
        <v>19</v>
      </c>
      <c r="F2353" s="140" t="s">
        <v>150</v>
      </c>
      <c r="G2353" s="140" t="s">
        <v>21</v>
      </c>
      <c r="H2353" s="140" t="s">
        <v>44</v>
      </c>
      <c r="I2353" s="140" t="s">
        <v>21</v>
      </c>
      <c r="J2353" s="174"/>
    </row>
    <row r="2354" hidden="1" customHeight="1" spans="1:10">
      <c r="A2354" s="140" t="s">
        <v>480</v>
      </c>
      <c r="B2354" s="140" t="s">
        <v>318</v>
      </c>
      <c r="C2354" s="171">
        <v>45700</v>
      </c>
      <c r="D2354" s="172" t="s">
        <v>18</v>
      </c>
      <c r="E2354" s="140" t="s">
        <v>19</v>
      </c>
      <c r="F2354" s="140" t="s">
        <v>150</v>
      </c>
      <c r="G2354" s="140" t="s">
        <v>21</v>
      </c>
      <c r="H2354" s="140" t="s">
        <v>218</v>
      </c>
      <c r="I2354" s="140" t="s">
        <v>21</v>
      </c>
      <c r="J2354" s="174"/>
    </row>
    <row r="2355" hidden="1" customHeight="1" spans="1:10">
      <c r="A2355" s="140" t="s">
        <v>480</v>
      </c>
      <c r="B2355" s="140" t="s">
        <v>318</v>
      </c>
      <c r="C2355" s="171">
        <v>45701</v>
      </c>
      <c r="D2355" s="172" t="s">
        <v>23</v>
      </c>
      <c r="E2355" s="140" t="s">
        <v>19</v>
      </c>
      <c r="F2355" s="140" t="s">
        <v>33</v>
      </c>
      <c r="G2355" s="140" t="s">
        <v>21</v>
      </c>
      <c r="H2355" s="140" t="s">
        <v>130</v>
      </c>
      <c r="I2355" s="140" t="s">
        <v>21</v>
      </c>
      <c r="J2355" s="174"/>
    </row>
    <row r="2356" hidden="1" customHeight="1" spans="1:10">
      <c r="A2356" s="140" t="s">
        <v>480</v>
      </c>
      <c r="B2356" s="140" t="s">
        <v>318</v>
      </c>
      <c r="C2356" s="171">
        <v>45702</v>
      </c>
      <c r="D2356" s="172" t="s">
        <v>25</v>
      </c>
      <c r="E2356" s="140" t="s">
        <v>19</v>
      </c>
      <c r="F2356" s="140" t="s">
        <v>157</v>
      </c>
      <c r="G2356" s="140" t="s">
        <v>21</v>
      </c>
      <c r="H2356" s="140" t="s">
        <v>361</v>
      </c>
      <c r="I2356" s="140" t="s">
        <v>21</v>
      </c>
      <c r="J2356" s="174"/>
    </row>
    <row r="2357" hidden="1" customHeight="1" spans="1:10">
      <c r="A2357" s="140" t="s">
        <v>480</v>
      </c>
      <c r="B2357" s="140" t="s">
        <v>318</v>
      </c>
      <c r="C2357" s="171">
        <v>45703</v>
      </c>
      <c r="D2357" s="172" t="s">
        <v>27</v>
      </c>
      <c r="E2357" s="173" t="s">
        <v>13</v>
      </c>
      <c r="F2357" s="140" t="s">
        <v>14</v>
      </c>
      <c r="G2357" s="140" t="s">
        <v>14</v>
      </c>
      <c r="H2357" s="140" t="s">
        <v>14</v>
      </c>
      <c r="I2357" s="140" t="s">
        <v>14</v>
      </c>
      <c r="J2357" s="174"/>
    </row>
    <row r="2358" hidden="1" customHeight="1" spans="1:10">
      <c r="A2358" s="140" t="s">
        <v>480</v>
      </c>
      <c r="B2358" s="140" t="s">
        <v>318</v>
      </c>
      <c r="C2358" s="171">
        <v>45704</v>
      </c>
      <c r="D2358" s="172" t="s">
        <v>15</v>
      </c>
      <c r="E2358" s="173" t="s">
        <v>13</v>
      </c>
      <c r="F2358" s="140" t="s">
        <v>14</v>
      </c>
      <c r="G2358" s="140" t="s">
        <v>14</v>
      </c>
      <c r="H2358" s="140" t="s">
        <v>14</v>
      </c>
      <c r="I2358" s="140" t="s">
        <v>14</v>
      </c>
      <c r="J2358" s="174"/>
    </row>
    <row r="2359" hidden="1" customHeight="1" spans="1:10">
      <c r="A2359" s="140" t="s">
        <v>480</v>
      </c>
      <c r="B2359" s="140" t="s">
        <v>318</v>
      </c>
      <c r="C2359" s="171">
        <v>45705</v>
      </c>
      <c r="D2359" s="172" t="s">
        <v>16</v>
      </c>
      <c r="E2359" s="140" t="s">
        <v>19</v>
      </c>
      <c r="F2359" s="140" t="s">
        <v>51</v>
      </c>
      <c r="G2359" s="140" t="s">
        <v>21</v>
      </c>
      <c r="H2359" s="140" t="s">
        <v>91</v>
      </c>
      <c r="I2359" s="140" t="s">
        <v>21</v>
      </c>
      <c r="J2359" s="174"/>
    </row>
    <row r="2360" hidden="1" customHeight="1" spans="1:10">
      <c r="A2360" s="140" t="s">
        <v>480</v>
      </c>
      <c r="B2360" s="140" t="s">
        <v>318</v>
      </c>
      <c r="C2360" s="171">
        <v>45706</v>
      </c>
      <c r="D2360" s="172" t="s">
        <v>17</v>
      </c>
      <c r="E2360" s="140" t="s">
        <v>19</v>
      </c>
      <c r="F2360" s="140" t="s">
        <v>193</v>
      </c>
      <c r="G2360" s="140" t="s">
        <v>21</v>
      </c>
      <c r="H2360" s="140" t="s">
        <v>228</v>
      </c>
      <c r="I2360" s="140" t="s">
        <v>21</v>
      </c>
      <c r="J2360" s="174"/>
    </row>
    <row r="2361" hidden="1" customHeight="1" spans="1:10">
      <c r="A2361" s="140" t="s">
        <v>480</v>
      </c>
      <c r="B2361" s="140" t="s">
        <v>318</v>
      </c>
      <c r="C2361" s="171">
        <v>45707</v>
      </c>
      <c r="D2361" s="172" t="s">
        <v>18</v>
      </c>
      <c r="E2361" s="140" t="s">
        <v>19</v>
      </c>
      <c r="F2361" s="140" t="s">
        <v>46</v>
      </c>
      <c r="G2361" s="140" t="s">
        <v>21</v>
      </c>
      <c r="H2361" s="140" t="s">
        <v>483</v>
      </c>
      <c r="I2361" s="140" t="s">
        <v>21</v>
      </c>
      <c r="J2361" s="174"/>
    </row>
    <row r="2362" hidden="1" customHeight="1" spans="1:10">
      <c r="A2362" s="140" t="s">
        <v>480</v>
      </c>
      <c r="B2362" s="140" t="s">
        <v>318</v>
      </c>
      <c r="C2362" s="171">
        <v>45708</v>
      </c>
      <c r="D2362" s="172" t="s">
        <v>23</v>
      </c>
      <c r="E2362" s="140" t="s">
        <v>19</v>
      </c>
      <c r="F2362" s="140" t="s">
        <v>154</v>
      </c>
      <c r="G2362" s="140" t="s">
        <v>21</v>
      </c>
      <c r="H2362" s="140" t="s">
        <v>243</v>
      </c>
      <c r="I2362" s="140" t="s">
        <v>21</v>
      </c>
      <c r="J2362" s="174"/>
    </row>
    <row r="2363" hidden="1" customHeight="1" spans="1:10">
      <c r="A2363" s="140" t="s">
        <v>480</v>
      </c>
      <c r="B2363" s="140" t="s">
        <v>318</v>
      </c>
      <c r="C2363" s="171">
        <v>45709</v>
      </c>
      <c r="D2363" s="172" t="s">
        <v>25</v>
      </c>
      <c r="E2363" s="140" t="s">
        <v>19</v>
      </c>
      <c r="F2363" s="140" t="s">
        <v>43</v>
      </c>
      <c r="G2363" s="140" t="s">
        <v>21</v>
      </c>
      <c r="H2363" s="140" t="s">
        <v>96</v>
      </c>
      <c r="I2363" s="140" t="s">
        <v>21</v>
      </c>
      <c r="J2363" s="174"/>
    </row>
    <row r="2364" hidden="1" customHeight="1" spans="1:10">
      <c r="A2364" s="140" t="s">
        <v>480</v>
      </c>
      <c r="B2364" s="140" t="s">
        <v>318</v>
      </c>
      <c r="C2364" s="171">
        <v>45710</v>
      </c>
      <c r="D2364" s="172" t="s">
        <v>27</v>
      </c>
      <c r="E2364" s="173" t="s">
        <v>13</v>
      </c>
      <c r="F2364" s="140" t="s">
        <v>14</v>
      </c>
      <c r="G2364" s="140" t="s">
        <v>14</v>
      </c>
      <c r="H2364" s="140" t="s">
        <v>14</v>
      </c>
      <c r="I2364" s="140" t="s">
        <v>14</v>
      </c>
      <c r="J2364" s="174"/>
    </row>
    <row r="2365" hidden="1" customHeight="1" spans="1:10">
      <c r="A2365" s="140" t="s">
        <v>480</v>
      </c>
      <c r="B2365" s="140" t="s">
        <v>318</v>
      </c>
      <c r="C2365" s="171">
        <v>45711</v>
      </c>
      <c r="D2365" s="172" t="s">
        <v>15</v>
      </c>
      <c r="E2365" s="173" t="s">
        <v>13</v>
      </c>
      <c r="F2365" s="140" t="s">
        <v>14</v>
      </c>
      <c r="G2365" s="140" t="s">
        <v>14</v>
      </c>
      <c r="H2365" s="140" t="s">
        <v>14</v>
      </c>
      <c r="I2365" s="140" t="s">
        <v>14</v>
      </c>
      <c r="J2365" s="174"/>
    </row>
    <row r="2366" hidden="1" customHeight="1" spans="1:10">
      <c r="A2366" s="140" t="s">
        <v>480</v>
      </c>
      <c r="B2366" s="140" t="s">
        <v>318</v>
      </c>
      <c r="C2366" s="171">
        <v>45712</v>
      </c>
      <c r="D2366" s="172" t="s">
        <v>16</v>
      </c>
      <c r="E2366" s="140" t="s">
        <v>19</v>
      </c>
      <c r="F2366" s="140" t="s">
        <v>157</v>
      </c>
      <c r="G2366" s="140" t="s">
        <v>21</v>
      </c>
      <c r="H2366" s="140" t="s">
        <v>269</v>
      </c>
      <c r="I2366" s="140" t="s">
        <v>21</v>
      </c>
      <c r="J2366" s="174"/>
    </row>
    <row r="2367" hidden="1" customHeight="1" spans="1:10">
      <c r="A2367" s="140" t="s">
        <v>480</v>
      </c>
      <c r="B2367" s="140" t="s">
        <v>318</v>
      </c>
      <c r="C2367" s="171">
        <v>45713</v>
      </c>
      <c r="D2367" s="172" t="s">
        <v>17</v>
      </c>
      <c r="E2367" s="140" t="s">
        <v>19</v>
      </c>
      <c r="F2367" s="140" t="s">
        <v>139</v>
      </c>
      <c r="G2367" s="140" t="s">
        <v>21</v>
      </c>
      <c r="H2367" s="140" t="s">
        <v>340</v>
      </c>
      <c r="I2367" s="140" t="s">
        <v>21</v>
      </c>
      <c r="J2367" s="174"/>
    </row>
    <row r="2368" hidden="1" customHeight="1" spans="1:10">
      <c r="A2368" s="140" t="s">
        <v>480</v>
      </c>
      <c r="B2368" s="140" t="s">
        <v>318</v>
      </c>
      <c r="C2368" s="171">
        <v>45714</v>
      </c>
      <c r="D2368" s="172" t="s">
        <v>18</v>
      </c>
      <c r="E2368" s="140" t="s">
        <v>19</v>
      </c>
      <c r="F2368" s="140" t="s">
        <v>36</v>
      </c>
      <c r="G2368" s="140" t="s">
        <v>21</v>
      </c>
      <c r="H2368" s="140" t="s">
        <v>24</v>
      </c>
      <c r="I2368" s="140" t="s">
        <v>21</v>
      </c>
      <c r="J2368" s="174"/>
    </row>
    <row r="2369" hidden="1" customHeight="1" spans="1:10">
      <c r="A2369" s="140" t="s">
        <v>480</v>
      </c>
      <c r="B2369" s="140" t="s">
        <v>318</v>
      </c>
      <c r="C2369" s="171">
        <v>45715</v>
      </c>
      <c r="D2369" s="172" t="s">
        <v>23</v>
      </c>
      <c r="E2369" s="140" t="s">
        <v>19</v>
      </c>
      <c r="F2369" s="140" t="s">
        <v>157</v>
      </c>
      <c r="G2369" s="140" t="s">
        <v>21</v>
      </c>
      <c r="H2369" s="140" t="s">
        <v>382</v>
      </c>
      <c r="I2369" s="140" t="s">
        <v>21</v>
      </c>
      <c r="J2369" s="174"/>
    </row>
    <row r="2370" hidden="1" customHeight="1" spans="1:10">
      <c r="A2370" s="140" t="s">
        <v>480</v>
      </c>
      <c r="B2370" s="140" t="s">
        <v>318</v>
      </c>
      <c r="C2370" s="171">
        <v>45716</v>
      </c>
      <c r="D2370" s="172" t="s">
        <v>25</v>
      </c>
      <c r="E2370" s="140" t="s">
        <v>19</v>
      </c>
      <c r="F2370" s="140" t="s">
        <v>20</v>
      </c>
      <c r="G2370" s="140" t="s">
        <v>21</v>
      </c>
      <c r="H2370" s="140" t="s">
        <v>333</v>
      </c>
      <c r="I2370" s="140" t="s">
        <v>21</v>
      </c>
      <c r="J2370" s="174"/>
    </row>
    <row r="2371" hidden="1" customHeight="1" spans="1:10">
      <c r="A2371" s="140" t="s">
        <v>484</v>
      </c>
      <c r="B2371" s="140" t="s">
        <v>398</v>
      </c>
      <c r="C2371" s="171">
        <v>45689</v>
      </c>
      <c r="D2371" s="172" t="s">
        <v>12</v>
      </c>
      <c r="E2371" s="173" t="s">
        <v>13</v>
      </c>
      <c r="F2371" s="140" t="s">
        <v>14</v>
      </c>
      <c r="G2371" s="140" t="s">
        <v>14</v>
      </c>
      <c r="H2371" s="140" t="s">
        <v>14</v>
      </c>
      <c r="I2371" s="140" t="s">
        <v>14</v>
      </c>
      <c r="J2371" s="174"/>
    </row>
    <row r="2372" hidden="1" customHeight="1" spans="1:10">
      <c r="A2372" s="140" t="s">
        <v>484</v>
      </c>
      <c r="B2372" s="140" t="s">
        <v>398</v>
      </c>
      <c r="C2372" s="171">
        <v>45690</v>
      </c>
      <c r="D2372" s="172" t="s">
        <v>15</v>
      </c>
      <c r="E2372" s="173" t="s">
        <v>13</v>
      </c>
      <c r="F2372" s="140" t="s">
        <v>14</v>
      </c>
      <c r="G2372" s="140" t="s">
        <v>14</v>
      </c>
      <c r="H2372" s="140" t="s">
        <v>14</v>
      </c>
      <c r="I2372" s="140" t="s">
        <v>14</v>
      </c>
      <c r="J2372" s="174"/>
    </row>
    <row r="2373" hidden="1" customHeight="1" spans="1:10">
      <c r="A2373" s="140" t="s">
        <v>484</v>
      </c>
      <c r="B2373" s="140" t="s">
        <v>398</v>
      </c>
      <c r="C2373" s="171">
        <v>45691</v>
      </c>
      <c r="D2373" s="172" t="s">
        <v>16</v>
      </c>
      <c r="E2373" s="173" t="s">
        <v>13</v>
      </c>
      <c r="F2373" s="140" t="s">
        <v>14</v>
      </c>
      <c r="G2373" s="140" t="s">
        <v>14</v>
      </c>
      <c r="H2373" s="140" t="s">
        <v>14</v>
      </c>
      <c r="I2373" s="140" t="s">
        <v>14</v>
      </c>
      <c r="J2373" s="174"/>
    </row>
    <row r="2374" hidden="1" customHeight="1" spans="1:10">
      <c r="A2374" s="140" t="s">
        <v>484</v>
      </c>
      <c r="B2374" s="140" t="s">
        <v>398</v>
      </c>
      <c r="C2374" s="171">
        <v>45692</v>
      </c>
      <c r="D2374" s="172" t="s">
        <v>17</v>
      </c>
      <c r="E2374" s="173" t="s">
        <v>13</v>
      </c>
      <c r="F2374" s="140" t="s">
        <v>14</v>
      </c>
      <c r="G2374" s="140" t="s">
        <v>14</v>
      </c>
      <c r="H2374" s="140" t="s">
        <v>14</v>
      </c>
      <c r="I2374" s="140" t="s">
        <v>14</v>
      </c>
      <c r="J2374" s="174"/>
    </row>
    <row r="2375" hidden="1" customHeight="1" spans="1:10">
      <c r="A2375" s="140" t="s">
        <v>484</v>
      </c>
      <c r="B2375" s="140" t="s">
        <v>398</v>
      </c>
      <c r="C2375" s="171">
        <v>45693</v>
      </c>
      <c r="D2375" s="172" t="s">
        <v>18</v>
      </c>
      <c r="E2375" s="140" t="s">
        <v>19</v>
      </c>
      <c r="F2375" s="140" t="s">
        <v>154</v>
      </c>
      <c r="G2375" s="140" t="s">
        <v>21</v>
      </c>
      <c r="H2375" s="140" t="s">
        <v>215</v>
      </c>
      <c r="I2375" s="140" t="s">
        <v>21</v>
      </c>
      <c r="J2375" s="174"/>
    </row>
    <row r="2376" hidden="1" customHeight="1" spans="1:10">
      <c r="A2376" s="140" t="s">
        <v>484</v>
      </c>
      <c r="B2376" s="140" t="s">
        <v>398</v>
      </c>
      <c r="C2376" s="171">
        <v>45694</v>
      </c>
      <c r="D2376" s="172" t="s">
        <v>23</v>
      </c>
      <c r="E2376" s="140" t="s">
        <v>19</v>
      </c>
      <c r="F2376" s="140" t="s">
        <v>193</v>
      </c>
      <c r="G2376" s="140" t="s">
        <v>21</v>
      </c>
      <c r="H2376" s="140" t="s">
        <v>168</v>
      </c>
      <c r="I2376" s="140" t="s">
        <v>21</v>
      </c>
      <c r="J2376" s="174"/>
    </row>
    <row r="2377" hidden="1" customHeight="1" spans="1:10">
      <c r="A2377" s="140" t="s">
        <v>484</v>
      </c>
      <c r="B2377" s="140" t="s">
        <v>398</v>
      </c>
      <c r="C2377" s="171">
        <v>45695</v>
      </c>
      <c r="D2377" s="172" t="s">
        <v>25</v>
      </c>
      <c r="E2377" s="140" t="s">
        <v>19</v>
      </c>
      <c r="F2377" s="140" t="s">
        <v>46</v>
      </c>
      <c r="G2377" s="140" t="s">
        <v>21</v>
      </c>
      <c r="H2377" s="140" t="s">
        <v>205</v>
      </c>
      <c r="I2377" s="140" t="s">
        <v>21</v>
      </c>
      <c r="J2377" s="174"/>
    </row>
    <row r="2378" hidden="1" customHeight="1" spans="1:10">
      <c r="A2378" s="140" t="s">
        <v>484</v>
      </c>
      <c r="B2378" s="140" t="s">
        <v>398</v>
      </c>
      <c r="C2378" s="171">
        <v>45696</v>
      </c>
      <c r="D2378" s="172" t="s">
        <v>27</v>
      </c>
      <c r="E2378" s="140" t="s">
        <v>19</v>
      </c>
      <c r="F2378" s="140" t="s">
        <v>36</v>
      </c>
      <c r="G2378" s="140" t="s">
        <v>21</v>
      </c>
      <c r="H2378" s="140" t="s">
        <v>167</v>
      </c>
      <c r="I2378" s="140" t="s">
        <v>21</v>
      </c>
      <c r="J2378" s="174"/>
    </row>
    <row r="2379" hidden="1" customHeight="1" spans="1:10">
      <c r="A2379" s="140" t="s">
        <v>484</v>
      </c>
      <c r="B2379" s="140" t="s">
        <v>398</v>
      </c>
      <c r="C2379" s="171">
        <v>45697</v>
      </c>
      <c r="D2379" s="172" t="s">
        <v>15</v>
      </c>
      <c r="E2379" s="173" t="s">
        <v>13</v>
      </c>
      <c r="F2379" s="140" t="s">
        <v>14</v>
      </c>
      <c r="G2379" s="140" t="s">
        <v>14</v>
      </c>
      <c r="H2379" s="140" t="s">
        <v>14</v>
      </c>
      <c r="I2379" s="140" t="s">
        <v>14</v>
      </c>
      <c r="J2379" s="174"/>
    </row>
    <row r="2380" hidden="1" customHeight="1" spans="1:10">
      <c r="A2380" s="140" t="s">
        <v>484</v>
      </c>
      <c r="B2380" s="140" t="s">
        <v>398</v>
      </c>
      <c r="C2380" s="171">
        <v>45698</v>
      </c>
      <c r="D2380" s="172" t="s">
        <v>16</v>
      </c>
      <c r="E2380" s="140" t="s">
        <v>19</v>
      </c>
      <c r="F2380" s="140" t="s">
        <v>36</v>
      </c>
      <c r="G2380" s="140" t="s">
        <v>21</v>
      </c>
      <c r="H2380" s="140" t="s">
        <v>168</v>
      </c>
      <c r="I2380" s="140" t="s">
        <v>21</v>
      </c>
      <c r="J2380" s="174"/>
    </row>
    <row r="2381" hidden="1" customHeight="1" spans="1:10">
      <c r="A2381" s="140" t="s">
        <v>484</v>
      </c>
      <c r="B2381" s="140" t="s">
        <v>398</v>
      </c>
      <c r="C2381" s="171">
        <v>45699</v>
      </c>
      <c r="D2381" s="172" t="s">
        <v>17</v>
      </c>
      <c r="E2381" s="140" t="s">
        <v>19</v>
      </c>
      <c r="F2381" s="140" t="s">
        <v>46</v>
      </c>
      <c r="G2381" s="140" t="s">
        <v>21</v>
      </c>
      <c r="H2381" s="140" t="s">
        <v>238</v>
      </c>
      <c r="I2381" s="140" t="s">
        <v>21</v>
      </c>
      <c r="J2381" s="174"/>
    </row>
    <row r="2382" hidden="1" customHeight="1" spans="1:10">
      <c r="A2382" s="140" t="s">
        <v>484</v>
      </c>
      <c r="B2382" s="140" t="s">
        <v>398</v>
      </c>
      <c r="C2382" s="171">
        <v>45700</v>
      </c>
      <c r="D2382" s="172" t="s">
        <v>18</v>
      </c>
      <c r="E2382" s="140" t="s">
        <v>19</v>
      </c>
      <c r="F2382" s="140" t="s">
        <v>43</v>
      </c>
      <c r="G2382" s="140" t="s">
        <v>21</v>
      </c>
      <c r="H2382" s="140" t="s">
        <v>206</v>
      </c>
      <c r="I2382" s="140" t="s">
        <v>21</v>
      </c>
      <c r="J2382" s="174"/>
    </row>
    <row r="2383" customHeight="1" spans="1:10">
      <c r="A2383" s="140" t="s">
        <v>484</v>
      </c>
      <c r="B2383" s="140" t="s">
        <v>398</v>
      </c>
      <c r="C2383" s="171">
        <v>45701</v>
      </c>
      <c r="D2383" s="172" t="s">
        <v>23</v>
      </c>
      <c r="E2383" s="140" t="s">
        <v>19</v>
      </c>
      <c r="F2383" s="140" t="s">
        <v>14</v>
      </c>
      <c r="G2383" s="176" t="s">
        <v>68</v>
      </c>
      <c r="H2383" s="140" t="s">
        <v>163</v>
      </c>
      <c r="I2383" s="140" t="s">
        <v>21</v>
      </c>
      <c r="J2383" s="174" t="s">
        <v>136</v>
      </c>
    </row>
    <row r="2384" hidden="1" customHeight="1" spans="1:10">
      <c r="A2384" s="140" t="s">
        <v>484</v>
      </c>
      <c r="B2384" s="140" t="s">
        <v>398</v>
      </c>
      <c r="C2384" s="171">
        <v>45702</v>
      </c>
      <c r="D2384" s="172" t="s">
        <v>25</v>
      </c>
      <c r="E2384" s="140" t="s">
        <v>19</v>
      </c>
      <c r="F2384" s="140" t="s">
        <v>36</v>
      </c>
      <c r="G2384" s="140" t="s">
        <v>21</v>
      </c>
      <c r="H2384" s="140" t="s">
        <v>167</v>
      </c>
      <c r="I2384" s="140" t="s">
        <v>21</v>
      </c>
      <c r="J2384" s="174"/>
    </row>
    <row r="2385" hidden="1" customHeight="1" spans="1:10">
      <c r="A2385" s="140" t="s">
        <v>484</v>
      </c>
      <c r="B2385" s="140" t="s">
        <v>398</v>
      </c>
      <c r="C2385" s="171">
        <v>45703</v>
      </c>
      <c r="D2385" s="172" t="s">
        <v>27</v>
      </c>
      <c r="E2385" s="173" t="s">
        <v>13</v>
      </c>
      <c r="F2385" s="140" t="s">
        <v>14</v>
      </c>
      <c r="G2385" s="140" t="s">
        <v>14</v>
      </c>
      <c r="H2385" s="140" t="s">
        <v>14</v>
      </c>
      <c r="I2385" s="140" t="s">
        <v>14</v>
      </c>
      <c r="J2385" s="174"/>
    </row>
    <row r="2386" hidden="1" customHeight="1" spans="1:10">
      <c r="A2386" s="140" t="s">
        <v>484</v>
      </c>
      <c r="B2386" s="140" t="s">
        <v>398</v>
      </c>
      <c r="C2386" s="171">
        <v>45704</v>
      </c>
      <c r="D2386" s="172" t="s">
        <v>15</v>
      </c>
      <c r="E2386" s="173" t="s">
        <v>13</v>
      </c>
      <c r="F2386" s="140" t="s">
        <v>14</v>
      </c>
      <c r="G2386" s="140" t="s">
        <v>14</v>
      </c>
      <c r="H2386" s="140" t="s">
        <v>14</v>
      </c>
      <c r="I2386" s="140" t="s">
        <v>14</v>
      </c>
      <c r="J2386" s="174"/>
    </row>
    <row r="2387" hidden="1" customHeight="1" spans="1:10">
      <c r="A2387" s="140" t="s">
        <v>484</v>
      </c>
      <c r="B2387" s="140" t="s">
        <v>398</v>
      </c>
      <c r="C2387" s="171">
        <v>45705</v>
      </c>
      <c r="D2387" s="172" t="s">
        <v>16</v>
      </c>
      <c r="E2387" s="140" t="s">
        <v>19</v>
      </c>
      <c r="F2387" s="140" t="s">
        <v>43</v>
      </c>
      <c r="G2387" s="140" t="s">
        <v>21</v>
      </c>
      <c r="H2387" s="140" t="s">
        <v>45</v>
      </c>
      <c r="I2387" s="140" t="s">
        <v>21</v>
      </c>
      <c r="J2387" s="174"/>
    </row>
    <row r="2388" hidden="1" customHeight="1" spans="1:10">
      <c r="A2388" s="140" t="s">
        <v>484</v>
      </c>
      <c r="B2388" s="140" t="s">
        <v>398</v>
      </c>
      <c r="C2388" s="171">
        <v>45706</v>
      </c>
      <c r="D2388" s="172" t="s">
        <v>17</v>
      </c>
      <c r="E2388" s="140" t="s">
        <v>19</v>
      </c>
      <c r="F2388" s="140" t="s">
        <v>43</v>
      </c>
      <c r="G2388" s="140" t="s">
        <v>21</v>
      </c>
      <c r="H2388" s="140" t="s">
        <v>167</v>
      </c>
      <c r="I2388" s="140" t="s">
        <v>21</v>
      </c>
      <c r="J2388" s="174"/>
    </row>
    <row r="2389" hidden="1" customHeight="1" spans="1:10">
      <c r="A2389" s="140" t="s">
        <v>484</v>
      </c>
      <c r="B2389" s="140" t="s">
        <v>398</v>
      </c>
      <c r="C2389" s="171">
        <v>45707</v>
      </c>
      <c r="D2389" s="172" t="s">
        <v>18</v>
      </c>
      <c r="E2389" s="140" t="s">
        <v>19</v>
      </c>
      <c r="F2389" s="140" t="s">
        <v>139</v>
      </c>
      <c r="G2389" s="140" t="s">
        <v>21</v>
      </c>
      <c r="H2389" s="140" t="s">
        <v>215</v>
      </c>
      <c r="I2389" s="140" t="s">
        <v>21</v>
      </c>
      <c r="J2389" s="174"/>
    </row>
    <row r="2390" hidden="1" customHeight="1" spans="1:10">
      <c r="A2390" s="140" t="s">
        <v>484</v>
      </c>
      <c r="B2390" s="140" t="s">
        <v>398</v>
      </c>
      <c r="C2390" s="171">
        <v>45708</v>
      </c>
      <c r="D2390" s="172" t="s">
        <v>23</v>
      </c>
      <c r="E2390" s="140" t="s">
        <v>19</v>
      </c>
      <c r="F2390" s="140" t="s">
        <v>209</v>
      </c>
      <c r="G2390" s="140" t="s">
        <v>21</v>
      </c>
      <c r="H2390" s="140" t="s">
        <v>35</v>
      </c>
      <c r="I2390" s="140" t="s">
        <v>21</v>
      </c>
      <c r="J2390" s="174"/>
    </row>
    <row r="2391" hidden="1" customHeight="1" spans="1:10">
      <c r="A2391" s="140" t="s">
        <v>484</v>
      </c>
      <c r="B2391" s="140" t="s">
        <v>398</v>
      </c>
      <c r="C2391" s="171">
        <v>45709</v>
      </c>
      <c r="D2391" s="172" t="s">
        <v>25</v>
      </c>
      <c r="E2391" s="140" t="s">
        <v>19</v>
      </c>
      <c r="F2391" s="140" t="s">
        <v>90</v>
      </c>
      <c r="G2391" s="140" t="s">
        <v>21</v>
      </c>
      <c r="H2391" s="140" t="s">
        <v>167</v>
      </c>
      <c r="I2391" s="140" t="s">
        <v>21</v>
      </c>
      <c r="J2391" s="174"/>
    </row>
    <row r="2392" hidden="1" customHeight="1" spans="1:10">
      <c r="A2392" s="140" t="s">
        <v>484</v>
      </c>
      <c r="B2392" s="140" t="s">
        <v>398</v>
      </c>
      <c r="C2392" s="171">
        <v>45710</v>
      </c>
      <c r="D2392" s="172" t="s">
        <v>27</v>
      </c>
      <c r="E2392" s="173" t="s">
        <v>13</v>
      </c>
      <c r="F2392" s="140" t="s">
        <v>14</v>
      </c>
      <c r="G2392" s="140" t="s">
        <v>14</v>
      </c>
      <c r="H2392" s="140" t="s">
        <v>14</v>
      </c>
      <c r="I2392" s="140" t="s">
        <v>14</v>
      </c>
      <c r="J2392" s="174"/>
    </row>
    <row r="2393" hidden="1" customHeight="1" spans="1:10">
      <c r="A2393" s="140" t="s">
        <v>484</v>
      </c>
      <c r="B2393" s="140" t="s">
        <v>398</v>
      </c>
      <c r="C2393" s="171">
        <v>45711</v>
      </c>
      <c r="D2393" s="172" t="s">
        <v>15</v>
      </c>
      <c r="E2393" s="173" t="s">
        <v>13</v>
      </c>
      <c r="F2393" s="140" t="s">
        <v>14</v>
      </c>
      <c r="G2393" s="140" t="s">
        <v>14</v>
      </c>
      <c r="H2393" s="140" t="s">
        <v>14</v>
      </c>
      <c r="I2393" s="140" t="s">
        <v>14</v>
      </c>
      <c r="J2393" s="174"/>
    </row>
    <row r="2394" customHeight="1" spans="1:10">
      <c r="A2394" s="140" t="s">
        <v>484</v>
      </c>
      <c r="B2394" s="140" t="s">
        <v>398</v>
      </c>
      <c r="C2394" s="171">
        <v>45712</v>
      </c>
      <c r="D2394" s="172" t="s">
        <v>16</v>
      </c>
      <c r="E2394" s="140" t="s">
        <v>19</v>
      </c>
      <c r="F2394" s="140" t="s">
        <v>14</v>
      </c>
      <c r="G2394" s="176" t="s">
        <v>68</v>
      </c>
      <c r="H2394" s="140" t="s">
        <v>45</v>
      </c>
      <c r="I2394" s="140" t="s">
        <v>21</v>
      </c>
      <c r="J2394" s="174" t="s">
        <v>69</v>
      </c>
    </row>
    <row r="2395" hidden="1" customHeight="1" spans="1:10">
      <c r="A2395" s="140" t="s">
        <v>484</v>
      </c>
      <c r="B2395" s="140" t="s">
        <v>398</v>
      </c>
      <c r="C2395" s="171">
        <v>45713</v>
      </c>
      <c r="D2395" s="172" t="s">
        <v>17</v>
      </c>
      <c r="E2395" s="140" t="s">
        <v>19</v>
      </c>
      <c r="F2395" s="140" t="s">
        <v>43</v>
      </c>
      <c r="G2395" s="140" t="s">
        <v>21</v>
      </c>
      <c r="H2395" s="140" t="s">
        <v>184</v>
      </c>
      <c r="I2395" s="140" t="s">
        <v>21</v>
      </c>
      <c r="J2395" s="174"/>
    </row>
    <row r="2396" hidden="1" customHeight="1" spans="1:10">
      <c r="A2396" s="140" t="s">
        <v>484</v>
      </c>
      <c r="B2396" s="140" t="s">
        <v>398</v>
      </c>
      <c r="C2396" s="171">
        <v>45714</v>
      </c>
      <c r="D2396" s="172" t="s">
        <v>18</v>
      </c>
      <c r="E2396" s="140" t="s">
        <v>19</v>
      </c>
      <c r="F2396" s="140" t="s">
        <v>90</v>
      </c>
      <c r="G2396" s="140" t="s">
        <v>21</v>
      </c>
      <c r="H2396" s="140" t="s">
        <v>235</v>
      </c>
      <c r="I2396" s="140" t="s">
        <v>21</v>
      </c>
      <c r="J2396" s="174"/>
    </row>
    <row r="2397" hidden="1" customHeight="1" spans="1:10">
      <c r="A2397" s="140" t="s">
        <v>484</v>
      </c>
      <c r="B2397" s="140" t="s">
        <v>398</v>
      </c>
      <c r="C2397" s="171">
        <v>45715</v>
      </c>
      <c r="D2397" s="172" t="s">
        <v>23</v>
      </c>
      <c r="E2397" s="140" t="s">
        <v>19</v>
      </c>
      <c r="F2397" s="140" t="s">
        <v>43</v>
      </c>
      <c r="G2397" s="140" t="s">
        <v>21</v>
      </c>
      <c r="H2397" s="140" t="s">
        <v>45</v>
      </c>
      <c r="I2397" s="140" t="s">
        <v>21</v>
      </c>
      <c r="J2397" s="174"/>
    </row>
    <row r="2398" hidden="1" customHeight="1" spans="1:10">
      <c r="A2398" s="140" t="s">
        <v>484</v>
      </c>
      <c r="B2398" s="140" t="s">
        <v>398</v>
      </c>
      <c r="C2398" s="171">
        <v>45716</v>
      </c>
      <c r="D2398" s="172" t="s">
        <v>25</v>
      </c>
      <c r="E2398" s="140" t="s">
        <v>19</v>
      </c>
      <c r="F2398" s="140" t="s">
        <v>209</v>
      </c>
      <c r="G2398" s="140" t="s">
        <v>21</v>
      </c>
      <c r="H2398" s="140" t="s">
        <v>231</v>
      </c>
      <c r="I2398" s="140" t="s">
        <v>21</v>
      </c>
      <c r="J2398" s="174"/>
    </row>
    <row r="2399" hidden="1" customHeight="1" spans="1:10">
      <c r="A2399" s="140" t="s">
        <v>485</v>
      </c>
      <c r="B2399" s="140" t="s">
        <v>398</v>
      </c>
      <c r="C2399" s="171">
        <v>45689</v>
      </c>
      <c r="D2399" s="172" t="s">
        <v>12</v>
      </c>
      <c r="E2399" s="173" t="s">
        <v>13</v>
      </c>
      <c r="F2399" s="140" t="s">
        <v>14</v>
      </c>
      <c r="G2399" s="140" t="s">
        <v>14</v>
      </c>
      <c r="H2399" s="140" t="s">
        <v>14</v>
      </c>
      <c r="I2399" s="140" t="s">
        <v>14</v>
      </c>
      <c r="J2399" s="174"/>
    </row>
    <row r="2400" hidden="1" customHeight="1" spans="1:10">
      <c r="A2400" s="140" t="s">
        <v>485</v>
      </c>
      <c r="B2400" s="140" t="s">
        <v>398</v>
      </c>
      <c r="C2400" s="171">
        <v>45690</v>
      </c>
      <c r="D2400" s="172" t="s">
        <v>15</v>
      </c>
      <c r="E2400" s="173" t="s">
        <v>13</v>
      </c>
      <c r="F2400" s="140" t="s">
        <v>14</v>
      </c>
      <c r="G2400" s="140" t="s">
        <v>14</v>
      </c>
      <c r="H2400" s="140" t="s">
        <v>14</v>
      </c>
      <c r="I2400" s="140" t="s">
        <v>14</v>
      </c>
      <c r="J2400" s="174"/>
    </row>
    <row r="2401" hidden="1" customHeight="1" spans="1:10">
      <c r="A2401" s="140" t="s">
        <v>485</v>
      </c>
      <c r="B2401" s="140" t="s">
        <v>398</v>
      </c>
      <c r="C2401" s="171">
        <v>45691</v>
      </c>
      <c r="D2401" s="172" t="s">
        <v>16</v>
      </c>
      <c r="E2401" s="173" t="s">
        <v>13</v>
      </c>
      <c r="F2401" s="140" t="s">
        <v>14</v>
      </c>
      <c r="G2401" s="140" t="s">
        <v>14</v>
      </c>
      <c r="H2401" s="140" t="s">
        <v>14</v>
      </c>
      <c r="I2401" s="140" t="s">
        <v>14</v>
      </c>
      <c r="J2401" s="174"/>
    </row>
    <row r="2402" hidden="1" customHeight="1" spans="1:10">
      <c r="A2402" s="140" t="s">
        <v>485</v>
      </c>
      <c r="B2402" s="140" t="s">
        <v>398</v>
      </c>
      <c r="C2402" s="171">
        <v>45692</v>
      </c>
      <c r="D2402" s="172" t="s">
        <v>17</v>
      </c>
      <c r="E2402" s="173" t="s">
        <v>13</v>
      </c>
      <c r="F2402" s="140" t="s">
        <v>14</v>
      </c>
      <c r="G2402" s="140" t="s">
        <v>14</v>
      </c>
      <c r="H2402" s="140" t="s">
        <v>14</v>
      </c>
      <c r="I2402" s="140" t="s">
        <v>14</v>
      </c>
      <c r="J2402" s="174"/>
    </row>
    <row r="2403" hidden="1" customHeight="1" spans="1:10">
      <c r="A2403" s="140" t="s">
        <v>485</v>
      </c>
      <c r="B2403" s="140" t="s">
        <v>398</v>
      </c>
      <c r="C2403" s="171">
        <v>45693</v>
      </c>
      <c r="D2403" s="172" t="s">
        <v>18</v>
      </c>
      <c r="E2403" s="140" t="s">
        <v>19</v>
      </c>
      <c r="F2403" s="140" t="s">
        <v>193</v>
      </c>
      <c r="G2403" s="140" t="s">
        <v>21</v>
      </c>
      <c r="H2403" s="140" t="s">
        <v>175</v>
      </c>
      <c r="I2403" s="140" t="s">
        <v>21</v>
      </c>
      <c r="J2403" s="174"/>
    </row>
    <row r="2404" hidden="1" customHeight="1" spans="1:10">
      <c r="A2404" s="140" t="s">
        <v>485</v>
      </c>
      <c r="B2404" s="140" t="s">
        <v>398</v>
      </c>
      <c r="C2404" s="171">
        <v>45694</v>
      </c>
      <c r="D2404" s="172" t="s">
        <v>23</v>
      </c>
      <c r="E2404" s="140" t="s">
        <v>19</v>
      </c>
      <c r="F2404" s="140" t="s">
        <v>193</v>
      </c>
      <c r="G2404" s="140" t="s">
        <v>21</v>
      </c>
      <c r="H2404" s="140" t="s">
        <v>78</v>
      </c>
      <c r="I2404" s="140" t="s">
        <v>21</v>
      </c>
      <c r="J2404" s="174"/>
    </row>
    <row r="2405" hidden="1" customHeight="1" spans="1:10">
      <c r="A2405" s="140" t="s">
        <v>485</v>
      </c>
      <c r="B2405" s="140" t="s">
        <v>398</v>
      </c>
      <c r="C2405" s="171">
        <v>45695</v>
      </c>
      <c r="D2405" s="172" t="s">
        <v>25</v>
      </c>
      <c r="E2405" s="140" t="s">
        <v>19</v>
      </c>
      <c r="F2405" s="140" t="s">
        <v>193</v>
      </c>
      <c r="G2405" s="140" t="s">
        <v>21</v>
      </c>
      <c r="H2405" s="140" t="s">
        <v>206</v>
      </c>
      <c r="I2405" s="140" t="s">
        <v>21</v>
      </c>
      <c r="J2405" s="174"/>
    </row>
    <row r="2406" hidden="1" customHeight="1" spans="1:10">
      <c r="A2406" s="140" t="s">
        <v>485</v>
      </c>
      <c r="B2406" s="140" t="s">
        <v>398</v>
      </c>
      <c r="C2406" s="171">
        <v>45696</v>
      </c>
      <c r="D2406" s="172" t="s">
        <v>27</v>
      </c>
      <c r="E2406" s="140" t="s">
        <v>19</v>
      </c>
      <c r="F2406" s="140" t="s">
        <v>33</v>
      </c>
      <c r="G2406" s="140" t="s">
        <v>21</v>
      </c>
      <c r="H2406" s="140" t="s">
        <v>212</v>
      </c>
      <c r="I2406" s="140" t="s">
        <v>21</v>
      </c>
      <c r="J2406" s="174"/>
    </row>
    <row r="2407" hidden="1" customHeight="1" spans="1:10">
      <c r="A2407" s="140" t="s">
        <v>485</v>
      </c>
      <c r="B2407" s="140" t="s">
        <v>398</v>
      </c>
      <c r="C2407" s="171">
        <v>45697</v>
      </c>
      <c r="D2407" s="172" t="s">
        <v>15</v>
      </c>
      <c r="E2407" s="173" t="s">
        <v>13</v>
      </c>
      <c r="F2407" s="140" t="s">
        <v>14</v>
      </c>
      <c r="G2407" s="140" t="s">
        <v>14</v>
      </c>
      <c r="H2407" s="140" t="s">
        <v>14</v>
      </c>
      <c r="I2407" s="140" t="s">
        <v>14</v>
      </c>
      <c r="J2407" s="174"/>
    </row>
    <row r="2408" customHeight="1" spans="1:10">
      <c r="A2408" s="140" t="s">
        <v>485</v>
      </c>
      <c r="B2408" s="140" t="s">
        <v>398</v>
      </c>
      <c r="C2408" s="171">
        <v>45698</v>
      </c>
      <c r="D2408" s="172" t="s">
        <v>16</v>
      </c>
      <c r="E2408" s="140" t="s">
        <v>19</v>
      </c>
      <c r="F2408" s="140" t="s">
        <v>14</v>
      </c>
      <c r="G2408" s="176" t="s">
        <v>68</v>
      </c>
      <c r="H2408" s="140" t="s">
        <v>14</v>
      </c>
      <c r="I2408" s="176" t="s">
        <v>68</v>
      </c>
      <c r="J2408" s="174" t="s">
        <v>234</v>
      </c>
    </row>
    <row r="2409" customHeight="1" spans="1:10">
      <c r="A2409" s="140" t="s">
        <v>485</v>
      </c>
      <c r="B2409" s="140" t="s">
        <v>398</v>
      </c>
      <c r="C2409" s="171">
        <v>45699</v>
      </c>
      <c r="D2409" s="172" t="s">
        <v>17</v>
      </c>
      <c r="E2409" s="140" t="s">
        <v>19</v>
      </c>
      <c r="F2409" s="140" t="s">
        <v>14</v>
      </c>
      <c r="G2409" s="176" t="s">
        <v>68</v>
      </c>
      <c r="H2409" s="140" t="s">
        <v>14</v>
      </c>
      <c r="I2409" s="176" t="s">
        <v>68</v>
      </c>
      <c r="J2409" s="174" t="s">
        <v>234</v>
      </c>
    </row>
    <row r="2410" customHeight="1" spans="1:10">
      <c r="A2410" s="140" t="s">
        <v>485</v>
      </c>
      <c r="B2410" s="140" t="s">
        <v>398</v>
      </c>
      <c r="C2410" s="171">
        <v>45700</v>
      </c>
      <c r="D2410" s="172" t="s">
        <v>18</v>
      </c>
      <c r="E2410" s="140" t="s">
        <v>19</v>
      </c>
      <c r="F2410" s="140" t="s">
        <v>14</v>
      </c>
      <c r="G2410" s="176" t="s">
        <v>68</v>
      </c>
      <c r="H2410" s="140" t="s">
        <v>14</v>
      </c>
      <c r="I2410" s="176" t="s">
        <v>68</v>
      </c>
      <c r="J2410" s="174" t="s">
        <v>234</v>
      </c>
    </row>
    <row r="2411" hidden="1" customHeight="1" spans="1:10">
      <c r="A2411" s="140" t="s">
        <v>485</v>
      </c>
      <c r="B2411" s="140" t="s">
        <v>398</v>
      </c>
      <c r="C2411" s="171">
        <v>45701</v>
      </c>
      <c r="D2411" s="172" t="s">
        <v>23</v>
      </c>
      <c r="E2411" s="140" t="s">
        <v>19</v>
      </c>
      <c r="F2411" s="140" t="s">
        <v>28</v>
      </c>
      <c r="G2411" s="140" t="s">
        <v>21</v>
      </c>
      <c r="H2411" s="140" t="s">
        <v>78</v>
      </c>
      <c r="I2411" s="140" t="s">
        <v>21</v>
      </c>
      <c r="J2411" s="174"/>
    </row>
    <row r="2412" hidden="1" customHeight="1" spans="1:10">
      <c r="A2412" s="140" t="s">
        <v>485</v>
      </c>
      <c r="B2412" s="140" t="s">
        <v>398</v>
      </c>
      <c r="C2412" s="171">
        <v>45702</v>
      </c>
      <c r="D2412" s="172" t="s">
        <v>25</v>
      </c>
      <c r="E2412" s="140" t="s">
        <v>19</v>
      </c>
      <c r="F2412" s="140" t="s">
        <v>193</v>
      </c>
      <c r="G2412" s="140" t="s">
        <v>21</v>
      </c>
      <c r="H2412" s="140" t="s">
        <v>170</v>
      </c>
      <c r="I2412" s="140" t="s">
        <v>21</v>
      </c>
      <c r="J2412" s="174"/>
    </row>
    <row r="2413" hidden="1" customHeight="1" spans="1:10">
      <c r="A2413" s="140" t="s">
        <v>485</v>
      </c>
      <c r="B2413" s="140" t="s">
        <v>398</v>
      </c>
      <c r="C2413" s="171">
        <v>45703</v>
      </c>
      <c r="D2413" s="172" t="s">
        <v>27</v>
      </c>
      <c r="E2413" s="173" t="s">
        <v>13</v>
      </c>
      <c r="F2413" s="140" t="s">
        <v>14</v>
      </c>
      <c r="G2413" s="140" t="s">
        <v>14</v>
      </c>
      <c r="H2413" s="140" t="s">
        <v>14</v>
      </c>
      <c r="I2413" s="140" t="s">
        <v>14</v>
      </c>
      <c r="J2413" s="174"/>
    </row>
    <row r="2414" hidden="1" customHeight="1" spans="1:10">
      <c r="A2414" s="140" t="s">
        <v>485</v>
      </c>
      <c r="B2414" s="140" t="s">
        <v>398</v>
      </c>
      <c r="C2414" s="171">
        <v>45704</v>
      </c>
      <c r="D2414" s="172" t="s">
        <v>15</v>
      </c>
      <c r="E2414" s="173" t="s">
        <v>13</v>
      </c>
      <c r="F2414" s="140" t="s">
        <v>14</v>
      </c>
      <c r="G2414" s="140" t="s">
        <v>14</v>
      </c>
      <c r="H2414" s="140" t="s">
        <v>14</v>
      </c>
      <c r="I2414" s="140" t="s">
        <v>14</v>
      </c>
      <c r="J2414" s="174"/>
    </row>
    <row r="2415" hidden="1" customHeight="1" spans="1:10">
      <c r="A2415" s="140" t="s">
        <v>485</v>
      </c>
      <c r="B2415" s="140" t="s">
        <v>398</v>
      </c>
      <c r="C2415" s="171">
        <v>45705</v>
      </c>
      <c r="D2415" s="172" t="s">
        <v>16</v>
      </c>
      <c r="E2415" s="140" t="s">
        <v>19</v>
      </c>
      <c r="F2415" s="140" t="s">
        <v>188</v>
      </c>
      <c r="G2415" s="140" t="s">
        <v>21</v>
      </c>
      <c r="H2415" s="140" t="s">
        <v>78</v>
      </c>
      <c r="I2415" s="140" t="s">
        <v>21</v>
      </c>
      <c r="J2415" s="174"/>
    </row>
    <row r="2416" hidden="1" customHeight="1" spans="1:10">
      <c r="A2416" s="140" t="s">
        <v>485</v>
      </c>
      <c r="B2416" s="140" t="s">
        <v>398</v>
      </c>
      <c r="C2416" s="171">
        <v>45706</v>
      </c>
      <c r="D2416" s="172" t="s">
        <v>17</v>
      </c>
      <c r="E2416" s="140" t="s">
        <v>19</v>
      </c>
      <c r="F2416" s="140" t="s">
        <v>188</v>
      </c>
      <c r="G2416" s="140" t="s">
        <v>21</v>
      </c>
      <c r="H2416" s="140" t="s">
        <v>175</v>
      </c>
      <c r="I2416" s="140" t="s">
        <v>21</v>
      </c>
      <c r="J2416" s="174"/>
    </row>
    <row r="2417" hidden="1" customHeight="1" spans="1:10">
      <c r="A2417" s="140" t="s">
        <v>485</v>
      </c>
      <c r="B2417" s="140" t="s">
        <v>398</v>
      </c>
      <c r="C2417" s="171">
        <v>45707</v>
      </c>
      <c r="D2417" s="172" t="s">
        <v>18</v>
      </c>
      <c r="E2417" s="140" t="s">
        <v>19</v>
      </c>
      <c r="F2417" s="140" t="s">
        <v>51</v>
      </c>
      <c r="G2417" s="140" t="s">
        <v>21</v>
      </c>
      <c r="H2417" s="140" t="s">
        <v>235</v>
      </c>
      <c r="I2417" s="140" t="s">
        <v>21</v>
      </c>
      <c r="J2417" s="174"/>
    </row>
    <row r="2418" hidden="1" customHeight="1" spans="1:10">
      <c r="A2418" s="140" t="s">
        <v>485</v>
      </c>
      <c r="B2418" s="140" t="s">
        <v>398</v>
      </c>
      <c r="C2418" s="171">
        <v>45708</v>
      </c>
      <c r="D2418" s="172" t="s">
        <v>23</v>
      </c>
      <c r="E2418" s="140" t="s">
        <v>19</v>
      </c>
      <c r="F2418" s="140" t="s">
        <v>188</v>
      </c>
      <c r="G2418" s="140" t="s">
        <v>21</v>
      </c>
      <c r="H2418" s="140" t="s">
        <v>35</v>
      </c>
      <c r="I2418" s="140" t="s">
        <v>21</v>
      </c>
      <c r="J2418" s="174"/>
    </row>
    <row r="2419" hidden="1" customHeight="1" spans="1:10">
      <c r="A2419" s="140" t="s">
        <v>485</v>
      </c>
      <c r="B2419" s="140" t="s">
        <v>398</v>
      </c>
      <c r="C2419" s="171">
        <v>45709</v>
      </c>
      <c r="D2419" s="172" t="s">
        <v>25</v>
      </c>
      <c r="E2419" s="140" t="s">
        <v>19</v>
      </c>
      <c r="F2419" s="140" t="s">
        <v>51</v>
      </c>
      <c r="G2419" s="140" t="s">
        <v>21</v>
      </c>
      <c r="H2419" s="140" t="s">
        <v>175</v>
      </c>
      <c r="I2419" s="140" t="s">
        <v>21</v>
      </c>
      <c r="J2419" s="174"/>
    </row>
    <row r="2420" hidden="1" customHeight="1" spans="1:10">
      <c r="A2420" s="140" t="s">
        <v>485</v>
      </c>
      <c r="B2420" s="140" t="s">
        <v>398</v>
      </c>
      <c r="C2420" s="171">
        <v>45710</v>
      </c>
      <c r="D2420" s="172" t="s">
        <v>27</v>
      </c>
      <c r="E2420" s="173" t="s">
        <v>13</v>
      </c>
      <c r="F2420" s="140" t="s">
        <v>14</v>
      </c>
      <c r="G2420" s="140" t="s">
        <v>14</v>
      </c>
      <c r="H2420" s="140" t="s">
        <v>14</v>
      </c>
      <c r="I2420" s="140" t="s">
        <v>14</v>
      </c>
      <c r="J2420" s="174"/>
    </row>
    <row r="2421" hidden="1" customHeight="1" spans="1:10">
      <c r="A2421" s="140" t="s">
        <v>485</v>
      </c>
      <c r="B2421" s="140" t="s">
        <v>398</v>
      </c>
      <c r="C2421" s="171">
        <v>45711</v>
      </c>
      <c r="D2421" s="172" t="s">
        <v>15</v>
      </c>
      <c r="E2421" s="173" t="s">
        <v>13</v>
      </c>
      <c r="F2421" s="140" t="s">
        <v>14</v>
      </c>
      <c r="G2421" s="140" t="s">
        <v>14</v>
      </c>
      <c r="H2421" s="140" t="s">
        <v>14</v>
      </c>
      <c r="I2421" s="140" t="s">
        <v>14</v>
      </c>
      <c r="J2421" s="174"/>
    </row>
    <row r="2422" hidden="1" customHeight="1" spans="1:10">
      <c r="A2422" s="140" t="s">
        <v>485</v>
      </c>
      <c r="B2422" s="140" t="s">
        <v>398</v>
      </c>
      <c r="C2422" s="171">
        <v>45712</v>
      </c>
      <c r="D2422" s="172" t="s">
        <v>16</v>
      </c>
      <c r="E2422" s="140" t="s">
        <v>19</v>
      </c>
      <c r="F2422" s="140" t="s">
        <v>193</v>
      </c>
      <c r="G2422" s="140" t="s">
        <v>21</v>
      </c>
      <c r="H2422" s="140" t="s">
        <v>78</v>
      </c>
      <c r="I2422" s="140" t="s">
        <v>21</v>
      </c>
      <c r="J2422" s="174"/>
    </row>
    <row r="2423" hidden="1" customHeight="1" spans="1:10">
      <c r="A2423" s="140" t="s">
        <v>485</v>
      </c>
      <c r="B2423" s="140" t="s">
        <v>398</v>
      </c>
      <c r="C2423" s="171">
        <v>45713</v>
      </c>
      <c r="D2423" s="172" t="s">
        <v>17</v>
      </c>
      <c r="E2423" s="140" t="s">
        <v>19</v>
      </c>
      <c r="F2423" s="140" t="s">
        <v>154</v>
      </c>
      <c r="G2423" s="140" t="s">
        <v>21</v>
      </c>
      <c r="H2423" s="140" t="s">
        <v>205</v>
      </c>
      <c r="I2423" s="140" t="s">
        <v>21</v>
      </c>
      <c r="J2423" s="174"/>
    </row>
    <row r="2424" hidden="1" customHeight="1" spans="1:10">
      <c r="A2424" s="140" t="s">
        <v>485</v>
      </c>
      <c r="B2424" s="140" t="s">
        <v>398</v>
      </c>
      <c r="C2424" s="171">
        <v>45714</v>
      </c>
      <c r="D2424" s="172" t="s">
        <v>18</v>
      </c>
      <c r="E2424" s="140" t="s">
        <v>19</v>
      </c>
      <c r="F2424" s="140" t="s">
        <v>193</v>
      </c>
      <c r="G2424" s="140" t="s">
        <v>21</v>
      </c>
      <c r="H2424" s="140" t="s">
        <v>206</v>
      </c>
      <c r="I2424" s="140" t="s">
        <v>21</v>
      </c>
      <c r="J2424" s="174"/>
    </row>
    <row r="2425" hidden="1" customHeight="1" spans="1:10">
      <c r="A2425" s="140" t="s">
        <v>485</v>
      </c>
      <c r="B2425" s="140" t="s">
        <v>398</v>
      </c>
      <c r="C2425" s="171">
        <v>45715</v>
      </c>
      <c r="D2425" s="172" t="s">
        <v>23</v>
      </c>
      <c r="E2425" s="140" t="s">
        <v>19</v>
      </c>
      <c r="F2425" s="140" t="s">
        <v>154</v>
      </c>
      <c r="G2425" s="140" t="s">
        <v>21</v>
      </c>
      <c r="H2425" s="140" t="s">
        <v>78</v>
      </c>
      <c r="I2425" s="140" t="s">
        <v>21</v>
      </c>
      <c r="J2425" s="174"/>
    </row>
    <row r="2426" hidden="1" customHeight="1" spans="1:10">
      <c r="A2426" s="140" t="s">
        <v>485</v>
      </c>
      <c r="B2426" s="140" t="s">
        <v>398</v>
      </c>
      <c r="C2426" s="171">
        <v>45716</v>
      </c>
      <c r="D2426" s="172" t="s">
        <v>25</v>
      </c>
      <c r="E2426" s="140" t="s">
        <v>19</v>
      </c>
      <c r="F2426" s="140" t="s">
        <v>33</v>
      </c>
      <c r="G2426" s="140" t="s">
        <v>21</v>
      </c>
      <c r="H2426" s="140" t="s">
        <v>205</v>
      </c>
      <c r="I2426" s="140" t="s">
        <v>21</v>
      </c>
      <c r="J2426" s="174"/>
    </row>
    <row r="2427" hidden="1" customHeight="1" spans="1:10">
      <c r="A2427" s="140" t="s">
        <v>486</v>
      </c>
      <c r="B2427" s="140" t="s">
        <v>487</v>
      </c>
      <c r="C2427" s="171">
        <v>45689</v>
      </c>
      <c r="D2427" s="172" t="s">
        <v>12</v>
      </c>
      <c r="E2427" s="173" t="s">
        <v>13</v>
      </c>
      <c r="F2427" s="140" t="s">
        <v>14</v>
      </c>
      <c r="G2427" s="140" t="s">
        <v>14</v>
      </c>
      <c r="H2427" s="140" t="s">
        <v>14</v>
      </c>
      <c r="I2427" s="140" t="s">
        <v>14</v>
      </c>
      <c r="J2427" s="174"/>
    </row>
    <row r="2428" hidden="1" customHeight="1" spans="1:10">
      <c r="A2428" s="140" t="s">
        <v>486</v>
      </c>
      <c r="B2428" s="140" t="s">
        <v>487</v>
      </c>
      <c r="C2428" s="171">
        <v>45690</v>
      </c>
      <c r="D2428" s="172" t="s">
        <v>15</v>
      </c>
      <c r="E2428" s="173" t="s">
        <v>13</v>
      </c>
      <c r="F2428" s="140" t="s">
        <v>14</v>
      </c>
      <c r="G2428" s="140" t="s">
        <v>14</v>
      </c>
      <c r="H2428" s="140" t="s">
        <v>14</v>
      </c>
      <c r="I2428" s="140" t="s">
        <v>14</v>
      </c>
      <c r="J2428" s="174"/>
    </row>
    <row r="2429" hidden="1" customHeight="1" spans="1:10">
      <c r="A2429" s="140" t="s">
        <v>486</v>
      </c>
      <c r="B2429" s="140" t="s">
        <v>487</v>
      </c>
      <c r="C2429" s="171">
        <v>45691</v>
      </c>
      <c r="D2429" s="172" t="s">
        <v>16</v>
      </c>
      <c r="E2429" s="173" t="s">
        <v>13</v>
      </c>
      <c r="F2429" s="140" t="s">
        <v>14</v>
      </c>
      <c r="G2429" s="140" t="s">
        <v>14</v>
      </c>
      <c r="H2429" s="140" t="s">
        <v>14</v>
      </c>
      <c r="I2429" s="140" t="s">
        <v>14</v>
      </c>
      <c r="J2429" s="174"/>
    </row>
    <row r="2430" hidden="1" customHeight="1" spans="1:10">
      <c r="A2430" s="140" t="s">
        <v>486</v>
      </c>
      <c r="B2430" s="140" t="s">
        <v>487</v>
      </c>
      <c r="C2430" s="171">
        <v>45692</v>
      </c>
      <c r="D2430" s="172" t="s">
        <v>17</v>
      </c>
      <c r="E2430" s="173" t="s">
        <v>13</v>
      </c>
      <c r="F2430" s="140" t="s">
        <v>14</v>
      </c>
      <c r="G2430" s="140" t="s">
        <v>14</v>
      </c>
      <c r="H2430" s="140" t="s">
        <v>14</v>
      </c>
      <c r="I2430" s="140" t="s">
        <v>14</v>
      </c>
      <c r="J2430" s="174"/>
    </row>
    <row r="2431" customHeight="1" spans="1:10">
      <c r="A2431" s="140" t="s">
        <v>486</v>
      </c>
      <c r="B2431" s="140" t="s">
        <v>487</v>
      </c>
      <c r="C2431" s="171">
        <v>45693</v>
      </c>
      <c r="D2431" s="172" t="s">
        <v>18</v>
      </c>
      <c r="E2431" s="140" t="s">
        <v>19</v>
      </c>
      <c r="F2431" s="140" t="s">
        <v>14</v>
      </c>
      <c r="G2431" s="176" t="s">
        <v>68</v>
      </c>
      <c r="H2431" s="140" t="s">
        <v>14</v>
      </c>
      <c r="I2431" s="176" t="s">
        <v>68</v>
      </c>
      <c r="J2431" s="174" t="s">
        <v>234</v>
      </c>
    </row>
    <row r="2432" hidden="1" customHeight="1" spans="1:10">
      <c r="A2432" s="140" t="s">
        <v>486</v>
      </c>
      <c r="B2432" s="140" t="s">
        <v>487</v>
      </c>
      <c r="C2432" s="171">
        <v>45694</v>
      </c>
      <c r="D2432" s="172" t="s">
        <v>23</v>
      </c>
      <c r="E2432" s="140" t="s">
        <v>19</v>
      </c>
      <c r="F2432" s="140" t="s">
        <v>98</v>
      </c>
      <c r="G2432" s="140" t="s">
        <v>21</v>
      </c>
      <c r="H2432" s="140" t="s">
        <v>24</v>
      </c>
      <c r="I2432" s="140" t="s">
        <v>21</v>
      </c>
      <c r="J2432" s="174"/>
    </row>
    <row r="2433" hidden="1" customHeight="1" spans="1:10">
      <c r="A2433" s="140" t="s">
        <v>486</v>
      </c>
      <c r="B2433" s="140" t="s">
        <v>487</v>
      </c>
      <c r="C2433" s="171">
        <v>45695</v>
      </c>
      <c r="D2433" s="172" t="s">
        <v>25</v>
      </c>
      <c r="E2433" s="140" t="s">
        <v>19</v>
      </c>
      <c r="F2433" s="140" t="s">
        <v>28</v>
      </c>
      <c r="G2433" s="140" t="s">
        <v>21</v>
      </c>
      <c r="H2433" s="140" t="s">
        <v>205</v>
      </c>
      <c r="I2433" s="140" t="s">
        <v>21</v>
      </c>
      <c r="J2433" s="174"/>
    </row>
    <row r="2434" hidden="1" customHeight="1" spans="1:10">
      <c r="A2434" s="140" t="s">
        <v>486</v>
      </c>
      <c r="B2434" s="140" t="s">
        <v>487</v>
      </c>
      <c r="C2434" s="171">
        <v>45696</v>
      </c>
      <c r="D2434" s="172" t="s">
        <v>27</v>
      </c>
      <c r="E2434" s="140" t="s">
        <v>19</v>
      </c>
      <c r="F2434" s="140" t="s">
        <v>195</v>
      </c>
      <c r="G2434" s="140" t="s">
        <v>21</v>
      </c>
      <c r="H2434" s="140" t="s">
        <v>174</v>
      </c>
      <c r="I2434" s="140" t="s">
        <v>21</v>
      </c>
      <c r="J2434" s="174"/>
    </row>
    <row r="2435" hidden="1" customHeight="1" spans="1:10">
      <c r="A2435" s="140" t="s">
        <v>486</v>
      </c>
      <c r="B2435" s="140" t="s">
        <v>487</v>
      </c>
      <c r="C2435" s="171">
        <v>45697</v>
      </c>
      <c r="D2435" s="172" t="s">
        <v>15</v>
      </c>
      <c r="E2435" s="173" t="s">
        <v>13</v>
      </c>
      <c r="F2435" s="140" t="s">
        <v>14</v>
      </c>
      <c r="G2435" s="140" t="s">
        <v>14</v>
      </c>
      <c r="H2435" s="140" t="s">
        <v>14</v>
      </c>
      <c r="I2435" s="140" t="s">
        <v>14</v>
      </c>
      <c r="J2435" s="174"/>
    </row>
    <row r="2436" hidden="1" customHeight="1" spans="1:10">
      <c r="A2436" s="140" t="s">
        <v>486</v>
      </c>
      <c r="B2436" s="140" t="s">
        <v>487</v>
      </c>
      <c r="C2436" s="171">
        <v>45698</v>
      </c>
      <c r="D2436" s="172" t="s">
        <v>16</v>
      </c>
      <c r="E2436" s="140" t="s">
        <v>19</v>
      </c>
      <c r="F2436" s="140" t="s">
        <v>33</v>
      </c>
      <c r="G2436" s="140" t="s">
        <v>21</v>
      </c>
      <c r="H2436" s="140" t="s">
        <v>155</v>
      </c>
      <c r="I2436" s="140" t="s">
        <v>21</v>
      </c>
      <c r="J2436" s="174"/>
    </row>
    <row r="2437" hidden="1" customHeight="1" spans="1:10">
      <c r="A2437" s="140" t="s">
        <v>486</v>
      </c>
      <c r="B2437" s="140" t="s">
        <v>487</v>
      </c>
      <c r="C2437" s="171">
        <v>45699</v>
      </c>
      <c r="D2437" s="172" t="s">
        <v>17</v>
      </c>
      <c r="E2437" s="140" t="s">
        <v>19</v>
      </c>
      <c r="F2437" s="140" t="s">
        <v>33</v>
      </c>
      <c r="G2437" s="140" t="s">
        <v>21</v>
      </c>
      <c r="H2437" s="140" t="s">
        <v>175</v>
      </c>
      <c r="I2437" s="140" t="s">
        <v>21</v>
      </c>
      <c r="J2437" s="174"/>
    </row>
    <row r="2438" hidden="1" customHeight="1" spans="1:10">
      <c r="A2438" s="140" t="s">
        <v>486</v>
      </c>
      <c r="B2438" s="140" t="s">
        <v>487</v>
      </c>
      <c r="C2438" s="171">
        <v>45700</v>
      </c>
      <c r="D2438" s="172" t="s">
        <v>18</v>
      </c>
      <c r="E2438" s="140" t="s">
        <v>19</v>
      </c>
      <c r="F2438" s="140" t="s">
        <v>157</v>
      </c>
      <c r="G2438" s="140" t="s">
        <v>21</v>
      </c>
      <c r="H2438" s="140" t="s">
        <v>210</v>
      </c>
      <c r="I2438" s="140" t="s">
        <v>21</v>
      </c>
      <c r="J2438" s="174"/>
    </row>
    <row r="2439" hidden="1" customHeight="1" spans="1:10">
      <c r="A2439" s="140" t="s">
        <v>486</v>
      </c>
      <c r="B2439" s="140" t="s">
        <v>487</v>
      </c>
      <c r="C2439" s="171">
        <v>45701</v>
      </c>
      <c r="D2439" s="172" t="s">
        <v>23</v>
      </c>
      <c r="E2439" s="140" t="s">
        <v>19</v>
      </c>
      <c r="F2439" s="140" t="s">
        <v>46</v>
      </c>
      <c r="G2439" s="140" t="s">
        <v>21</v>
      </c>
      <c r="H2439" s="140" t="s">
        <v>45</v>
      </c>
      <c r="I2439" s="140" t="s">
        <v>21</v>
      </c>
      <c r="J2439" s="174"/>
    </row>
    <row r="2440" hidden="1" customHeight="1" spans="1:10">
      <c r="A2440" s="140" t="s">
        <v>486</v>
      </c>
      <c r="B2440" s="140" t="s">
        <v>487</v>
      </c>
      <c r="C2440" s="171">
        <v>45702</v>
      </c>
      <c r="D2440" s="172" t="s">
        <v>25</v>
      </c>
      <c r="E2440" s="140" t="s">
        <v>19</v>
      </c>
      <c r="F2440" s="140" t="s">
        <v>36</v>
      </c>
      <c r="G2440" s="140" t="s">
        <v>21</v>
      </c>
      <c r="H2440" s="140" t="s">
        <v>212</v>
      </c>
      <c r="I2440" s="140" t="s">
        <v>21</v>
      </c>
      <c r="J2440" s="174"/>
    </row>
    <row r="2441" hidden="1" customHeight="1" spans="1:10">
      <c r="A2441" s="140" t="s">
        <v>486</v>
      </c>
      <c r="B2441" s="140" t="s">
        <v>487</v>
      </c>
      <c r="C2441" s="171">
        <v>45703</v>
      </c>
      <c r="D2441" s="172" t="s">
        <v>27</v>
      </c>
      <c r="E2441" s="173" t="s">
        <v>13</v>
      </c>
      <c r="F2441" s="140" t="s">
        <v>14</v>
      </c>
      <c r="G2441" s="140" t="s">
        <v>14</v>
      </c>
      <c r="H2441" s="140" t="s">
        <v>14</v>
      </c>
      <c r="I2441" s="140" t="s">
        <v>14</v>
      </c>
      <c r="J2441" s="174"/>
    </row>
    <row r="2442" hidden="1" customHeight="1" spans="1:10">
      <c r="A2442" s="140" t="s">
        <v>486</v>
      </c>
      <c r="B2442" s="140" t="s">
        <v>487</v>
      </c>
      <c r="C2442" s="171">
        <v>45704</v>
      </c>
      <c r="D2442" s="172" t="s">
        <v>15</v>
      </c>
      <c r="E2442" s="173" t="s">
        <v>13</v>
      </c>
      <c r="F2442" s="140" t="s">
        <v>14</v>
      </c>
      <c r="G2442" s="140" t="s">
        <v>14</v>
      </c>
      <c r="H2442" s="140" t="s">
        <v>14</v>
      </c>
      <c r="I2442" s="140" t="s">
        <v>14</v>
      </c>
      <c r="J2442" s="174"/>
    </row>
    <row r="2443" hidden="1" customHeight="1" spans="1:10">
      <c r="A2443" s="140" t="s">
        <v>486</v>
      </c>
      <c r="B2443" s="140" t="s">
        <v>487</v>
      </c>
      <c r="C2443" s="171">
        <v>45705</v>
      </c>
      <c r="D2443" s="172" t="s">
        <v>16</v>
      </c>
      <c r="E2443" s="140" t="s">
        <v>19</v>
      </c>
      <c r="F2443" s="140" t="s">
        <v>30</v>
      </c>
      <c r="G2443" s="140" t="s">
        <v>21</v>
      </c>
      <c r="H2443" s="140" t="s">
        <v>78</v>
      </c>
      <c r="I2443" s="140" t="s">
        <v>21</v>
      </c>
      <c r="J2443" s="174"/>
    </row>
    <row r="2444" hidden="1" customHeight="1" spans="1:10">
      <c r="A2444" s="140" t="s">
        <v>486</v>
      </c>
      <c r="B2444" s="140" t="s">
        <v>487</v>
      </c>
      <c r="C2444" s="171">
        <v>45706</v>
      </c>
      <c r="D2444" s="172" t="s">
        <v>17</v>
      </c>
      <c r="E2444" s="140" t="s">
        <v>19</v>
      </c>
      <c r="F2444" s="140" t="s">
        <v>28</v>
      </c>
      <c r="G2444" s="140" t="s">
        <v>21</v>
      </c>
      <c r="H2444" s="140" t="s">
        <v>235</v>
      </c>
      <c r="I2444" s="140" t="s">
        <v>21</v>
      </c>
      <c r="J2444" s="174"/>
    </row>
    <row r="2445" hidden="1" customHeight="1" spans="1:10">
      <c r="A2445" s="140" t="s">
        <v>486</v>
      </c>
      <c r="B2445" s="140" t="s">
        <v>487</v>
      </c>
      <c r="C2445" s="171">
        <v>45707</v>
      </c>
      <c r="D2445" s="172" t="s">
        <v>18</v>
      </c>
      <c r="E2445" s="140" t="s">
        <v>19</v>
      </c>
      <c r="F2445" s="140" t="s">
        <v>30</v>
      </c>
      <c r="G2445" s="140" t="s">
        <v>21</v>
      </c>
      <c r="H2445" s="140" t="s">
        <v>235</v>
      </c>
      <c r="I2445" s="140" t="s">
        <v>21</v>
      </c>
      <c r="J2445" s="174"/>
    </row>
    <row r="2446" hidden="1" customHeight="1" spans="1:10">
      <c r="A2446" s="140" t="s">
        <v>486</v>
      </c>
      <c r="B2446" s="140" t="s">
        <v>487</v>
      </c>
      <c r="C2446" s="171">
        <v>45708</v>
      </c>
      <c r="D2446" s="172" t="s">
        <v>23</v>
      </c>
      <c r="E2446" s="140" t="s">
        <v>19</v>
      </c>
      <c r="F2446" s="140" t="s">
        <v>20</v>
      </c>
      <c r="G2446" s="140" t="s">
        <v>21</v>
      </c>
      <c r="H2446" s="140" t="s">
        <v>73</v>
      </c>
      <c r="I2446" s="140" t="s">
        <v>21</v>
      </c>
      <c r="J2446" s="174"/>
    </row>
    <row r="2447" hidden="1" customHeight="1" spans="1:10">
      <c r="A2447" s="140" t="s">
        <v>486</v>
      </c>
      <c r="B2447" s="140" t="s">
        <v>487</v>
      </c>
      <c r="C2447" s="171">
        <v>45709</v>
      </c>
      <c r="D2447" s="172" t="s">
        <v>25</v>
      </c>
      <c r="E2447" s="140" t="s">
        <v>19</v>
      </c>
      <c r="F2447" s="140" t="s">
        <v>20</v>
      </c>
      <c r="G2447" s="140" t="s">
        <v>21</v>
      </c>
      <c r="H2447" s="140" t="s">
        <v>205</v>
      </c>
      <c r="I2447" s="140" t="s">
        <v>21</v>
      </c>
      <c r="J2447" s="174"/>
    </row>
    <row r="2448" hidden="1" customHeight="1" spans="1:10">
      <c r="A2448" s="140" t="s">
        <v>486</v>
      </c>
      <c r="B2448" s="140" t="s">
        <v>487</v>
      </c>
      <c r="C2448" s="171">
        <v>45710</v>
      </c>
      <c r="D2448" s="172" t="s">
        <v>27</v>
      </c>
      <c r="E2448" s="173" t="s">
        <v>13</v>
      </c>
      <c r="F2448" s="140" t="s">
        <v>14</v>
      </c>
      <c r="G2448" s="140" t="s">
        <v>14</v>
      </c>
      <c r="H2448" s="140" t="s">
        <v>14</v>
      </c>
      <c r="I2448" s="140" t="s">
        <v>14</v>
      </c>
      <c r="J2448" s="174"/>
    </row>
    <row r="2449" hidden="1" customHeight="1" spans="1:10">
      <c r="A2449" s="140" t="s">
        <v>486</v>
      </c>
      <c r="B2449" s="140" t="s">
        <v>487</v>
      </c>
      <c r="C2449" s="171">
        <v>45711</v>
      </c>
      <c r="D2449" s="172" t="s">
        <v>15</v>
      </c>
      <c r="E2449" s="173" t="s">
        <v>13</v>
      </c>
      <c r="F2449" s="140" t="s">
        <v>14</v>
      </c>
      <c r="G2449" s="140" t="s">
        <v>14</v>
      </c>
      <c r="H2449" s="140" t="s">
        <v>14</v>
      </c>
      <c r="I2449" s="140" t="s">
        <v>14</v>
      </c>
      <c r="J2449" s="174"/>
    </row>
    <row r="2450" hidden="1" customHeight="1" spans="1:10">
      <c r="A2450" s="140" t="s">
        <v>486</v>
      </c>
      <c r="B2450" s="140" t="s">
        <v>487</v>
      </c>
      <c r="C2450" s="171">
        <v>45712</v>
      </c>
      <c r="D2450" s="172" t="s">
        <v>16</v>
      </c>
      <c r="E2450" s="140" t="s">
        <v>19</v>
      </c>
      <c r="F2450" s="140" t="s">
        <v>33</v>
      </c>
      <c r="G2450" s="140" t="s">
        <v>21</v>
      </c>
      <c r="H2450" s="140" t="s">
        <v>78</v>
      </c>
      <c r="I2450" s="140" t="s">
        <v>21</v>
      </c>
      <c r="J2450" s="174"/>
    </row>
    <row r="2451" hidden="1" customHeight="1" spans="1:10">
      <c r="A2451" s="140" t="s">
        <v>486</v>
      </c>
      <c r="B2451" s="140" t="s">
        <v>487</v>
      </c>
      <c r="C2451" s="171">
        <v>45713</v>
      </c>
      <c r="D2451" s="172" t="s">
        <v>17</v>
      </c>
      <c r="E2451" s="140" t="s">
        <v>19</v>
      </c>
      <c r="F2451" s="140" t="s">
        <v>51</v>
      </c>
      <c r="G2451" s="140" t="s">
        <v>21</v>
      </c>
      <c r="H2451" s="140" t="s">
        <v>206</v>
      </c>
      <c r="I2451" s="140" t="s">
        <v>21</v>
      </c>
      <c r="J2451" s="174"/>
    </row>
    <row r="2452" hidden="1" customHeight="1" spans="1:10">
      <c r="A2452" s="140" t="s">
        <v>486</v>
      </c>
      <c r="B2452" s="140" t="s">
        <v>487</v>
      </c>
      <c r="C2452" s="171">
        <v>45714</v>
      </c>
      <c r="D2452" s="172" t="s">
        <v>18</v>
      </c>
      <c r="E2452" s="140" t="s">
        <v>19</v>
      </c>
      <c r="F2452" s="140" t="s">
        <v>157</v>
      </c>
      <c r="G2452" s="140" t="s">
        <v>21</v>
      </c>
      <c r="H2452" s="140" t="s">
        <v>174</v>
      </c>
      <c r="I2452" s="140" t="s">
        <v>21</v>
      </c>
      <c r="J2452" s="174"/>
    </row>
    <row r="2453" hidden="1" customHeight="1" spans="1:10">
      <c r="A2453" s="140" t="s">
        <v>486</v>
      </c>
      <c r="B2453" s="140" t="s">
        <v>487</v>
      </c>
      <c r="C2453" s="171">
        <v>45715</v>
      </c>
      <c r="D2453" s="172" t="s">
        <v>23</v>
      </c>
      <c r="E2453" s="140" t="s">
        <v>19</v>
      </c>
      <c r="F2453" s="140" t="s">
        <v>51</v>
      </c>
      <c r="G2453" s="140" t="s">
        <v>21</v>
      </c>
      <c r="H2453" s="140" t="s">
        <v>163</v>
      </c>
      <c r="I2453" s="140" t="s">
        <v>21</v>
      </c>
      <c r="J2453" s="174"/>
    </row>
    <row r="2454" hidden="1" customHeight="1" spans="1:10">
      <c r="A2454" s="140" t="s">
        <v>486</v>
      </c>
      <c r="B2454" s="140" t="s">
        <v>487</v>
      </c>
      <c r="C2454" s="171">
        <v>45716</v>
      </c>
      <c r="D2454" s="172" t="s">
        <v>25</v>
      </c>
      <c r="E2454" s="140" t="s">
        <v>19</v>
      </c>
      <c r="F2454" s="140" t="s">
        <v>188</v>
      </c>
      <c r="G2454" s="140" t="s">
        <v>21</v>
      </c>
      <c r="H2454" s="140" t="s">
        <v>53</v>
      </c>
      <c r="I2454" s="140" t="s">
        <v>21</v>
      </c>
      <c r="J2454" s="174"/>
    </row>
    <row r="2455" hidden="1" customHeight="1" spans="1:10">
      <c r="A2455" s="140" t="s">
        <v>488</v>
      </c>
      <c r="B2455" s="140" t="s">
        <v>489</v>
      </c>
      <c r="C2455" s="171">
        <v>45689</v>
      </c>
      <c r="D2455" s="172" t="s">
        <v>12</v>
      </c>
      <c r="E2455" s="173" t="s">
        <v>13</v>
      </c>
      <c r="F2455" s="140" t="s">
        <v>14</v>
      </c>
      <c r="G2455" s="140" t="s">
        <v>14</v>
      </c>
      <c r="H2455" s="140" t="s">
        <v>14</v>
      </c>
      <c r="I2455" s="140" t="s">
        <v>14</v>
      </c>
      <c r="J2455" s="174"/>
    </row>
    <row r="2456" hidden="1" customHeight="1" spans="1:10">
      <c r="A2456" s="140" t="s">
        <v>488</v>
      </c>
      <c r="B2456" s="140" t="s">
        <v>489</v>
      </c>
      <c r="C2456" s="171">
        <v>45690</v>
      </c>
      <c r="D2456" s="172" t="s">
        <v>15</v>
      </c>
      <c r="E2456" s="173" t="s">
        <v>13</v>
      </c>
      <c r="F2456" s="140" t="s">
        <v>14</v>
      </c>
      <c r="G2456" s="140" t="s">
        <v>14</v>
      </c>
      <c r="H2456" s="140" t="s">
        <v>14</v>
      </c>
      <c r="I2456" s="140" t="s">
        <v>14</v>
      </c>
      <c r="J2456" s="174"/>
    </row>
    <row r="2457" hidden="1" customHeight="1" spans="1:10">
      <c r="A2457" s="140" t="s">
        <v>488</v>
      </c>
      <c r="B2457" s="140" t="s">
        <v>489</v>
      </c>
      <c r="C2457" s="171">
        <v>45691</v>
      </c>
      <c r="D2457" s="172" t="s">
        <v>16</v>
      </c>
      <c r="E2457" s="173" t="s">
        <v>13</v>
      </c>
      <c r="F2457" s="140" t="s">
        <v>14</v>
      </c>
      <c r="G2457" s="140" t="s">
        <v>14</v>
      </c>
      <c r="H2457" s="140" t="s">
        <v>14</v>
      </c>
      <c r="I2457" s="140" t="s">
        <v>14</v>
      </c>
      <c r="J2457" s="174"/>
    </row>
    <row r="2458" hidden="1" customHeight="1" spans="1:10">
      <c r="A2458" s="140" t="s">
        <v>488</v>
      </c>
      <c r="B2458" s="140" t="s">
        <v>489</v>
      </c>
      <c r="C2458" s="171">
        <v>45692</v>
      </c>
      <c r="D2458" s="172" t="s">
        <v>17</v>
      </c>
      <c r="E2458" s="173" t="s">
        <v>13</v>
      </c>
      <c r="F2458" s="140" t="s">
        <v>14</v>
      </c>
      <c r="G2458" s="140" t="s">
        <v>14</v>
      </c>
      <c r="H2458" s="140" t="s">
        <v>14</v>
      </c>
      <c r="I2458" s="140" t="s">
        <v>14</v>
      </c>
      <c r="J2458" s="174"/>
    </row>
    <row r="2459" hidden="1" customHeight="1" spans="1:10">
      <c r="A2459" s="140" t="s">
        <v>488</v>
      </c>
      <c r="B2459" s="140" t="s">
        <v>489</v>
      </c>
      <c r="C2459" s="171">
        <v>45693</v>
      </c>
      <c r="D2459" s="172" t="s">
        <v>18</v>
      </c>
      <c r="E2459" s="140" t="s">
        <v>19</v>
      </c>
      <c r="F2459" s="140" t="s">
        <v>40</v>
      </c>
      <c r="G2459" s="140" t="s">
        <v>21</v>
      </c>
      <c r="H2459" s="140" t="s">
        <v>37</v>
      </c>
      <c r="I2459" s="140" t="s">
        <v>21</v>
      </c>
      <c r="J2459" s="174"/>
    </row>
    <row r="2460" hidden="1" customHeight="1" spans="1:10">
      <c r="A2460" s="140" t="s">
        <v>488</v>
      </c>
      <c r="B2460" s="140" t="s">
        <v>489</v>
      </c>
      <c r="C2460" s="171">
        <v>45694</v>
      </c>
      <c r="D2460" s="172" t="s">
        <v>23</v>
      </c>
      <c r="E2460" s="140" t="s">
        <v>19</v>
      </c>
      <c r="F2460" s="140" t="s">
        <v>139</v>
      </c>
      <c r="G2460" s="140" t="s">
        <v>21</v>
      </c>
      <c r="H2460" s="140" t="s">
        <v>78</v>
      </c>
      <c r="I2460" s="140" t="s">
        <v>21</v>
      </c>
      <c r="J2460" s="174"/>
    </row>
    <row r="2461" hidden="1" customHeight="1" spans="1:10">
      <c r="A2461" s="140" t="s">
        <v>488</v>
      </c>
      <c r="B2461" s="140" t="s">
        <v>489</v>
      </c>
      <c r="C2461" s="171">
        <v>45695</v>
      </c>
      <c r="D2461" s="172" t="s">
        <v>25</v>
      </c>
      <c r="E2461" s="140" t="s">
        <v>19</v>
      </c>
      <c r="F2461" s="140" t="s">
        <v>139</v>
      </c>
      <c r="G2461" s="140" t="s">
        <v>21</v>
      </c>
      <c r="H2461" s="140" t="s">
        <v>385</v>
      </c>
      <c r="I2461" s="140" t="s">
        <v>21</v>
      </c>
      <c r="J2461" s="174"/>
    </row>
    <row r="2462" hidden="1" customHeight="1" spans="1:10">
      <c r="A2462" s="140" t="s">
        <v>488</v>
      </c>
      <c r="B2462" s="140" t="s">
        <v>489</v>
      </c>
      <c r="C2462" s="171">
        <v>45696</v>
      </c>
      <c r="D2462" s="172" t="s">
        <v>27</v>
      </c>
      <c r="E2462" s="140" t="s">
        <v>19</v>
      </c>
      <c r="F2462" s="140" t="s">
        <v>129</v>
      </c>
      <c r="G2462" s="140" t="s">
        <v>21</v>
      </c>
      <c r="H2462" s="140" t="s">
        <v>241</v>
      </c>
      <c r="I2462" s="140" t="s">
        <v>21</v>
      </c>
      <c r="J2462" s="174"/>
    </row>
    <row r="2463" hidden="1" customHeight="1" spans="1:10">
      <c r="A2463" s="140" t="s">
        <v>488</v>
      </c>
      <c r="B2463" s="140" t="s">
        <v>489</v>
      </c>
      <c r="C2463" s="171">
        <v>45697</v>
      </c>
      <c r="D2463" s="172" t="s">
        <v>15</v>
      </c>
      <c r="E2463" s="173" t="s">
        <v>13</v>
      </c>
      <c r="F2463" s="140" t="s">
        <v>14</v>
      </c>
      <c r="G2463" s="140" t="s">
        <v>14</v>
      </c>
      <c r="H2463" s="140" t="s">
        <v>14</v>
      </c>
      <c r="I2463" s="140" t="s">
        <v>14</v>
      </c>
      <c r="J2463" s="174"/>
    </row>
    <row r="2464" hidden="1" customHeight="1" spans="1:10">
      <c r="A2464" s="140" t="s">
        <v>488</v>
      </c>
      <c r="B2464" s="140" t="s">
        <v>489</v>
      </c>
      <c r="C2464" s="171">
        <v>45698</v>
      </c>
      <c r="D2464" s="172" t="s">
        <v>16</v>
      </c>
      <c r="E2464" s="140" t="s">
        <v>19</v>
      </c>
      <c r="F2464" s="140" t="s">
        <v>30</v>
      </c>
      <c r="G2464" s="140" t="s">
        <v>21</v>
      </c>
      <c r="H2464" s="140" t="s">
        <v>168</v>
      </c>
      <c r="I2464" s="140" t="s">
        <v>21</v>
      </c>
      <c r="J2464" s="174"/>
    </row>
    <row r="2465" hidden="1" customHeight="1" spans="1:10">
      <c r="A2465" s="140" t="s">
        <v>488</v>
      </c>
      <c r="B2465" s="140" t="s">
        <v>489</v>
      </c>
      <c r="C2465" s="171">
        <v>45699</v>
      </c>
      <c r="D2465" s="172" t="s">
        <v>17</v>
      </c>
      <c r="E2465" s="140" t="s">
        <v>19</v>
      </c>
      <c r="F2465" s="140" t="s">
        <v>139</v>
      </c>
      <c r="G2465" s="140" t="s">
        <v>21</v>
      </c>
      <c r="H2465" s="140" t="s">
        <v>385</v>
      </c>
      <c r="I2465" s="140" t="s">
        <v>21</v>
      </c>
      <c r="J2465" s="174"/>
    </row>
    <row r="2466" hidden="1" customHeight="1" spans="1:10">
      <c r="A2466" s="140" t="s">
        <v>488</v>
      </c>
      <c r="B2466" s="140" t="s">
        <v>489</v>
      </c>
      <c r="C2466" s="171">
        <v>45700</v>
      </c>
      <c r="D2466" s="172" t="s">
        <v>18</v>
      </c>
      <c r="E2466" s="140" t="s">
        <v>19</v>
      </c>
      <c r="F2466" s="140" t="s">
        <v>146</v>
      </c>
      <c r="G2466" s="140" t="s">
        <v>21</v>
      </c>
      <c r="H2466" s="140" t="s">
        <v>32</v>
      </c>
      <c r="I2466" s="140" t="s">
        <v>21</v>
      </c>
      <c r="J2466" s="174"/>
    </row>
    <row r="2467" hidden="1" customHeight="1" spans="1:10">
      <c r="A2467" s="140" t="s">
        <v>488</v>
      </c>
      <c r="B2467" s="140" t="s">
        <v>489</v>
      </c>
      <c r="C2467" s="171">
        <v>45701</v>
      </c>
      <c r="D2467" s="172" t="s">
        <v>23</v>
      </c>
      <c r="E2467" s="140" t="s">
        <v>19</v>
      </c>
      <c r="F2467" s="140" t="s">
        <v>193</v>
      </c>
      <c r="G2467" s="140" t="s">
        <v>21</v>
      </c>
      <c r="H2467" s="140" t="s">
        <v>254</v>
      </c>
      <c r="I2467" s="140" t="s">
        <v>21</v>
      </c>
      <c r="J2467" s="175"/>
    </row>
    <row r="2468" hidden="1" customHeight="1" spans="1:10">
      <c r="A2468" s="140" t="s">
        <v>488</v>
      </c>
      <c r="B2468" s="140" t="s">
        <v>489</v>
      </c>
      <c r="C2468" s="171">
        <v>45702</v>
      </c>
      <c r="D2468" s="172" t="s">
        <v>25</v>
      </c>
      <c r="E2468" s="140" t="s">
        <v>19</v>
      </c>
      <c r="F2468" s="140" t="s">
        <v>28</v>
      </c>
      <c r="G2468" s="140" t="s">
        <v>21</v>
      </c>
      <c r="H2468" s="140" t="s">
        <v>339</v>
      </c>
      <c r="I2468" s="140" t="s">
        <v>21</v>
      </c>
      <c r="J2468" s="174"/>
    </row>
    <row r="2469" hidden="1" customHeight="1" spans="1:10">
      <c r="A2469" s="140" t="s">
        <v>488</v>
      </c>
      <c r="B2469" s="140" t="s">
        <v>489</v>
      </c>
      <c r="C2469" s="171">
        <v>45703</v>
      </c>
      <c r="D2469" s="172" t="s">
        <v>27</v>
      </c>
      <c r="E2469" s="173" t="s">
        <v>13</v>
      </c>
      <c r="F2469" s="140" t="s">
        <v>14</v>
      </c>
      <c r="G2469" s="140" t="s">
        <v>14</v>
      </c>
      <c r="H2469" s="140" t="s">
        <v>14</v>
      </c>
      <c r="I2469" s="140" t="s">
        <v>14</v>
      </c>
      <c r="J2469" s="174"/>
    </row>
    <row r="2470" hidden="1" customHeight="1" spans="1:10">
      <c r="A2470" s="140" t="s">
        <v>488</v>
      </c>
      <c r="B2470" s="140" t="s">
        <v>489</v>
      </c>
      <c r="C2470" s="171">
        <v>45704</v>
      </c>
      <c r="D2470" s="172" t="s">
        <v>15</v>
      </c>
      <c r="E2470" s="173" t="s">
        <v>13</v>
      </c>
      <c r="F2470" s="140" t="s">
        <v>14</v>
      </c>
      <c r="G2470" s="140" t="s">
        <v>14</v>
      </c>
      <c r="H2470" s="140" t="s">
        <v>14</v>
      </c>
      <c r="I2470" s="140" t="s">
        <v>14</v>
      </c>
      <c r="J2470" s="174"/>
    </row>
    <row r="2471" hidden="1" customHeight="1" spans="1:10">
      <c r="A2471" s="140" t="s">
        <v>488</v>
      </c>
      <c r="B2471" s="140" t="s">
        <v>489</v>
      </c>
      <c r="C2471" s="171">
        <v>45705</v>
      </c>
      <c r="D2471" s="172" t="s">
        <v>16</v>
      </c>
      <c r="E2471" s="140" t="s">
        <v>19</v>
      </c>
      <c r="F2471" s="140" t="s">
        <v>28</v>
      </c>
      <c r="G2471" s="140" t="s">
        <v>21</v>
      </c>
      <c r="H2471" s="140" t="s">
        <v>163</v>
      </c>
      <c r="I2471" s="140" t="s">
        <v>21</v>
      </c>
      <c r="J2471" s="174"/>
    </row>
    <row r="2472" hidden="1" customHeight="1" spans="1:10">
      <c r="A2472" s="140" t="s">
        <v>488</v>
      </c>
      <c r="B2472" s="140" t="s">
        <v>489</v>
      </c>
      <c r="C2472" s="171">
        <v>45706</v>
      </c>
      <c r="D2472" s="172" t="s">
        <v>17</v>
      </c>
      <c r="E2472" s="140" t="s">
        <v>19</v>
      </c>
      <c r="F2472" s="140" t="s">
        <v>30</v>
      </c>
      <c r="G2472" s="140" t="s">
        <v>21</v>
      </c>
      <c r="H2472" s="140" t="s">
        <v>461</v>
      </c>
      <c r="I2472" s="140" t="s">
        <v>21</v>
      </c>
      <c r="J2472" s="174"/>
    </row>
    <row r="2473" hidden="1" customHeight="1" spans="1:10">
      <c r="A2473" s="140" t="s">
        <v>488</v>
      </c>
      <c r="B2473" s="140" t="s">
        <v>489</v>
      </c>
      <c r="C2473" s="171">
        <v>45707</v>
      </c>
      <c r="D2473" s="172" t="s">
        <v>18</v>
      </c>
      <c r="E2473" s="140" t="s">
        <v>19</v>
      </c>
      <c r="F2473" s="140" t="s">
        <v>157</v>
      </c>
      <c r="G2473" s="140" t="s">
        <v>21</v>
      </c>
      <c r="H2473" s="140" t="s">
        <v>337</v>
      </c>
      <c r="I2473" s="140" t="s">
        <v>21</v>
      </c>
      <c r="J2473" s="174"/>
    </row>
    <row r="2474" hidden="1" customHeight="1" spans="1:10">
      <c r="A2474" s="140" t="s">
        <v>488</v>
      </c>
      <c r="B2474" s="140" t="s">
        <v>489</v>
      </c>
      <c r="C2474" s="171">
        <v>45708</v>
      </c>
      <c r="D2474" s="172" t="s">
        <v>23</v>
      </c>
      <c r="E2474" s="140" t="s">
        <v>19</v>
      </c>
      <c r="F2474" s="140" t="s">
        <v>154</v>
      </c>
      <c r="G2474" s="140" t="s">
        <v>21</v>
      </c>
      <c r="H2474" s="140" t="s">
        <v>35</v>
      </c>
      <c r="I2474" s="140" t="s">
        <v>21</v>
      </c>
      <c r="J2474" s="174"/>
    </row>
    <row r="2475" hidden="1" customHeight="1" spans="1:10">
      <c r="A2475" s="140" t="s">
        <v>488</v>
      </c>
      <c r="B2475" s="140" t="s">
        <v>489</v>
      </c>
      <c r="C2475" s="171">
        <v>45709</v>
      </c>
      <c r="D2475" s="172" t="s">
        <v>25</v>
      </c>
      <c r="E2475" s="140" t="s">
        <v>19</v>
      </c>
      <c r="F2475" s="140" t="s">
        <v>36</v>
      </c>
      <c r="G2475" s="140" t="s">
        <v>21</v>
      </c>
      <c r="H2475" s="140" t="s">
        <v>351</v>
      </c>
      <c r="I2475" s="140" t="s">
        <v>21</v>
      </c>
      <c r="J2475" s="175"/>
    </row>
    <row r="2476" hidden="1" customHeight="1" spans="1:10">
      <c r="A2476" s="140" t="s">
        <v>488</v>
      </c>
      <c r="B2476" s="140" t="s">
        <v>489</v>
      </c>
      <c r="C2476" s="171">
        <v>45710</v>
      </c>
      <c r="D2476" s="172" t="s">
        <v>27</v>
      </c>
      <c r="E2476" s="173" t="s">
        <v>13</v>
      </c>
      <c r="F2476" s="140" t="s">
        <v>14</v>
      </c>
      <c r="G2476" s="140" t="s">
        <v>14</v>
      </c>
      <c r="H2476" s="140" t="s">
        <v>14</v>
      </c>
      <c r="I2476" s="140" t="s">
        <v>14</v>
      </c>
      <c r="J2476" s="174"/>
    </row>
    <row r="2477" hidden="1" customHeight="1" spans="1:10">
      <c r="A2477" s="140" t="s">
        <v>488</v>
      </c>
      <c r="B2477" s="140" t="s">
        <v>489</v>
      </c>
      <c r="C2477" s="171">
        <v>45711</v>
      </c>
      <c r="D2477" s="172" t="s">
        <v>15</v>
      </c>
      <c r="E2477" s="173" t="s">
        <v>13</v>
      </c>
      <c r="F2477" s="140" t="s">
        <v>14</v>
      </c>
      <c r="G2477" s="140" t="s">
        <v>14</v>
      </c>
      <c r="H2477" s="140" t="s">
        <v>14</v>
      </c>
      <c r="I2477" s="140" t="s">
        <v>14</v>
      </c>
      <c r="J2477" s="174"/>
    </row>
    <row r="2478" hidden="1" customHeight="1" spans="1:10">
      <c r="A2478" s="140" t="s">
        <v>488</v>
      </c>
      <c r="B2478" s="140" t="s">
        <v>489</v>
      </c>
      <c r="C2478" s="171">
        <v>45712</v>
      </c>
      <c r="D2478" s="172" t="s">
        <v>16</v>
      </c>
      <c r="E2478" s="140" t="s">
        <v>19</v>
      </c>
      <c r="F2478" s="140" t="s">
        <v>157</v>
      </c>
      <c r="G2478" s="140" t="s">
        <v>21</v>
      </c>
      <c r="H2478" s="140" t="s">
        <v>254</v>
      </c>
      <c r="I2478" s="140" t="s">
        <v>21</v>
      </c>
      <c r="J2478" s="174"/>
    </row>
    <row r="2479" hidden="1" customHeight="1" spans="1:10">
      <c r="A2479" s="140" t="s">
        <v>488</v>
      </c>
      <c r="B2479" s="140" t="s">
        <v>489</v>
      </c>
      <c r="C2479" s="171">
        <v>45713</v>
      </c>
      <c r="D2479" s="172" t="s">
        <v>17</v>
      </c>
      <c r="E2479" s="140" t="s">
        <v>19</v>
      </c>
      <c r="F2479" s="140" t="s">
        <v>146</v>
      </c>
      <c r="G2479" s="140" t="s">
        <v>21</v>
      </c>
      <c r="H2479" s="140" t="s">
        <v>201</v>
      </c>
      <c r="I2479" s="140" t="s">
        <v>21</v>
      </c>
      <c r="J2479" s="175"/>
    </row>
    <row r="2480" hidden="1" customHeight="1" spans="1:10">
      <c r="A2480" s="140" t="s">
        <v>488</v>
      </c>
      <c r="B2480" s="140" t="s">
        <v>489</v>
      </c>
      <c r="C2480" s="171">
        <v>45714</v>
      </c>
      <c r="D2480" s="172" t="s">
        <v>18</v>
      </c>
      <c r="E2480" s="140" t="s">
        <v>19</v>
      </c>
      <c r="F2480" s="140" t="s">
        <v>193</v>
      </c>
      <c r="G2480" s="140" t="s">
        <v>21</v>
      </c>
      <c r="H2480" s="140" t="s">
        <v>79</v>
      </c>
      <c r="I2480" s="140" t="s">
        <v>21</v>
      </c>
      <c r="J2480" s="174"/>
    </row>
    <row r="2481" hidden="1" customHeight="1" spans="1:10">
      <c r="A2481" s="140" t="s">
        <v>488</v>
      </c>
      <c r="B2481" s="140" t="s">
        <v>489</v>
      </c>
      <c r="C2481" s="171">
        <v>45715</v>
      </c>
      <c r="D2481" s="172" t="s">
        <v>23</v>
      </c>
      <c r="E2481" s="140" t="s">
        <v>19</v>
      </c>
      <c r="F2481" s="140" t="s">
        <v>157</v>
      </c>
      <c r="G2481" s="140" t="s">
        <v>21</v>
      </c>
      <c r="H2481" s="140" t="s">
        <v>474</v>
      </c>
      <c r="I2481" s="140" t="s">
        <v>21</v>
      </c>
      <c r="J2481" s="174"/>
    </row>
    <row r="2482" hidden="1" customHeight="1" spans="1:10">
      <c r="A2482" s="140" t="s">
        <v>488</v>
      </c>
      <c r="B2482" s="140" t="s">
        <v>489</v>
      </c>
      <c r="C2482" s="171">
        <v>45716</v>
      </c>
      <c r="D2482" s="172" t="s">
        <v>25</v>
      </c>
      <c r="E2482" s="140" t="s">
        <v>19</v>
      </c>
      <c r="F2482" s="140" t="s">
        <v>146</v>
      </c>
      <c r="G2482" s="140" t="s">
        <v>21</v>
      </c>
      <c r="H2482" s="140" t="s">
        <v>155</v>
      </c>
      <c r="I2482" s="140" t="s">
        <v>21</v>
      </c>
      <c r="J2482" s="174"/>
    </row>
    <row r="2483" hidden="1" customHeight="1" spans="1:10">
      <c r="A2483" s="140" t="s">
        <v>490</v>
      </c>
      <c r="B2483" s="140" t="s">
        <v>398</v>
      </c>
      <c r="C2483" s="171">
        <v>45689</v>
      </c>
      <c r="D2483" s="172" t="s">
        <v>12</v>
      </c>
      <c r="E2483" s="173" t="s">
        <v>13</v>
      </c>
      <c r="F2483" s="140" t="s">
        <v>14</v>
      </c>
      <c r="G2483" s="140" t="s">
        <v>14</v>
      </c>
      <c r="H2483" s="140" t="s">
        <v>14</v>
      </c>
      <c r="I2483" s="140" t="s">
        <v>14</v>
      </c>
      <c r="J2483" s="174"/>
    </row>
    <row r="2484" hidden="1" customHeight="1" spans="1:10">
      <c r="A2484" s="140" t="s">
        <v>490</v>
      </c>
      <c r="B2484" s="140" t="s">
        <v>398</v>
      </c>
      <c r="C2484" s="171">
        <v>45690</v>
      </c>
      <c r="D2484" s="172" t="s">
        <v>15</v>
      </c>
      <c r="E2484" s="173" t="s">
        <v>13</v>
      </c>
      <c r="F2484" s="140" t="s">
        <v>14</v>
      </c>
      <c r="G2484" s="140" t="s">
        <v>14</v>
      </c>
      <c r="H2484" s="140" t="s">
        <v>14</v>
      </c>
      <c r="I2484" s="140" t="s">
        <v>14</v>
      </c>
      <c r="J2484" s="174"/>
    </row>
    <row r="2485" hidden="1" customHeight="1" spans="1:10">
      <c r="A2485" s="140" t="s">
        <v>490</v>
      </c>
      <c r="B2485" s="140" t="s">
        <v>398</v>
      </c>
      <c r="C2485" s="171">
        <v>45691</v>
      </c>
      <c r="D2485" s="172" t="s">
        <v>16</v>
      </c>
      <c r="E2485" s="173" t="s">
        <v>13</v>
      </c>
      <c r="F2485" s="140" t="s">
        <v>14</v>
      </c>
      <c r="G2485" s="140" t="s">
        <v>14</v>
      </c>
      <c r="H2485" s="140" t="s">
        <v>14</v>
      </c>
      <c r="I2485" s="140" t="s">
        <v>14</v>
      </c>
      <c r="J2485" s="174"/>
    </row>
    <row r="2486" hidden="1" customHeight="1" spans="1:10">
      <c r="A2486" s="140" t="s">
        <v>490</v>
      </c>
      <c r="B2486" s="140" t="s">
        <v>398</v>
      </c>
      <c r="C2486" s="171">
        <v>45692</v>
      </c>
      <c r="D2486" s="172" t="s">
        <v>17</v>
      </c>
      <c r="E2486" s="173" t="s">
        <v>13</v>
      </c>
      <c r="F2486" s="140" t="s">
        <v>14</v>
      </c>
      <c r="G2486" s="140" t="s">
        <v>14</v>
      </c>
      <c r="H2486" s="140" t="s">
        <v>14</v>
      </c>
      <c r="I2486" s="140" t="s">
        <v>14</v>
      </c>
      <c r="J2486" s="174"/>
    </row>
    <row r="2487" hidden="1" customHeight="1" spans="1:10">
      <c r="A2487" s="140" t="s">
        <v>490</v>
      </c>
      <c r="B2487" s="140" t="s">
        <v>398</v>
      </c>
      <c r="C2487" s="171">
        <v>45693</v>
      </c>
      <c r="D2487" s="172" t="s">
        <v>18</v>
      </c>
      <c r="E2487" s="140" t="s">
        <v>19</v>
      </c>
      <c r="F2487" s="140" t="s">
        <v>143</v>
      </c>
      <c r="G2487" s="140" t="s">
        <v>21</v>
      </c>
      <c r="H2487" s="140" t="s">
        <v>225</v>
      </c>
      <c r="I2487" s="140" t="s">
        <v>21</v>
      </c>
      <c r="J2487" s="174"/>
    </row>
    <row r="2488" hidden="1" customHeight="1" spans="1:10">
      <c r="A2488" s="140" t="s">
        <v>490</v>
      </c>
      <c r="B2488" s="140" t="s">
        <v>398</v>
      </c>
      <c r="C2488" s="171">
        <v>45694</v>
      </c>
      <c r="D2488" s="172" t="s">
        <v>23</v>
      </c>
      <c r="E2488" s="140" t="s">
        <v>19</v>
      </c>
      <c r="F2488" s="140" t="s">
        <v>139</v>
      </c>
      <c r="G2488" s="140" t="s">
        <v>21</v>
      </c>
      <c r="H2488" s="140" t="s">
        <v>254</v>
      </c>
      <c r="I2488" s="140" t="s">
        <v>21</v>
      </c>
      <c r="J2488" s="174"/>
    </row>
    <row r="2489" hidden="1" customHeight="1" spans="1:10">
      <c r="A2489" s="140" t="s">
        <v>490</v>
      </c>
      <c r="B2489" s="140" t="s">
        <v>398</v>
      </c>
      <c r="C2489" s="171">
        <v>45695</v>
      </c>
      <c r="D2489" s="172" t="s">
        <v>25</v>
      </c>
      <c r="E2489" s="140" t="s">
        <v>19</v>
      </c>
      <c r="F2489" s="140" t="s">
        <v>195</v>
      </c>
      <c r="G2489" s="140" t="s">
        <v>21</v>
      </c>
      <c r="H2489" s="140" t="s">
        <v>42</v>
      </c>
      <c r="I2489" s="140" t="s">
        <v>21</v>
      </c>
      <c r="J2489" s="174"/>
    </row>
    <row r="2490" hidden="1" customHeight="1" spans="1:10">
      <c r="A2490" s="140" t="s">
        <v>490</v>
      </c>
      <c r="B2490" s="140" t="s">
        <v>398</v>
      </c>
      <c r="C2490" s="171">
        <v>45696</v>
      </c>
      <c r="D2490" s="172" t="s">
        <v>27</v>
      </c>
      <c r="E2490" s="140" t="s">
        <v>19</v>
      </c>
      <c r="F2490" s="140" t="s">
        <v>33</v>
      </c>
      <c r="G2490" s="140" t="s">
        <v>21</v>
      </c>
      <c r="H2490" s="140" t="s">
        <v>142</v>
      </c>
      <c r="I2490" s="140" t="s">
        <v>21</v>
      </c>
      <c r="J2490" s="174"/>
    </row>
    <row r="2491" hidden="1" customHeight="1" spans="1:10">
      <c r="A2491" s="140" t="s">
        <v>490</v>
      </c>
      <c r="B2491" s="140" t="s">
        <v>398</v>
      </c>
      <c r="C2491" s="171">
        <v>45697</v>
      </c>
      <c r="D2491" s="172" t="s">
        <v>15</v>
      </c>
      <c r="E2491" s="173" t="s">
        <v>13</v>
      </c>
      <c r="F2491" s="140" t="s">
        <v>14</v>
      </c>
      <c r="G2491" s="140" t="s">
        <v>14</v>
      </c>
      <c r="H2491" s="140" t="s">
        <v>14</v>
      </c>
      <c r="I2491" s="140" t="s">
        <v>14</v>
      </c>
      <c r="J2491" s="174"/>
    </row>
    <row r="2492" hidden="1" customHeight="1" spans="1:10">
      <c r="A2492" s="140" t="s">
        <v>490</v>
      </c>
      <c r="B2492" s="140" t="s">
        <v>398</v>
      </c>
      <c r="C2492" s="171">
        <v>45698</v>
      </c>
      <c r="D2492" s="172" t="s">
        <v>16</v>
      </c>
      <c r="E2492" s="140" t="s">
        <v>19</v>
      </c>
      <c r="F2492" s="140" t="s">
        <v>94</v>
      </c>
      <c r="G2492" s="140" t="s">
        <v>21</v>
      </c>
      <c r="H2492" s="140" t="s">
        <v>168</v>
      </c>
      <c r="I2492" s="140" t="s">
        <v>21</v>
      </c>
      <c r="J2492" s="174"/>
    </row>
    <row r="2493" hidden="1" customHeight="1" spans="1:10">
      <c r="A2493" s="140" t="s">
        <v>490</v>
      </c>
      <c r="B2493" s="140" t="s">
        <v>398</v>
      </c>
      <c r="C2493" s="171">
        <v>45699</v>
      </c>
      <c r="D2493" s="172" t="s">
        <v>17</v>
      </c>
      <c r="E2493" s="140" t="s">
        <v>19</v>
      </c>
      <c r="F2493" s="140" t="s">
        <v>150</v>
      </c>
      <c r="G2493" s="140" t="s">
        <v>21</v>
      </c>
      <c r="H2493" s="140" t="s">
        <v>274</v>
      </c>
      <c r="I2493" s="140" t="s">
        <v>21</v>
      </c>
      <c r="J2493" s="174"/>
    </row>
    <row r="2494" hidden="1" customHeight="1" spans="1:10">
      <c r="A2494" s="140" t="s">
        <v>490</v>
      </c>
      <c r="B2494" s="140" t="s">
        <v>398</v>
      </c>
      <c r="C2494" s="171">
        <v>45700</v>
      </c>
      <c r="D2494" s="172" t="s">
        <v>18</v>
      </c>
      <c r="E2494" s="140" t="s">
        <v>19</v>
      </c>
      <c r="F2494" s="140" t="s">
        <v>110</v>
      </c>
      <c r="G2494" s="140" t="s">
        <v>21</v>
      </c>
      <c r="H2494" s="140" t="s">
        <v>52</v>
      </c>
      <c r="I2494" s="140" t="s">
        <v>21</v>
      </c>
      <c r="J2494" s="174"/>
    </row>
    <row r="2495" hidden="1" customHeight="1" spans="1:10">
      <c r="A2495" s="140" t="s">
        <v>490</v>
      </c>
      <c r="B2495" s="140" t="s">
        <v>398</v>
      </c>
      <c r="C2495" s="171">
        <v>45701</v>
      </c>
      <c r="D2495" s="172" t="s">
        <v>23</v>
      </c>
      <c r="E2495" s="140" t="s">
        <v>19</v>
      </c>
      <c r="F2495" s="140" t="s">
        <v>110</v>
      </c>
      <c r="G2495" s="140" t="s">
        <v>21</v>
      </c>
      <c r="H2495" s="140" t="s">
        <v>254</v>
      </c>
      <c r="I2495" s="140" t="s">
        <v>21</v>
      </c>
      <c r="J2495" s="174"/>
    </row>
    <row r="2496" hidden="1" customHeight="1" spans="1:10">
      <c r="A2496" s="140" t="s">
        <v>490</v>
      </c>
      <c r="B2496" s="140" t="s">
        <v>398</v>
      </c>
      <c r="C2496" s="171">
        <v>45702</v>
      </c>
      <c r="D2496" s="172" t="s">
        <v>25</v>
      </c>
      <c r="E2496" s="140" t="s">
        <v>19</v>
      </c>
      <c r="F2496" s="140" t="s">
        <v>150</v>
      </c>
      <c r="G2496" s="140" t="s">
        <v>21</v>
      </c>
      <c r="H2496" s="140" t="s">
        <v>53</v>
      </c>
      <c r="I2496" s="140" t="s">
        <v>21</v>
      </c>
      <c r="J2496" s="174"/>
    </row>
    <row r="2497" hidden="1" customHeight="1" spans="1:10">
      <c r="A2497" s="140" t="s">
        <v>490</v>
      </c>
      <c r="B2497" s="140" t="s">
        <v>398</v>
      </c>
      <c r="C2497" s="171">
        <v>45703</v>
      </c>
      <c r="D2497" s="172" t="s">
        <v>27</v>
      </c>
      <c r="E2497" s="173" t="s">
        <v>13</v>
      </c>
      <c r="F2497" s="140" t="s">
        <v>14</v>
      </c>
      <c r="G2497" s="140" t="s">
        <v>14</v>
      </c>
      <c r="H2497" s="140" t="s">
        <v>14</v>
      </c>
      <c r="I2497" s="140" t="s">
        <v>14</v>
      </c>
      <c r="J2497" s="174"/>
    </row>
    <row r="2498" hidden="1" customHeight="1" spans="1:10">
      <c r="A2498" s="140" t="s">
        <v>490</v>
      </c>
      <c r="B2498" s="140" t="s">
        <v>398</v>
      </c>
      <c r="C2498" s="171">
        <v>45704</v>
      </c>
      <c r="D2498" s="172" t="s">
        <v>15</v>
      </c>
      <c r="E2498" s="173" t="s">
        <v>13</v>
      </c>
      <c r="F2498" s="140" t="s">
        <v>14</v>
      </c>
      <c r="G2498" s="140" t="s">
        <v>14</v>
      </c>
      <c r="H2498" s="140" t="s">
        <v>14</v>
      </c>
      <c r="I2498" s="140" t="s">
        <v>14</v>
      </c>
      <c r="J2498" s="174"/>
    </row>
    <row r="2499" hidden="1" customHeight="1" spans="1:10">
      <c r="A2499" s="140" t="s">
        <v>490</v>
      </c>
      <c r="B2499" s="140" t="s">
        <v>398</v>
      </c>
      <c r="C2499" s="171">
        <v>45705</v>
      </c>
      <c r="D2499" s="172" t="s">
        <v>16</v>
      </c>
      <c r="E2499" s="140" t="s">
        <v>19</v>
      </c>
      <c r="F2499" s="140" t="s">
        <v>98</v>
      </c>
      <c r="G2499" s="140" t="s">
        <v>21</v>
      </c>
      <c r="H2499" s="140" t="s">
        <v>123</v>
      </c>
      <c r="I2499" s="140" t="s">
        <v>21</v>
      </c>
      <c r="J2499" s="174"/>
    </row>
    <row r="2500" hidden="1" customHeight="1" spans="1:10">
      <c r="A2500" s="140" t="s">
        <v>490</v>
      </c>
      <c r="B2500" s="140" t="s">
        <v>398</v>
      </c>
      <c r="C2500" s="171">
        <v>45706</v>
      </c>
      <c r="D2500" s="172" t="s">
        <v>17</v>
      </c>
      <c r="E2500" s="140" t="s">
        <v>19</v>
      </c>
      <c r="F2500" s="140" t="s">
        <v>40</v>
      </c>
      <c r="G2500" s="140" t="s">
        <v>21</v>
      </c>
      <c r="H2500" s="140" t="s">
        <v>241</v>
      </c>
      <c r="I2500" s="140" t="s">
        <v>21</v>
      </c>
      <c r="J2500" s="174"/>
    </row>
    <row r="2501" hidden="1" customHeight="1" spans="1:10">
      <c r="A2501" s="140" t="s">
        <v>490</v>
      </c>
      <c r="B2501" s="140" t="s">
        <v>398</v>
      </c>
      <c r="C2501" s="171">
        <v>45707</v>
      </c>
      <c r="D2501" s="172" t="s">
        <v>18</v>
      </c>
      <c r="E2501" s="140" t="s">
        <v>19</v>
      </c>
      <c r="F2501" s="140" t="s">
        <v>117</v>
      </c>
      <c r="G2501" s="140" t="s">
        <v>21</v>
      </c>
      <c r="H2501" s="140" t="s">
        <v>155</v>
      </c>
      <c r="I2501" s="140" t="s">
        <v>21</v>
      </c>
      <c r="J2501" s="175"/>
    </row>
    <row r="2502" hidden="1" customHeight="1" spans="1:10">
      <c r="A2502" s="140" t="s">
        <v>490</v>
      </c>
      <c r="B2502" s="140" t="s">
        <v>398</v>
      </c>
      <c r="C2502" s="171">
        <v>45708</v>
      </c>
      <c r="D2502" s="172" t="s">
        <v>23</v>
      </c>
      <c r="E2502" s="140" t="s">
        <v>19</v>
      </c>
      <c r="F2502" s="140" t="s">
        <v>98</v>
      </c>
      <c r="G2502" s="140" t="s">
        <v>21</v>
      </c>
      <c r="H2502" s="140" t="s">
        <v>160</v>
      </c>
      <c r="I2502" s="140" t="s">
        <v>21</v>
      </c>
      <c r="J2502" s="174"/>
    </row>
    <row r="2503" hidden="1" customHeight="1" spans="1:10">
      <c r="A2503" s="140" t="s">
        <v>490</v>
      </c>
      <c r="B2503" s="140" t="s">
        <v>398</v>
      </c>
      <c r="C2503" s="171">
        <v>45709</v>
      </c>
      <c r="D2503" s="172" t="s">
        <v>25</v>
      </c>
      <c r="E2503" s="140" t="s">
        <v>19</v>
      </c>
      <c r="F2503" s="140" t="s">
        <v>146</v>
      </c>
      <c r="G2503" s="140" t="s">
        <v>21</v>
      </c>
      <c r="H2503" s="140" t="s">
        <v>361</v>
      </c>
      <c r="I2503" s="140" t="s">
        <v>21</v>
      </c>
      <c r="J2503" s="174"/>
    </row>
    <row r="2504" hidden="1" customHeight="1" spans="1:10">
      <c r="A2504" s="140" t="s">
        <v>490</v>
      </c>
      <c r="B2504" s="140" t="s">
        <v>398</v>
      </c>
      <c r="C2504" s="171">
        <v>45710</v>
      </c>
      <c r="D2504" s="172" t="s">
        <v>27</v>
      </c>
      <c r="E2504" s="173" t="s">
        <v>13</v>
      </c>
      <c r="F2504" s="140" t="s">
        <v>14</v>
      </c>
      <c r="G2504" s="140" t="s">
        <v>14</v>
      </c>
      <c r="H2504" s="140" t="s">
        <v>14</v>
      </c>
      <c r="I2504" s="140" t="s">
        <v>14</v>
      </c>
      <c r="J2504" s="174"/>
    </row>
    <row r="2505" hidden="1" customHeight="1" spans="1:10">
      <c r="A2505" s="140" t="s">
        <v>490</v>
      </c>
      <c r="B2505" s="140" t="s">
        <v>398</v>
      </c>
      <c r="C2505" s="171">
        <v>45711</v>
      </c>
      <c r="D2505" s="172" t="s">
        <v>15</v>
      </c>
      <c r="E2505" s="173" t="s">
        <v>13</v>
      </c>
      <c r="F2505" s="140" t="s">
        <v>14</v>
      </c>
      <c r="G2505" s="140" t="s">
        <v>14</v>
      </c>
      <c r="H2505" s="140" t="s">
        <v>14</v>
      </c>
      <c r="I2505" s="140" t="s">
        <v>14</v>
      </c>
      <c r="J2505" s="174"/>
    </row>
    <row r="2506" hidden="1" customHeight="1" spans="1:10">
      <c r="A2506" s="140" t="s">
        <v>490</v>
      </c>
      <c r="B2506" s="140" t="s">
        <v>398</v>
      </c>
      <c r="C2506" s="171">
        <v>45712</v>
      </c>
      <c r="D2506" s="172" t="s">
        <v>16</v>
      </c>
      <c r="E2506" s="140" t="s">
        <v>19</v>
      </c>
      <c r="F2506" s="140" t="s">
        <v>40</v>
      </c>
      <c r="G2506" s="140" t="s">
        <v>21</v>
      </c>
      <c r="H2506" s="140" t="s">
        <v>78</v>
      </c>
      <c r="I2506" s="140" t="s">
        <v>21</v>
      </c>
      <c r="J2506" s="174"/>
    </row>
    <row r="2507" hidden="1" customHeight="1" spans="1:10">
      <c r="A2507" s="140" t="s">
        <v>490</v>
      </c>
      <c r="B2507" s="140" t="s">
        <v>398</v>
      </c>
      <c r="C2507" s="171">
        <v>45713</v>
      </c>
      <c r="D2507" s="172" t="s">
        <v>17</v>
      </c>
      <c r="E2507" s="140" t="s">
        <v>19</v>
      </c>
      <c r="F2507" s="140" t="s">
        <v>150</v>
      </c>
      <c r="G2507" s="140" t="s">
        <v>21</v>
      </c>
      <c r="H2507" s="140" t="s">
        <v>66</v>
      </c>
      <c r="I2507" s="140" t="s">
        <v>21</v>
      </c>
      <c r="J2507" s="174"/>
    </row>
    <row r="2508" hidden="1" customHeight="1" spans="1:10">
      <c r="A2508" s="140" t="s">
        <v>490</v>
      </c>
      <c r="B2508" s="140" t="s">
        <v>398</v>
      </c>
      <c r="C2508" s="171">
        <v>45714</v>
      </c>
      <c r="D2508" s="172" t="s">
        <v>18</v>
      </c>
      <c r="E2508" s="140" t="s">
        <v>19</v>
      </c>
      <c r="F2508" s="140" t="s">
        <v>30</v>
      </c>
      <c r="G2508" s="140" t="s">
        <v>21</v>
      </c>
      <c r="H2508" s="140" t="s">
        <v>52</v>
      </c>
      <c r="I2508" s="140" t="s">
        <v>21</v>
      </c>
      <c r="J2508" s="174"/>
    </row>
    <row r="2509" hidden="1" customHeight="1" spans="1:10">
      <c r="A2509" s="140" t="s">
        <v>490</v>
      </c>
      <c r="B2509" s="140" t="s">
        <v>398</v>
      </c>
      <c r="C2509" s="171">
        <v>45715</v>
      </c>
      <c r="D2509" s="172" t="s">
        <v>23</v>
      </c>
      <c r="E2509" s="140" t="s">
        <v>19</v>
      </c>
      <c r="F2509" s="140" t="s">
        <v>157</v>
      </c>
      <c r="G2509" s="140" t="s">
        <v>21</v>
      </c>
      <c r="H2509" s="140" t="s">
        <v>35</v>
      </c>
      <c r="I2509" s="140" t="s">
        <v>21</v>
      </c>
      <c r="J2509" s="174"/>
    </row>
    <row r="2510" hidden="1" customHeight="1" spans="1:10">
      <c r="A2510" s="140" t="s">
        <v>490</v>
      </c>
      <c r="B2510" s="140" t="s">
        <v>398</v>
      </c>
      <c r="C2510" s="171">
        <v>45716</v>
      </c>
      <c r="D2510" s="172" t="s">
        <v>25</v>
      </c>
      <c r="E2510" s="140" t="s">
        <v>19</v>
      </c>
      <c r="F2510" s="140" t="s">
        <v>36</v>
      </c>
      <c r="G2510" s="140" t="s">
        <v>21</v>
      </c>
      <c r="H2510" s="140" t="s">
        <v>395</v>
      </c>
      <c r="I2510" s="140" t="s">
        <v>21</v>
      </c>
      <c r="J2510" s="174"/>
    </row>
    <row r="2511" hidden="1" customHeight="1" spans="1:10">
      <c r="A2511" s="140" t="s">
        <v>491</v>
      </c>
      <c r="B2511" s="140" t="s">
        <v>149</v>
      </c>
      <c r="C2511" s="171">
        <v>45689</v>
      </c>
      <c r="D2511" s="172" t="s">
        <v>12</v>
      </c>
      <c r="E2511" s="173" t="s">
        <v>13</v>
      </c>
      <c r="F2511" s="140" t="s">
        <v>14</v>
      </c>
      <c r="G2511" s="140" t="s">
        <v>14</v>
      </c>
      <c r="H2511" s="140" t="s">
        <v>14</v>
      </c>
      <c r="I2511" s="140" t="s">
        <v>14</v>
      </c>
      <c r="J2511" s="174"/>
    </row>
    <row r="2512" hidden="1" customHeight="1" spans="1:10">
      <c r="A2512" s="140" t="s">
        <v>491</v>
      </c>
      <c r="B2512" s="140" t="s">
        <v>149</v>
      </c>
      <c r="C2512" s="171">
        <v>45690</v>
      </c>
      <c r="D2512" s="172" t="s">
        <v>15</v>
      </c>
      <c r="E2512" s="173" t="s">
        <v>13</v>
      </c>
      <c r="F2512" s="140" t="s">
        <v>14</v>
      </c>
      <c r="G2512" s="140" t="s">
        <v>14</v>
      </c>
      <c r="H2512" s="140" t="s">
        <v>14</v>
      </c>
      <c r="I2512" s="140" t="s">
        <v>14</v>
      </c>
      <c r="J2512" s="175"/>
    </row>
    <row r="2513" hidden="1" customHeight="1" spans="1:10">
      <c r="A2513" s="140" t="s">
        <v>491</v>
      </c>
      <c r="B2513" s="140" t="s">
        <v>149</v>
      </c>
      <c r="C2513" s="171">
        <v>45691</v>
      </c>
      <c r="D2513" s="172" t="s">
        <v>16</v>
      </c>
      <c r="E2513" s="173" t="s">
        <v>13</v>
      </c>
      <c r="F2513" s="140" t="s">
        <v>14</v>
      </c>
      <c r="G2513" s="140" t="s">
        <v>14</v>
      </c>
      <c r="H2513" s="140" t="s">
        <v>14</v>
      </c>
      <c r="I2513" s="140" t="s">
        <v>14</v>
      </c>
      <c r="J2513" s="174"/>
    </row>
    <row r="2514" hidden="1" customHeight="1" spans="1:10">
      <c r="A2514" s="140" t="s">
        <v>491</v>
      </c>
      <c r="B2514" s="140" t="s">
        <v>149</v>
      </c>
      <c r="C2514" s="171">
        <v>45692</v>
      </c>
      <c r="D2514" s="172" t="s">
        <v>17</v>
      </c>
      <c r="E2514" s="173" t="s">
        <v>13</v>
      </c>
      <c r="F2514" s="140" t="s">
        <v>492</v>
      </c>
      <c r="G2514" s="140" t="s">
        <v>21</v>
      </c>
      <c r="H2514" s="140" t="s">
        <v>14</v>
      </c>
      <c r="I2514" s="140" t="s">
        <v>14</v>
      </c>
      <c r="J2514" s="174"/>
    </row>
    <row r="2515" hidden="1" customHeight="1" spans="1:10">
      <c r="A2515" s="140" t="s">
        <v>491</v>
      </c>
      <c r="B2515" s="140" t="s">
        <v>149</v>
      </c>
      <c r="C2515" s="171">
        <v>45693</v>
      </c>
      <c r="D2515" s="172" t="s">
        <v>18</v>
      </c>
      <c r="E2515" s="140" t="s">
        <v>19</v>
      </c>
      <c r="F2515" s="140" t="s">
        <v>154</v>
      </c>
      <c r="G2515" s="140" t="s">
        <v>21</v>
      </c>
      <c r="H2515" s="140" t="s">
        <v>199</v>
      </c>
      <c r="I2515" s="140" t="s">
        <v>21</v>
      </c>
      <c r="J2515" s="174"/>
    </row>
    <row r="2516" customHeight="1" spans="1:10">
      <c r="A2516" s="140" t="s">
        <v>491</v>
      </c>
      <c r="B2516" s="140" t="s">
        <v>149</v>
      </c>
      <c r="C2516" s="171">
        <v>45694</v>
      </c>
      <c r="D2516" s="172" t="s">
        <v>23</v>
      </c>
      <c r="E2516" s="140" t="s">
        <v>19</v>
      </c>
      <c r="F2516" s="140" t="s">
        <v>154</v>
      </c>
      <c r="G2516" s="140" t="s">
        <v>21</v>
      </c>
      <c r="H2516" s="140" t="s">
        <v>14</v>
      </c>
      <c r="I2516" s="176" t="s">
        <v>68</v>
      </c>
      <c r="J2516" s="174" t="s">
        <v>69</v>
      </c>
    </row>
    <row r="2517" customHeight="1" spans="1:10">
      <c r="A2517" s="140" t="s">
        <v>491</v>
      </c>
      <c r="B2517" s="140" t="s">
        <v>149</v>
      </c>
      <c r="C2517" s="171">
        <v>45695</v>
      </c>
      <c r="D2517" s="172" t="s">
        <v>25</v>
      </c>
      <c r="E2517" s="140" t="s">
        <v>19</v>
      </c>
      <c r="F2517" s="140" t="s">
        <v>14</v>
      </c>
      <c r="G2517" s="176" t="s">
        <v>68</v>
      </c>
      <c r="H2517" s="140" t="s">
        <v>42</v>
      </c>
      <c r="I2517" s="140" t="s">
        <v>21</v>
      </c>
      <c r="J2517" s="174" t="s">
        <v>136</v>
      </c>
    </row>
    <row r="2518" hidden="1" customHeight="1" spans="1:10">
      <c r="A2518" s="140" t="s">
        <v>491</v>
      </c>
      <c r="B2518" s="140" t="s">
        <v>149</v>
      </c>
      <c r="C2518" s="171">
        <v>45696</v>
      </c>
      <c r="D2518" s="172" t="s">
        <v>27</v>
      </c>
      <c r="E2518" s="140" t="s">
        <v>19</v>
      </c>
      <c r="F2518" s="140" t="s">
        <v>28</v>
      </c>
      <c r="G2518" s="140" t="s">
        <v>21</v>
      </c>
      <c r="H2518" s="140" t="s">
        <v>493</v>
      </c>
      <c r="I2518" s="140" t="s">
        <v>21</v>
      </c>
      <c r="J2518" s="174"/>
    </row>
    <row r="2519" hidden="1" customHeight="1" spans="1:10">
      <c r="A2519" s="140" t="s">
        <v>491</v>
      </c>
      <c r="B2519" s="140" t="s">
        <v>149</v>
      </c>
      <c r="C2519" s="171">
        <v>45697</v>
      </c>
      <c r="D2519" s="172" t="s">
        <v>15</v>
      </c>
      <c r="E2519" s="173" t="s">
        <v>13</v>
      </c>
      <c r="F2519" s="140" t="s">
        <v>14</v>
      </c>
      <c r="G2519" s="140" t="s">
        <v>14</v>
      </c>
      <c r="H2519" s="140" t="s">
        <v>14</v>
      </c>
      <c r="I2519" s="140" t="s">
        <v>14</v>
      </c>
      <c r="J2519" s="174"/>
    </row>
    <row r="2520" hidden="1" customHeight="1" spans="1:10">
      <c r="A2520" s="140" t="s">
        <v>491</v>
      </c>
      <c r="B2520" s="140" t="s">
        <v>149</v>
      </c>
      <c r="C2520" s="171">
        <v>45698</v>
      </c>
      <c r="D2520" s="172" t="s">
        <v>16</v>
      </c>
      <c r="E2520" s="140" t="s">
        <v>19</v>
      </c>
      <c r="F2520" s="140" t="s">
        <v>36</v>
      </c>
      <c r="G2520" s="140" t="s">
        <v>21</v>
      </c>
      <c r="H2520" s="140" t="s">
        <v>215</v>
      </c>
      <c r="I2520" s="140" t="s">
        <v>21</v>
      </c>
      <c r="J2520" s="174"/>
    </row>
    <row r="2521" hidden="1" customHeight="1" spans="1:10">
      <c r="A2521" s="140" t="s">
        <v>491</v>
      </c>
      <c r="B2521" s="140" t="s">
        <v>149</v>
      </c>
      <c r="C2521" s="171">
        <v>45699</v>
      </c>
      <c r="D2521" s="172" t="s">
        <v>17</v>
      </c>
      <c r="E2521" s="140" t="s">
        <v>19</v>
      </c>
      <c r="F2521" s="140" t="s">
        <v>46</v>
      </c>
      <c r="G2521" s="140" t="s">
        <v>21</v>
      </c>
      <c r="H2521" s="140" t="s">
        <v>174</v>
      </c>
      <c r="I2521" s="140" t="s">
        <v>21</v>
      </c>
      <c r="J2521" s="174"/>
    </row>
    <row r="2522" hidden="1" customHeight="1" spans="1:10">
      <c r="A2522" s="140" t="s">
        <v>491</v>
      </c>
      <c r="B2522" s="140" t="s">
        <v>149</v>
      </c>
      <c r="C2522" s="171">
        <v>45700</v>
      </c>
      <c r="D2522" s="172" t="s">
        <v>18</v>
      </c>
      <c r="E2522" s="140" t="s">
        <v>19</v>
      </c>
      <c r="F2522" s="140" t="s">
        <v>36</v>
      </c>
      <c r="G2522" s="140" t="s">
        <v>21</v>
      </c>
      <c r="H2522" s="140" t="s">
        <v>122</v>
      </c>
      <c r="I2522" s="140" t="s">
        <v>21</v>
      </c>
      <c r="J2522" s="174"/>
    </row>
    <row r="2523" hidden="1" customHeight="1" spans="1:10">
      <c r="A2523" s="140" t="s">
        <v>491</v>
      </c>
      <c r="B2523" s="140" t="s">
        <v>149</v>
      </c>
      <c r="C2523" s="171">
        <v>45701</v>
      </c>
      <c r="D2523" s="172" t="s">
        <v>23</v>
      </c>
      <c r="E2523" s="140" t="s">
        <v>19</v>
      </c>
      <c r="F2523" s="140" t="s">
        <v>90</v>
      </c>
      <c r="G2523" s="140" t="s">
        <v>21</v>
      </c>
      <c r="H2523" s="140" t="s">
        <v>114</v>
      </c>
      <c r="I2523" s="140" t="s">
        <v>21</v>
      </c>
      <c r="J2523" s="174"/>
    </row>
    <row r="2524" hidden="1" customHeight="1" spans="1:10">
      <c r="A2524" s="140" t="s">
        <v>491</v>
      </c>
      <c r="B2524" s="140" t="s">
        <v>149</v>
      </c>
      <c r="C2524" s="171">
        <v>45702</v>
      </c>
      <c r="D2524" s="172" t="s">
        <v>25</v>
      </c>
      <c r="E2524" s="140" t="s">
        <v>19</v>
      </c>
      <c r="F2524" s="140" t="s">
        <v>209</v>
      </c>
      <c r="G2524" s="140" t="s">
        <v>21</v>
      </c>
      <c r="H2524" s="140" t="s">
        <v>191</v>
      </c>
      <c r="I2524" s="140" t="s">
        <v>21</v>
      </c>
      <c r="J2524" s="174"/>
    </row>
    <row r="2525" hidden="1" customHeight="1" spans="1:10">
      <c r="A2525" s="140" t="s">
        <v>491</v>
      </c>
      <c r="B2525" s="140" t="s">
        <v>149</v>
      </c>
      <c r="C2525" s="171">
        <v>45703</v>
      </c>
      <c r="D2525" s="172" t="s">
        <v>27</v>
      </c>
      <c r="E2525" s="173" t="s">
        <v>13</v>
      </c>
      <c r="F2525" s="140" t="s">
        <v>14</v>
      </c>
      <c r="G2525" s="140" t="s">
        <v>14</v>
      </c>
      <c r="H2525" s="140" t="s">
        <v>14</v>
      </c>
      <c r="I2525" s="140" t="s">
        <v>14</v>
      </c>
      <c r="J2525" s="174"/>
    </row>
    <row r="2526" hidden="1" customHeight="1" spans="1:10">
      <c r="A2526" s="140" t="s">
        <v>491</v>
      </c>
      <c r="B2526" s="140" t="s">
        <v>149</v>
      </c>
      <c r="C2526" s="171">
        <v>45704</v>
      </c>
      <c r="D2526" s="172" t="s">
        <v>15</v>
      </c>
      <c r="E2526" s="173" t="s">
        <v>13</v>
      </c>
      <c r="F2526" s="140" t="s">
        <v>14</v>
      </c>
      <c r="G2526" s="140" t="s">
        <v>14</v>
      </c>
      <c r="H2526" s="140" t="s">
        <v>14</v>
      </c>
      <c r="I2526" s="140" t="s">
        <v>14</v>
      </c>
      <c r="J2526" s="174"/>
    </row>
    <row r="2527" hidden="1" customHeight="1" spans="1:10">
      <c r="A2527" s="140" t="s">
        <v>491</v>
      </c>
      <c r="B2527" s="140" t="s">
        <v>149</v>
      </c>
      <c r="C2527" s="171">
        <v>45705</v>
      </c>
      <c r="D2527" s="172" t="s">
        <v>16</v>
      </c>
      <c r="E2527" s="140" t="s">
        <v>19</v>
      </c>
      <c r="F2527" s="140" t="s">
        <v>46</v>
      </c>
      <c r="G2527" s="140" t="s">
        <v>21</v>
      </c>
      <c r="H2527" s="140" t="s">
        <v>206</v>
      </c>
      <c r="I2527" s="140" t="s">
        <v>21</v>
      </c>
      <c r="J2527" s="174"/>
    </row>
    <row r="2528" hidden="1" customHeight="1" spans="1:10">
      <c r="A2528" s="140" t="s">
        <v>491</v>
      </c>
      <c r="B2528" s="140" t="s">
        <v>149</v>
      </c>
      <c r="C2528" s="171">
        <v>45706</v>
      </c>
      <c r="D2528" s="172" t="s">
        <v>17</v>
      </c>
      <c r="E2528" s="140" t="s">
        <v>19</v>
      </c>
      <c r="F2528" s="140" t="s">
        <v>30</v>
      </c>
      <c r="G2528" s="140" t="s">
        <v>21</v>
      </c>
      <c r="H2528" s="140" t="s">
        <v>249</v>
      </c>
      <c r="I2528" s="140" t="s">
        <v>21</v>
      </c>
      <c r="J2528" s="174"/>
    </row>
    <row r="2529" hidden="1" customHeight="1" spans="1:10">
      <c r="A2529" s="140" t="s">
        <v>491</v>
      </c>
      <c r="B2529" s="140" t="s">
        <v>149</v>
      </c>
      <c r="C2529" s="171">
        <v>45707</v>
      </c>
      <c r="D2529" s="172" t="s">
        <v>18</v>
      </c>
      <c r="E2529" s="140" t="s">
        <v>19</v>
      </c>
      <c r="F2529" s="140" t="s">
        <v>154</v>
      </c>
      <c r="G2529" s="140" t="s">
        <v>21</v>
      </c>
      <c r="H2529" s="140" t="s">
        <v>461</v>
      </c>
      <c r="I2529" s="140" t="s">
        <v>21</v>
      </c>
      <c r="J2529" s="174"/>
    </row>
    <row r="2530" customHeight="1" spans="1:10">
      <c r="A2530" s="140" t="s">
        <v>491</v>
      </c>
      <c r="B2530" s="140" t="s">
        <v>149</v>
      </c>
      <c r="C2530" s="171">
        <v>45708</v>
      </c>
      <c r="D2530" s="172" t="s">
        <v>23</v>
      </c>
      <c r="E2530" s="140" t="s">
        <v>19</v>
      </c>
      <c r="F2530" s="140" t="s">
        <v>36</v>
      </c>
      <c r="G2530" s="140" t="s">
        <v>21</v>
      </c>
      <c r="H2530" s="140" t="s">
        <v>14</v>
      </c>
      <c r="I2530" s="176" t="s">
        <v>68</v>
      </c>
      <c r="J2530" s="174" t="s">
        <v>69</v>
      </c>
    </row>
    <row r="2531" customHeight="1" spans="1:10">
      <c r="A2531" s="140" t="s">
        <v>491</v>
      </c>
      <c r="B2531" s="140" t="s">
        <v>149</v>
      </c>
      <c r="C2531" s="171">
        <v>45709</v>
      </c>
      <c r="D2531" s="172" t="s">
        <v>25</v>
      </c>
      <c r="E2531" s="140" t="s">
        <v>19</v>
      </c>
      <c r="F2531" s="140" t="s">
        <v>14</v>
      </c>
      <c r="G2531" s="176" t="s">
        <v>68</v>
      </c>
      <c r="H2531" s="140" t="s">
        <v>174</v>
      </c>
      <c r="I2531" s="140" t="s">
        <v>21</v>
      </c>
      <c r="J2531" s="174" t="s">
        <v>69</v>
      </c>
    </row>
    <row r="2532" hidden="1" customHeight="1" spans="1:10">
      <c r="A2532" s="140" t="s">
        <v>491</v>
      </c>
      <c r="B2532" s="140" t="s">
        <v>149</v>
      </c>
      <c r="C2532" s="171">
        <v>45710</v>
      </c>
      <c r="D2532" s="172" t="s">
        <v>27</v>
      </c>
      <c r="E2532" s="173" t="s">
        <v>13</v>
      </c>
      <c r="F2532" s="140" t="s">
        <v>334</v>
      </c>
      <c r="G2532" s="140" t="s">
        <v>21</v>
      </c>
      <c r="H2532" s="140" t="s">
        <v>445</v>
      </c>
      <c r="I2532" s="140" t="s">
        <v>21</v>
      </c>
      <c r="J2532" s="174"/>
    </row>
    <row r="2533" hidden="1" customHeight="1" spans="1:10">
      <c r="A2533" s="140" t="s">
        <v>491</v>
      </c>
      <c r="B2533" s="140" t="s">
        <v>149</v>
      </c>
      <c r="C2533" s="171">
        <v>45711</v>
      </c>
      <c r="D2533" s="172" t="s">
        <v>15</v>
      </c>
      <c r="E2533" s="173" t="s">
        <v>13</v>
      </c>
      <c r="F2533" s="140" t="s">
        <v>14</v>
      </c>
      <c r="G2533" s="140" t="s">
        <v>14</v>
      </c>
      <c r="H2533" s="140" t="s">
        <v>14</v>
      </c>
      <c r="I2533" s="140" t="s">
        <v>14</v>
      </c>
      <c r="J2533" s="174"/>
    </row>
    <row r="2534" customHeight="1" spans="1:10">
      <c r="A2534" s="140" t="s">
        <v>491</v>
      </c>
      <c r="B2534" s="140" t="s">
        <v>149</v>
      </c>
      <c r="C2534" s="171">
        <v>45712</v>
      </c>
      <c r="D2534" s="172" t="s">
        <v>16</v>
      </c>
      <c r="E2534" s="140" t="s">
        <v>19</v>
      </c>
      <c r="F2534" s="140" t="s">
        <v>14</v>
      </c>
      <c r="G2534" s="176" t="s">
        <v>68</v>
      </c>
      <c r="H2534" s="140" t="s">
        <v>14</v>
      </c>
      <c r="I2534" s="176" t="s">
        <v>68</v>
      </c>
      <c r="J2534" s="174" t="s">
        <v>234</v>
      </c>
    </row>
    <row r="2535" hidden="1" customHeight="1" spans="1:10">
      <c r="A2535" s="140" t="s">
        <v>491</v>
      </c>
      <c r="B2535" s="140" t="s">
        <v>149</v>
      </c>
      <c r="C2535" s="171">
        <v>45713</v>
      </c>
      <c r="D2535" s="172" t="s">
        <v>17</v>
      </c>
      <c r="E2535" s="140" t="s">
        <v>19</v>
      </c>
      <c r="F2535" s="140" t="s">
        <v>46</v>
      </c>
      <c r="G2535" s="140" t="s">
        <v>21</v>
      </c>
      <c r="H2535" s="140" t="s">
        <v>215</v>
      </c>
      <c r="I2535" s="140" t="s">
        <v>21</v>
      </c>
      <c r="J2535" s="174"/>
    </row>
    <row r="2536" hidden="1" customHeight="1" spans="1:10">
      <c r="A2536" s="140" t="s">
        <v>491</v>
      </c>
      <c r="B2536" s="140" t="s">
        <v>149</v>
      </c>
      <c r="C2536" s="171">
        <v>45714</v>
      </c>
      <c r="D2536" s="172" t="s">
        <v>18</v>
      </c>
      <c r="E2536" s="140" t="s">
        <v>19</v>
      </c>
      <c r="F2536" s="140" t="s">
        <v>154</v>
      </c>
      <c r="G2536" s="140" t="s">
        <v>21</v>
      </c>
      <c r="H2536" s="140" t="s">
        <v>181</v>
      </c>
      <c r="I2536" s="140" t="s">
        <v>21</v>
      </c>
      <c r="J2536" s="174"/>
    </row>
    <row r="2537" customHeight="1" spans="1:10">
      <c r="A2537" s="140" t="s">
        <v>491</v>
      </c>
      <c r="B2537" s="140" t="s">
        <v>149</v>
      </c>
      <c r="C2537" s="171">
        <v>45715</v>
      </c>
      <c r="D2537" s="172" t="s">
        <v>23</v>
      </c>
      <c r="E2537" s="140" t="s">
        <v>19</v>
      </c>
      <c r="F2537" s="140" t="s">
        <v>494</v>
      </c>
      <c r="G2537" s="177" t="s">
        <v>103</v>
      </c>
      <c r="H2537" s="140" t="s">
        <v>175</v>
      </c>
      <c r="I2537" s="140" t="s">
        <v>21</v>
      </c>
      <c r="J2537" s="174" t="s">
        <v>164</v>
      </c>
    </row>
    <row r="2538" hidden="1" customHeight="1" spans="1:10">
      <c r="A2538" s="140" t="s">
        <v>491</v>
      </c>
      <c r="B2538" s="140" t="s">
        <v>149</v>
      </c>
      <c r="C2538" s="171">
        <v>45716</v>
      </c>
      <c r="D2538" s="172" t="s">
        <v>25</v>
      </c>
      <c r="E2538" s="140" t="s">
        <v>19</v>
      </c>
      <c r="F2538" s="140" t="s">
        <v>157</v>
      </c>
      <c r="G2538" s="140" t="s">
        <v>21</v>
      </c>
      <c r="H2538" s="140" t="s">
        <v>201</v>
      </c>
      <c r="I2538" s="140" t="s">
        <v>21</v>
      </c>
      <c r="J2538" s="174"/>
    </row>
    <row r="2539" hidden="1" customHeight="1" spans="1:10">
      <c r="A2539" s="140" t="s">
        <v>495</v>
      </c>
      <c r="B2539" s="140" t="s">
        <v>398</v>
      </c>
      <c r="C2539" s="171">
        <v>45689</v>
      </c>
      <c r="D2539" s="172" t="s">
        <v>12</v>
      </c>
      <c r="E2539" s="173" t="s">
        <v>13</v>
      </c>
      <c r="F2539" s="140" t="s">
        <v>14</v>
      </c>
      <c r="G2539" s="140" t="s">
        <v>14</v>
      </c>
      <c r="H2539" s="140" t="s">
        <v>14</v>
      </c>
      <c r="I2539" s="140" t="s">
        <v>14</v>
      </c>
      <c r="J2539" s="174"/>
    </row>
    <row r="2540" hidden="1" customHeight="1" spans="1:10">
      <c r="A2540" s="140" t="s">
        <v>495</v>
      </c>
      <c r="B2540" s="140" t="s">
        <v>398</v>
      </c>
      <c r="C2540" s="171">
        <v>45690</v>
      </c>
      <c r="D2540" s="172" t="s">
        <v>15</v>
      </c>
      <c r="E2540" s="173" t="s">
        <v>13</v>
      </c>
      <c r="F2540" s="140" t="s">
        <v>14</v>
      </c>
      <c r="G2540" s="140" t="s">
        <v>14</v>
      </c>
      <c r="H2540" s="140" t="s">
        <v>14</v>
      </c>
      <c r="I2540" s="140" t="s">
        <v>14</v>
      </c>
      <c r="J2540" s="174"/>
    </row>
    <row r="2541" hidden="1" customHeight="1" spans="1:10">
      <c r="A2541" s="140" t="s">
        <v>495</v>
      </c>
      <c r="B2541" s="140" t="s">
        <v>398</v>
      </c>
      <c r="C2541" s="171">
        <v>45691</v>
      </c>
      <c r="D2541" s="172" t="s">
        <v>16</v>
      </c>
      <c r="E2541" s="173" t="s">
        <v>13</v>
      </c>
      <c r="F2541" s="140" t="s">
        <v>14</v>
      </c>
      <c r="G2541" s="140" t="s">
        <v>14</v>
      </c>
      <c r="H2541" s="140" t="s">
        <v>14</v>
      </c>
      <c r="I2541" s="140" t="s">
        <v>14</v>
      </c>
      <c r="J2541" s="174"/>
    </row>
    <row r="2542" hidden="1" customHeight="1" spans="1:10">
      <c r="A2542" s="140" t="s">
        <v>495</v>
      </c>
      <c r="B2542" s="140" t="s">
        <v>398</v>
      </c>
      <c r="C2542" s="171">
        <v>45692</v>
      </c>
      <c r="D2542" s="172" t="s">
        <v>17</v>
      </c>
      <c r="E2542" s="173" t="s">
        <v>13</v>
      </c>
      <c r="F2542" s="140" t="s">
        <v>14</v>
      </c>
      <c r="G2542" s="140" t="s">
        <v>14</v>
      </c>
      <c r="H2542" s="140" t="s">
        <v>14</v>
      </c>
      <c r="I2542" s="140" t="s">
        <v>14</v>
      </c>
      <c r="J2542" s="174"/>
    </row>
    <row r="2543" hidden="1" customHeight="1" spans="1:10">
      <c r="A2543" s="140" t="s">
        <v>495</v>
      </c>
      <c r="B2543" s="140" t="s">
        <v>398</v>
      </c>
      <c r="C2543" s="171">
        <v>45693</v>
      </c>
      <c r="D2543" s="172" t="s">
        <v>18</v>
      </c>
      <c r="E2543" s="140" t="s">
        <v>19</v>
      </c>
      <c r="F2543" s="140" t="s">
        <v>51</v>
      </c>
      <c r="G2543" s="140" t="s">
        <v>21</v>
      </c>
      <c r="H2543" s="140" t="s">
        <v>240</v>
      </c>
      <c r="I2543" s="140" t="s">
        <v>21</v>
      </c>
      <c r="J2543" s="174"/>
    </row>
    <row r="2544" hidden="1" customHeight="1" spans="1:10">
      <c r="A2544" s="140" t="s">
        <v>495</v>
      </c>
      <c r="B2544" s="140" t="s">
        <v>398</v>
      </c>
      <c r="C2544" s="171">
        <v>45694</v>
      </c>
      <c r="D2544" s="172" t="s">
        <v>23</v>
      </c>
      <c r="E2544" s="140" t="s">
        <v>19</v>
      </c>
      <c r="F2544" s="140" t="s">
        <v>46</v>
      </c>
      <c r="G2544" s="140" t="s">
        <v>21</v>
      </c>
      <c r="H2544" s="140" t="s">
        <v>78</v>
      </c>
      <c r="I2544" s="140" t="s">
        <v>21</v>
      </c>
      <c r="J2544" s="174"/>
    </row>
    <row r="2545" hidden="1" customHeight="1" spans="1:10">
      <c r="A2545" s="140" t="s">
        <v>495</v>
      </c>
      <c r="B2545" s="140" t="s">
        <v>398</v>
      </c>
      <c r="C2545" s="171">
        <v>45695</v>
      </c>
      <c r="D2545" s="172" t="s">
        <v>25</v>
      </c>
      <c r="E2545" s="140" t="s">
        <v>19</v>
      </c>
      <c r="F2545" s="140" t="s">
        <v>90</v>
      </c>
      <c r="G2545" s="140" t="s">
        <v>21</v>
      </c>
      <c r="H2545" s="140" t="s">
        <v>172</v>
      </c>
      <c r="I2545" s="140" t="s">
        <v>21</v>
      </c>
      <c r="J2545" s="174"/>
    </row>
    <row r="2546" customHeight="1" spans="1:10">
      <c r="A2546" s="140" t="s">
        <v>495</v>
      </c>
      <c r="B2546" s="140" t="s">
        <v>398</v>
      </c>
      <c r="C2546" s="171">
        <v>45696</v>
      </c>
      <c r="D2546" s="172" t="s">
        <v>27</v>
      </c>
      <c r="E2546" s="140" t="s">
        <v>19</v>
      </c>
      <c r="F2546" s="140" t="s">
        <v>14</v>
      </c>
      <c r="G2546" s="176" t="s">
        <v>68</v>
      </c>
      <c r="H2546" s="140" t="s">
        <v>189</v>
      </c>
      <c r="I2546" s="140" t="s">
        <v>21</v>
      </c>
      <c r="J2546" s="174" t="s">
        <v>270</v>
      </c>
    </row>
    <row r="2547" hidden="1" customHeight="1" spans="1:10">
      <c r="A2547" s="140" t="s">
        <v>495</v>
      </c>
      <c r="B2547" s="140" t="s">
        <v>398</v>
      </c>
      <c r="C2547" s="171">
        <v>45697</v>
      </c>
      <c r="D2547" s="172" t="s">
        <v>15</v>
      </c>
      <c r="E2547" s="173" t="s">
        <v>13</v>
      </c>
      <c r="F2547" s="140" t="s">
        <v>14</v>
      </c>
      <c r="G2547" s="140" t="s">
        <v>14</v>
      </c>
      <c r="H2547" s="140" t="s">
        <v>14</v>
      </c>
      <c r="I2547" s="140" t="s">
        <v>14</v>
      </c>
      <c r="J2547" s="174"/>
    </row>
    <row r="2548" hidden="1" customHeight="1" spans="1:10">
      <c r="A2548" s="140" t="s">
        <v>495</v>
      </c>
      <c r="B2548" s="140" t="s">
        <v>398</v>
      </c>
      <c r="C2548" s="171">
        <v>45698</v>
      </c>
      <c r="D2548" s="172" t="s">
        <v>16</v>
      </c>
      <c r="E2548" s="140" t="s">
        <v>19</v>
      </c>
      <c r="F2548" s="140" t="s">
        <v>90</v>
      </c>
      <c r="G2548" s="140" t="s">
        <v>21</v>
      </c>
      <c r="H2548" s="140" t="s">
        <v>168</v>
      </c>
      <c r="I2548" s="140" t="s">
        <v>21</v>
      </c>
      <c r="J2548" s="174"/>
    </row>
    <row r="2549" hidden="1" customHeight="1" spans="1:10">
      <c r="A2549" s="140" t="s">
        <v>495</v>
      </c>
      <c r="B2549" s="140" t="s">
        <v>398</v>
      </c>
      <c r="C2549" s="171">
        <v>45699</v>
      </c>
      <c r="D2549" s="172" t="s">
        <v>17</v>
      </c>
      <c r="E2549" s="140" t="s">
        <v>19</v>
      </c>
      <c r="F2549" s="140" t="s">
        <v>209</v>
      </c>
      <c r="G2549" s="140" t="s">
        <v>21</v>
      </c>
      <c r="H2549" s="140" t="s">
        <v>408</v>
      </c>
      <c r="I2549" s="140" t="s">
        <v>21</v>
      </c>
      <c r="J2549" s="174"/>
    </row>
    <row r="2550" hidden="1" customHeight="1" spans="1:10">
      <c r="A2550" s="140" t="s">
        <v>495</v>
      </c>
      <c r="B2550" s="140" t="s">
        <v>398</v>
      </c>
      <c r="C2550" s="171">
        <v>45700</v>
      </c>
      <c r="D2550" s="172" t="s">
        <v>18</v>
      </c>
      <c r="E2550" s="140" t="s">
        <v>19</v>
      </c>
      <c r="F2550" s="140" t="s">
        <v>209</v>
      </c>
      <c r="G2550" s="140" t="s">
        <v>21</v>
      </c>
      <c r="H2550" s="140" t="s">
        <v>142</v>
      </c>
      <c r="I2550" s="140" t="s">
        <v>21</v>
      </c>
      <c r="J2550" s="174"/>
    </row>
    <row r="2551" hidden="1" customHeight="1" spans="1:10">
      <c r="A2551" s="140" t="s">
        <v>495</v>
      </c>
      <c r="B2551" s="140" t="s">
        <v>398</v>
      </c>
      <c r="C2551" s="171">
        <v>45701</v>
      </c>
      <c r="D2551" s="172" t="s">
        <v>23</v>
      </c>
      <c r="E2551" s="140" t="s">
        <v>19</v>
      </c>
      <c r="F2551" s="140" t="s">
        <v>43</v>
      </c>
      <c r="G2551" s="140" t="s">
        <v>21</v>
      </c>
      <c r="H2551" s="140" t="s">
        <v>190</v>
      </c>
      <c r="I2551" s="140" t="s">
        <v>21</v>
      </c>
      <c r="J2551" s="174"/>
    </row>
    <row r="2552" customHeight="1" spans="1:10">
      <c r="A2552" s="140" t="s">
        <v>495</v>
      </c>
      <c r="B2552" s="140" t="s">
        <v>398</v>
      </c>
      <c r="C2552" s="171">
        <v>45702</v>
      </c>
      <c r="D2552" s="172" t="s">
        <v>25</v>
      </c>
      <c r="E2552" s="140" t="s">
        <v>19</v>
      </c>
      <c r="F2552" s="140" t="s">
        <v>14</v>
      </c>
      <c r="G2552" s="176" t="s">
        <v>68</v>
      </c>
      <c r="H2552" s="140" t="s">
        <v>14</v>
      </c>
      <c r="I2552" s="176" t="s">
        <v>68</v>
      </c>
      <c r="J2552" s="174" t="s">
        <v>69</v>
      </c>
    </row>
    <row r="2553" hidden="1" customHeight="1" spans="1:10">
      <c r="A2553" s="140" t="s">
        <v>495</v>
      </c>
      <c r="B2553" s="140" t="s">
        <v>398</v>
      </c>
      <c r="C2553" s="171">
        <v>45703</v>
      </c>
      <c r="D2553" s="172" t="s">
        <v>27</v>
      </c>
      <c r="E2553" s="173" t="s">
        <v>13</v>
      </c>
      <c r="F2553" s="140" t="s">
        <v>14</v>
      </c>
      <c r="G2553" s="140" t="s">
        <v>14</v>
      </c>
      <c r="H2553" s="140" t="s">
        <v>14</v>
      </c>
      <c r="I2553" s="140" t="s">
        <v>14</v>
      </c>
      <c r="J2553" s="174"/>
    </row>
    <row r="2554" hidden="1" customHeight="1" spans="1:10">
      <c r="A2554" s="140" t="s">
        <v>495</v>
      </c>
      <c r="B2554" s="140" t="s">
        <v>398</v>
      </c>
      <c r="C2554" s="171">
        <v>45704</v>
      </c>
      <c r="D2554" s="172" t="s">
        <v>15</v>
      </c>
      <c r="E2554" s="173" t="s">
        <v>13</v>
      </c>
      <c r="F2554" s="140" t="s">
        <v>14</v>
      </c>
      <c r="G2554" s="140" t="s">
        <v>14</v>
      </c>
      <c r="H2554" s="140" t="s">
        <v>14</v>
      </c>
      <c r="I2554" s="140" t="s">
        <v>14</v>
      </c>
      <c r="J2554" s="174"/>
    </row>
    <row r="2555" hidden="1" customHeight="1" spans="1:10">
      <c r="A2555" s="140" t="s">
        <v>495</v>
      </c>
      <c r="B2555" s="140" t="s">
        <v>398</v>
      </c>
      <c r="C2555" s="171">
        <v>45705</v>
      </c>
      <c r="D2555" s="172" t="s">
        <v>16</v>
      </c>
      <c r="E2555" s="140" t="s">
        <v>19</v>
      </c>
      <c r="F2555" s="140" t="s">
        <v>43</v>
      </c>
      <c r="G2555" s="140" t="s">
        <v>21</v>
      </c>
      <c r="H2555" s="140" t="s">
        <v>78</v>
      </c>
      <c r="I2555" s="140" t="s">
        <v>21</v>
      </c>
      <c r="J2555" s="174"/>
    </row>
    <row r="2556" hidden="1" customHeight="1" spans="1:10">
      <c r="A2556" s="140" t="s">
        <v>495</v>
      </c>
      <c r="B2556" s="140" t="s">
        <v>398</v>
      </c>
      <c r="C2556" s="171">
        <v>45706</v>
      </c>
      <c r="D2556" s="172" t="s">
        <v>17</v>
      </c>
      <c r="E2556" s="140" t="s">
        <v>19</v>
      </c>
      <c r="F2556" s="140" t="s">
        <v>46</v>
      </c>
      <c r="G2556" s="140" t="s">
        <v>21</v>
      </c>
      <c r="H2556" s="140" t="s">
        <v>243</v>
      </c>
      <c r="I2556" s="140" t="s">
        <v>21</v>
      </c>
      <c r="J2556" s="174"/>
    </row>
    <row r="2557" hidden="1" customHeight="1" spans="1:10">
      <c r="A2557" s="140" t="s">
        <v>495</v>
      </c>
      <c r="B2557" s="140" t="s">
        <v>398</v>
      </c>
      <c r="C2557" s="171">
        <v>45707</v>
      </c>
      <c r="D2557" s="172" t="s">
        <v>18</v>
      </c>
      <c r="E2557" s="140" t="s">
        <v>19</v>
      </c>
      <c r="F2557" s="140" t="s">
        <v>20</v>
      </c>
      <c r="G2557" s="140" t="s">
        <v>21</v>
      </c>
      <c r="H2557" s="140" t="s">
        <v>496</v>
      </c>
      <c r="I2557" s="140" t="s">
        <v>21</v>
      </c>
      <c r="J2557" s="174"/>
    </row>
    <row r="2558" customHeight="1" spans="1:10">
      <c r="A2558" s="140" t="s">
        <v>495</v>
      </c>
      <c r="B2558" s="140" t="s">
        <v>398</v>
      </c>
      <c r="C2558" s="171">
        <v>45708</v>
      </c>
      <c r="D2558" s="172" t="s">
        <v>23</v>
      </c>
      <c r="E2558" s="140" t="s">
        <v>19</v>
      </c>
      <c r="F2558" s="140" t="s">
        <v>14</v>
      </c>
      <c r="G2558" s="176" t="s">
        <v>68</v>
      </c>
      <c r="H2558" s="140" t="s">
        <v>481</v>
      </c>
      <c r="I2558" s="140" t="s">
        <v>21</v>
      </c>
      <c r="J2558" s="174" t="s">
        <v>69</v>
      </c>
    </row>
    <row r="2559" customHeight="1" spans="1:10">
      <c r="A2559" s="140" t="s">
        <v>495</v>
      </c>
      <c r="B2559" s="140" t="s">
        <v>398</v>
      </c>
      <c r="C2559" s="171">
        <v>45709</v>
      </c>
      <c r="D2559" s="172" t="s">
        <v>25</v>
      </c>
      <c r="E2559" s="140" t="s">
        <v>19</v>
      </c>
      <c r="F2559" s="140" t="s">
        <v>14</v>
      </c>
      <c r="G2559" s="176" t="s">
        <v>68</v>
      </c>
      <c r="H2559" s="140" t="s">
        <v>14</v>
      </c>
      <c r="I2559" s="176" t="s">
        <v>68</v>
      </c>
      <c r="J2559" s="174" t="s">
        <v>93</v>
      </c>
    </row>
    <row r="2560" hidden="1" customHeight="1" spans="1:10">
      <c r="A2560" s="140" t="s">
        <v>495</v>
      </c>
      <c r="B2560" s="140" t="s">
        <v>398</v>
      </c>
      <c r="C2560" s="171">
        <v>45710</v>
      </c>
      <c r="D2560" s="172" t="s">
        <v>27</v>
      </c>
      <c r="E2560" s="173" t="s">
        <v>13</v>
      </c>
      <c r="F2560" s="140" t="s">
        <v>14</v>
      </c>
      <c r="G2560" s="140" t="s">
        <v>14</v>
      </c>
      <c r="H2560" s="140" t="s">
        <v>14</v>
      </c>
      <c r="I2560" s="140" t="s">
        <v>14</v>
      </c>
      <c r="J2560" s="174"/>
    </row>
    <row r="2561" hidden="1" customHeight="1" spans="1:10">
      <c r="A2561" s="140" t="s">
        <v>495</v>
      </c>
      <c r="B2561" s="140" t="s">
        <v>398</v>
      </c>
      <c r="C2561" s="171">
        <v>45711</v>
      </c>
      <c r="D2561" s="172" t="s">
        <v>15</v>
      </c>
      <c r="E2561" s="173" t="s">
        <v>13</v>
      </c>
      <c r="F2561" s="140" t="s">
        <v>14</v>
      </c>
      <c r="G2561" s="140" t="s">
        <v>14</v>
      </c>
      <c r="H2561" s="140" t="s">
        <v>14</v>
      </c>
      <c r="I2561" s="140" t="s">
        <v>14</v>
      </c>
      <c r="J2561" s="174"/>
    </row>
    <row r="2562" hidden="1" customHeight="1" spans="1:10">
      <c r="A2562" s="140" t="s">
        <v>495</v>
      </c>
      <c r="B2562" s="140" t="s">
        <v>398</v>
      </c>
      <c r="C2562" s="171">
        <v>45712</v>
      </c>
      <c r="D2562" s="172" t="s">
        <v>16</v>
      </c>
      <c r="E2562" s="140" t="s">
        <v>19</v>
      </c>
      <c r="F2562" s="140" t="s">
        <v>46</v>
      </c>
      <c r="G2562" s="140" t="s">
        <v>21</v>
      </c>
      <c r="H2562" s="140" t="s">
        <v>315</v>
      </c>
      <c r="I2562" s="140" t="s">
        <v>21</v>
      </c>
      <c r="J2562" s="174"/>
    </row>
    <row r="2563" hidden="1" customHeight="1" spans="1:10">
      <c r="A2563" s="140" t="s">
        <v>495</v>
      </c>
      <c r="B2563" s="140" t="s">
        <v>398</v>
      </c>
      <c r="C2563" s="171">
        <v>45713</v>
      </c>
      <c r="D2563" s="172" t="s">
        <v>17</v>
      </c>
      <c r="E2563" s="140" t="s">
        <v>19</v>
      </c>
      <c r="F2563" s="140" t="s">
        <v>43</v>
      </c>
      <c r="G2563" s="140" t="s">
        <v>21</v>
      </c>
      <c r="H2563" s="140" t="s">
        <v>92</v>
      </c>
      <c r="I2563" s="140" t="s">
        <v>21</v>
      </c>
      <c r="J2563" s="174"/>
    </row>
    <row r="2564" customHeight="1" spans="1:10">
      <c r="A2564" s="140" t="s">
        <v>495</v>
      </c>
      <c r="B2564" s="140" t="s">
        <v>398</v>
      </c>
      <c r="C2564" s="171">
        <v>45714</v>
      </c>
      <c r="D2564" s="172" t="s">
        <v>18</v>
      </c>
      <c r="E2564" s="140" t="s">
        <v>19</v>
      </c>
      <c r="F2564" s="140" t="s">
        <v>14</v>
      </c>
      <c r="G2564" s="176" t="s">
        <v>68</v>
      </c>
      <c r="H2564" s="140" t="s">
        <v>238</v>
      </c>
      <c r="I2564" s="140" t="s">
        <v>21</v>
      </c>
      <c r="J2564" s="174" t="s">
        <v>270</v>
      </c>
    </row>
    <row r="2565" hidden="1" customHeight="1" spans="1:10">
      <c r="A2565" s="140" t="s">
        <v>495</v>
      </c>
      <c r="B2565" s="140" t="s">
        <v>398</v>
      </c>
      <c r="C2565" s="171">
        <v>45715</v>
      </c>
      <c r="D2565" s="172" t="s">
        <v>23</v>
      </c>
      <c r="E2565" s="140" t="s">
        <v>19</v>
      </c>
      <c r="F2565" s="140" t="s">
        <v>28</v>
      </c>
      <c r="G2565" s="140" t="s">
        <v>21</v>
      </c>
      <c r="H2565" s="140" t="s">
        <v>168</v>
      </c>
      <c r="I2565" s="140" t="s">
        <v>21</v>
      </c>
      <c r="J2565" s="174"/>
    </row>
    <row r="2566" hidden="1" customHeight="1" spans="1:10">
      <c r="A2566" s="140" t="s">
        <v>495</v>
      </c>
      <c r="B2566" s="140" t="s">
        <v>398</v>
      </c>
      <c r="C2566" s="171">
        <v>45716</v>
      </c>
      <c r="D2566" s="172" t="s">
        <v>25</v>
      </c>
      <c r="E2566" s="140" t="s">
        <v>19</v>
      </c>
      <c r="F2566" s="140" t="s">
        <v>209</v>
      </c>
      <c r="G2566" s="140" t="s">
        <v>21</v>
      </c>
      <c r="H2566" s="140" t="s">
        <v>434</v>
      </c>
      <c r="I2566" s="140" t="s">
        <v>21</v>
      </c>
      <c r="J2566" s="174"/>
    </row>
    <row r="2567" hidden="1" customHeight="1" spans="1:10">
      <c r="A2567" s="140" t="s">
        <v>497</v>
      </c>
      <c r="B2567" s="140" t="s">
        <v>149</v>
      </c>
      <c r="C2567" s="171">
        <v>45689</v>
      </c>
      <c r="D2567" s="172" t="s">
        <v>12</v>
      </c>
      <c r="E2567" s="173" t="s">
        <v>13</v>
      </c>
      <c r="F2567" s="140" t="s">
        <v>14</v>
      </c>
      <c r="G2567" s="140" t="s">
        <v>14</v>
      </c>
      <c r="H2567" s="140" t="s">
        <v>14</v>
      </c>
      <c r="I2567" s="140" t="s">
        <v>14</v>
      </c>
      <c r="J2567" s="174"/>
    </row>
    <row r="2568" hidden="1" customHeight="1" spans="1:10">
      <c r="A2568" s="140" t="s">
        <v>497</v>
      </c>
      <c r="B2568" s="140" t="s">
        <v>149</v>
      </c>
      <c r="C2568" s="171">
        <v>45690</v>
      </c>
      <c r="D2568" s="172" t="s">
        <v>15</v>
      </c>
      <c r="E2568" s="173" t="s">
        <v>13</v>
      </c>
      <c r="F2568" s="140" t="s">
        <v>14</v>
      </c>
      <c r="G2568" s="140" t="s">
        <v>14</v>
      </c>
      <c r="H2568" s="140" t="s">
        <v>14</v>
      </c>
      <c r="I2568" s="140" t="s">
        <v>14</v>
      </c>
      <c r="J2568" s="174"/>
    </row>
    <row r="2569" hidden="1" customHeight="1" spans="1:10">
      <c r="A2569" s="140" t="s">
        <v>497</v>
      </c>
      <c r="B2569" s="140" t="s">
        <v>149</v>
      </c>
      <c r="C2569" s="171">
        <v>45691</v>
      </c>
      <c r="D2569" s="172" t="s">
        <v>16</v>
      </c>
      <c r="E2569" s="173" t="s">
        <v>13</v>
      </c>
      <c r="F2569" s="140" t="s">
        <v>14</v>
      </c>
      <c r="G2569" s="140" t="s">
        <v>14</v>
      </c>
      <c r="H2569" s="140" t="s">
        <v>14</v>
      </c>
      <c r="I2569" s="140" t="s">
        <v>14</v>
      </c>
      <c r="J2569" s="174"/>
    </row>
    <row r="2570" hidden="1" customHeight="1" spans="1:10">
      <c r="A2570" s="140" t="s">
        <v>497</v>
      </c>
      <c r="B2570" s="140" t="s">
        <v>149</v>
      </c>
      <c r="C2570" s="171">
        <v>45692</v>
      </c>
      <c r="D2570" s="172" t="s">
        <v>17</v>
      </c>
      <c r="E2570" s="173" t="s">
        <v>13</v>
      </c>
      <c r="F2570" s="140" t="s">
        <v>14</v>
      </c>
      <c r="G2570" s="140" t="s">
        <v>14</v>
      </c>
      <c r="H2570" s="140" t="s">
        <v>14</v>
      </c>
      <c r="I2570" s="140" t="s">
        <v>14</v>
      </c>
      <c r="J2570" s="174"/>
    </row>
    <row r="2571" hidden="1" customHeight="1" spans="1:10">
      <c r="A2571" s="140" t="s">
        <v>497</v>
      </c>
      <c r="B2571" s="140" t="s">
        <v>149</v>
      </c>
      <c r="C2571" s="171">
        <v>45693</v>
      </c>
      <c r="D2571" s="172" t="s">
        <v>18</v>
      </c>
      <c r="E2571" s="140" t="s">
        <v>19</v>
      </c>
      <c r="F2571" s="140" t="s">
        <v>108</v>
      </c>
      <c r="G2571" s="140" t="s">
        <v>21</v>
      </c>
      <c r="H2571" s="140" t="s">
        <v>199</v>
      </c>
      <c r="I2571" s="140" t="s">
        <v>21</v>
      </c>
      <c r="J2571" s="174"/>
    </row>
    <row r="2572" hidden="1" customHeight="1" spans="1:10">
      <c r="A2572" s="140" t="s">
        <v>497</v>
      </c>
      <c r="B2572" s="140" t="s">
        <v>149</v>
      </c>
      <c r="C2572" s="171">
        <v>45694</v>
      </c>
      <c r="D2572" s="172" t="s">
        <v>23</v>
      </c>
      <c r="E2572" s="140" t="s">
        <v>19</v>
      </c>
      <c r="F2572" s="140" t="s">
        <v>117</v>
      </c>
      <c r="G2572" s="140" t="s">
        <v>21</v>
      </c>
      <c r="H2572" s="140" t="s">
        <v>167</v>
      </c>
      <c r="I2572" s="140" t="s">
        <v>21</v>
      </c>
      <c r="J2572" s="174"/>
    </row>
    <row r="2573" hidden="1" customHeight="1" spans="1:10">
      <c r="A2573" s="140" t="s">
        <v>497</v>
      </c>
      <c r="B2573" s="140" t="s">
        <v>149</v>
      </c>
      <c r="C2573" s="171">
        <v>45695</v>
      </c>
      <c r="D2573" s="172" t="s">
        <v>25</v>
      </c>
      <c r="E2573" s="140" t="s">
        <v>19</v>
      </c>
      <c r="F2573" s="140" t="s">
        <v>30</v>
      </c>
      <c r="G2573" s="140" t="s">
        <v>21</v>
      </c>
      <c r="H2573" s="140" t="s">
        <v>32</v>
      </c>
      <c r="I2573" s="140" t="s">
        <v>21</v>
      </c>
      <c r="J2573" s="174"/>
    </row>
    <row r="2574" hidden="1" customHeight="1" spans="1:10">
      <c r="A2574" s="140" t="s">
        <v>497</v>
      </c>
      <c r="B2574" s="140" t="s">
        <v>149</v>
      </c>
      <c r="C2574" s="171">
        <v>45696</v>
      </c>
      <c r="D2574" s="172" t="s">
        <v>27</v>
      </c>
      <c r="E2574" s="140" t="s">
        <v>19</v>
      </c>
      <c r="F2574" s="140" t="s">
        <v>139</v>
      </c>
      <c r="G2574" s="140" t="s">
        <v>21</v>
      </c>
      <c r="H2574" s="140" t="s">
        <v>172</v>
      </c>
      <c r="I2574" s="140" t="s">
        <v>21</v>
      </c>
      <c r="J2574" s="174"/>
    </row>
    <row r="2575" hidden="1" customHeight="1" spans="1:10">
      <c r="A2575" s="140" t="s">
        <v>497</v>
      </c>
      <c r="B2575" s="140" t="s">
        <v>149</v>
      </c>
      <c r="C2575" s="171">
        <v>45697</v>
      </c>
      <c r="D2575" s="172" t="s">
        <v>15</v>
      </c>
      <c r="E2575" s="173" t="s">
        <v>13</v>
      </c>
      <c r="F2575" s="140" t="s">
        <v>14</v>
      </c>
      <c r="G2575" s="140" t="s">
        <v>14</v>
      </c>
      <c r="H2575" s="140" t="s">
        <v>14</v>
      </c>
      <c r="I2575" s="140" t="s">
        <v>14</v>
      </c>
      <c r="J2575" s="174"/>
    </row>
    <row r="2576" hidden="1" customHeight="1" spans="1:10">
      <c r="A2576" s="140" t="s">
        <v>497</v>
      </c>
      <c r="B2576" s="140" t="s">
        <v>149</v>
      </c>
      <c r="C2576" s="171">
        <v>45698</v>
      </c>
      <c r="D2576" s="172" t="s">
        <v>16</v>
      </c>
      <c r="E2576" s="140" t="s">
        <v>19</v>
      </c>
      <c r="F2576" s="140" t="s">
        <v>154</v>
      </c>
      <c r="G2576" s="140" t="s">
        <v>21</v>
      </c>
      <c r="H2576" s="140" t="s">
        <v>78</v>
      </c>
      <c r="I2576" s="140" t="s">
        <v>21</v>
      </c>
      <c r="J2576" s="174"/>
    </row>
    <row r="2577" hidden="1" customHeight="1" spans="1:10">
      <c r="A2577" s="140" t="s">
        <v>497</v>
      </c>
      <c r="B2577" s="140" t="s">
        <v>149</v>
      </c>
      <c r="C2577" s="171">
        <v>45699</v>
      </c>
      <c r="D2577" s="172" t="s">
        <v>17</v>
      </c>
      <c r="E2577" s="140" t="s">
        <v>19</v>
      </c>
      <c r="F2577" s="140" t="s">
        <v>154</v>
      </c>
      <c r="G2577" s="140" t="s">
        <v>21</v>
      </c>
      <c r="H2577" s="140" t="s">
        <v>151</v>
      </c>
      <c r="I2577" s="140" t="s">
        <v>21</v>
      </c>
      <c r="J2577" s="174"/>
    </row>
    <row r="2578" hidden="1" customHeight="1" spans="1:10">
      <c r="A2578" s="140" t="s">
        <v>497</v>
      </c>
      <c r="B2578" s="140" t="s">
        <v>149</v>
      </c>
      <c r="C2578" s="171">
        <v>45700</v>
      </c>
      <c r="D2578" s="172" t="s">
        <v>18</v>
      </c>
      <c r="E2578" s="140" t="s">
        <v>19</v>
      </c>
      <c r="F2578" s="140" t="s">
        <v>154</v>
      </c>
      <c r="G2578" s="140" t="s">
        <v>21</v>
      </c>
      <c r="H2578" s="140" t="s">
        <v>167</v>
      </c>
      <c r="I2578" s="140" t="s">
        <v>21</v>
      </c>
      <c r="J2578" s="174"/>
    </row>
    <row r="2579" hidden="1" customHeight="1" spans="1:10">
      <c r="A2579" s="140" t="s">
        <v>497</v>
      </c>
      <c r="B2579" s="140" t="s">
        <v>149</v>
      </c>
      <c r="C2579" s="171">
        <v>45701</v>
      </c>
      <c r="D2579" s="172" t="s">
        <v>23</v>
      </c>
      <c r="E2579" s="140" t="s">
        <v>19</v>
      </c>
      <c r="F2579" s="140" t="s">
        <v>193</v>
      </c>
      <c r="G2579" s="140" t="s">
        <v>21</v>
      </c>
      <c r="H2579" s="140" t="s">
        <v>116</v>
      </c>
      <c r="I2579" s="140" t="s">
        <v>21</v>
      </c>
      <c r="J2579" s="174"/>
    </row>
    <row r="2580" hidden="1" customHeight="1" spans="1:10">
      <c r="A2580" s="140" t="s">
        <v>497</v>
      </c>
      <c r="B2580" s="140" t="s">
        <v>149</v>
      </c>
      <c r="C2580" s="171">
        <v>45702</v>
      </c>
      <c r="D2580" s="172" t="s">
        <v>25</v>
      </c>
      <c r="E2580" s="140" t="s">
        <v>19</v>
      </c>
      <c r="F2580" s="140" t="s">
        <v>157</v>
      </c>
      <c r="G2580" s="140" t="s">
        <v>21</v>
      </c>
      <c r="H2580" s="140" t="s">
        <v>206</v>
      </c>
      <c r="I2580" s="140" t="s">
        <v>21</v>
      </c>
      <c r="J2580" s="174"/>
    </row>
    <row r="2581" hidden="1" customHeight="1" spans="1:10">
      <c r="A2581" s="140" t="s">
        <v>497</v>
      </c>
      <c r="B2581" s="140" t="s">
        <v>149</v>
      </c>
      <c r="C2581" s="171">
        <v>45703</v>
      </c>
      <c r="D2581" s="172" t="s">
        <v>27</v>
      </c>
      <c r="E2581" s="173" t="s">
        <v>13</v>
      </c>
      <c r="F2581" s="140" t="s">
        <v>14</v>
      </c>
      <c r="G2581" s="140" t="s">
        <v>14</v>
      </c>
      <c r="H2581" s="140" t="s">
        <v>14</v>
      </c>
      <c r="I2581" s="140" t="s">
        <v>14</v>
      </c>
      <c r="J2581" s="174"/>
    </row>
    <row r="2582" hidden="1" customHeight="1" spans="1:10">
      <c r="A2582" s="140" t="s">
        <v>497</v>
      </c>
      <c r="B2582" s="140" t="s">
        <v>149</v>
      </c>
      <c r="C2582" s="171">
        <v>45704</v>
      </c>
      <c r="D2582" s="172" t="s">
        <v>15</v>
      </c>
      <c r="E2582" s="173" t="s">
        <v>13</v>
      </c>
      <c r="F2582" s="140" t="s">
        <v>14</v>
      </c>
      <c r="G2582" s="140" t="s">
        <v>14</v>
      </c>
      <c r="H2582" s="140" t="s">
        <v>14</v>
      </c>
      <c r="I2582" s="140" t="s">
        <v>14</v>
      </c>
      <c r="J2582" s="174"/>
    </row>
    <row r="2583" hidden="1" customHeight="1" spans="1:10">
      <c r="A2583" s="140" t="s">
        <v>497</v>
      </c>
      <c r="B2583" s="140" t="s">
        <v>149</v>
      </c>
      <c r="C2583" s="171">
        <v>45705</v>
      </c>
      <c r="D2583" s="172" t="s">
        <v>16</v>
      </c>
      <c r="E2583" s="140" t="s">
        <v>19</v>
      </c>
      <c r="F2583" s="140" t="s">
        <v>154</v>
      </c>
      <c r="G2583" s="140" t="s">
        <v>21</v>
      </c>
      <c r="H2583" s="140" t="s">
        <v>163</v>
      </c>
      <c r="I2583" s="140" t="s">
        <v>21</v>
      </c>
      <c r="J2583" s="174"/>
    </row>
    <row r="2584" hidden="1" customHeight="1" spans="1:10">
      <c r="A2584" s="140" t="s">
        <v>497</v>
      </c>
      <c r="B2584" s="140" t="s">
        <v>149</v>
      </c>
      <c r="C2584" s="171">
        <v>45706</v>
      </c>
      <c r="D2584" s="172" t="s">
        <v>17</v>
      </c>
      <c r="E2584" s="140" t="s">
        <v>19</v>
      </c>
      <c r="F2584" s="140" t="s">
        <v>157</v>
      </c>
      <c r="G2584" s="140" t="s">
        <v>21</v>
      </c>
      <c r="H2584" s="140" t="s">
        <v>26</v>
      </c>
      <c r="I2584" s="140" t="s">
        <v>21</v>
      </c>
      <c r="J2584" s="174"/>
    </row>
    <row r="2585" hidden="1" customHeight="1" spans="1:10">
      <c r="A2585" s="140" t="s">
        <v>497</v>
      </c>
      <c r="B2585" s="140" t="s">
        <v>149</v>
      </c>
      <c r="C2585" s="171">
        <v>45707</v>
      </c>
      <c r="D2585" s="172" t="s">
        <v>18</v>
      </c>
      <c r="E2585" s="140" t="s">
        <v>19</v>
      </c>
      <c r="F2585" s="140" t="s">
        <v>188</v>
      </c>
      <c r="G2585" s="140" t="s">
        <v>21</v>
      </c>
      <c r="H2585" s="140" t="s">
        <v>373</v>
      </c>
      <c r="I2585" s="140" t="s">
        <v>21</v>
      </c>
      <c r="J2585" s="174"/>
    </row>
    <row r="2586" customHeight="1" spans="1:10">
      <c r="A2586" s="140" t="s">
        <v>497</v>
      </c>
      <c r="B2586" s="140" t="s">
        <v>149</v>
      </c>
      <c r="C2586" s="171">
        <v>45708</v>
      </c>
      <c r="D2586" s="172" t="s">
        <v>23</v>
      </c>
      <c r="E2586" s="140" t="s">
        <v>19</v>
      </c>
      <c r="F2586" s="140" t="s">
        <v>288</v>
      </c>
      <c r="G2586" s="177" t="s">
        <v>103</v>
      </c>
      <c r="H2586" s="140" t="s">
        <v>387</v>
      </c>
      <c r="I2586" s="140" t="s">
        <v>21</v>
      </c>
      <c r="J2586" s="174" t="s">
        <v>69</v>
      </c>
    </row>
    <row r="2587" hidden="1" customHeight="1" spans="1:10">
      <c r="A2587" s="140" t="s">
        <v>497</v>
      </c>
      <c r="B2587" s="140" t="s">
        <v>149</v>
      </c>
      <c r="C2587" s="171">
        <v>45709</v>
      </c>
      <c r="D2587" s="172" t="s">
        <v>25</v>
      </c>
      <c r="E2587" s="140" t="s">
        <v>19</v>
      </c>
      <c r="F2587" s="140" t="s">
        <v>146</v>
      </c>
      <c r="G2587" s="140" t="s">
        <v>21</v>
      </c>
      <c r="H2587" s="140" t="s">
        <v>159</v>
      </c>
      <c r="I2587" s="140" t="s">
        <v>21</v>
      </c>
      <c r="J2587" s="174"/>
    </row>
    <row r="2588" hidden="1" customHeight="1" spans="1:10">
      <c r="A2588" s="140" t="s">
        <v>497</v>
      </c>
      <c r="B2588" s="140" t="s">
        <v>149</v>
      </c>
      <c r="C2588" s="171">
        <v>45710</v>
      </c>
      <c r="D2588" s="172" t="s">
        <v>27</v>
      </c>
      <c r="E2588" s="173" t="s">
        <v>13</v>
      </c>
      <c r="F2588" s="140" t="s">
        <v>498</v>
      </c>
      <c r="G2588" s="140" t="s">
        <v>21</v>
      </c>
      <c r="H2588" s="140" t="s">
        <v>499</v>
      </c>
      <c r="I2588" s="140" t="s">
        <v>21</v>
      </c>
      <c r="J2588" s="174"/>
    </row>
    <row r="2589" hidden="1" customHeight="1" spans="1:10">
      <c r="A2589" s="140" t="s">
        <v>497</v>
      </c>
      <c r="B2589" s="140" t="s">
        <v>149</v>
      </c>
      <c r="C2589" s="171">
        <v>45711</v>
      </c>
      <c r="D2589" s="172" t="s">
        <v>15</v>
      </c>
      <c r="E2589" s="173" t="s">
        <v>13</v>
      </c>
      <c r="F2589" s="140" t="s">
        <v>14</v>
      </c>
      <c r="G2589" s="140" t="s">
        <v>14</v>
      </c>
      <c r="H2589" s="140" t="s">
        <v>14</v>
      </c>
      <c r="I2589" s="140" t="s">
        <v>14</v>
      </c>
      <c r="J2589" s="175"/>
    </row>
    <row r="2590" hidden="1" customHeight="1" spans="1:10">
      <c r="A2590" s="140" t="s">
        <v>497</v>
      </c>
      <c r="B2590" s="140" t="s">
        <v>149</v>
      </c>
      <c r="C2590" s="171">
        <v>45712</v>
      </c>
      <c r="D2590" s="172" t="s">
        <v>16</v>
      </c>
      <c r="E2590" s="140" t="s">
        <v>19</v>
      </c>
      <c r="F2590" s="140" t="s">
        <v>46</v>
      </c>
      <c r="G2590" s="140" t="s">
        <v>21</v>
      </c>
      <c r="H2590" s="140" t="s">
        <v>45</v>
      </c>
      <c r="I2590" s="140" t="s">
        <v>21</v>
      </c>
      <c r="J2590" s="174"/>
    </row>
    <row r="2591" hidden="1" customHeight="1" spans="1:10">
      <c r="A2591" s="140" t="s">
        <v>497</v>
      </c>
      <c r="B2591" s="140" t="s">
        <v>149</v>
      </c>
      <c r="C2591" s="171">
        <v>45713</v>
      </c>
      <c r="D2591" s="172" t="s">
        <v>17</v>
      </c>
      <c r="E2591" s="140" t="s">
        <v>19</v>
      </c>
      <c r="F2591" s="140" t="s">
        <v>139</v>
      </c>
      <c r="G2591" s="140" t="s">
        <v>21</v>
      </c>
      <c r="H2591" s="140" t="s">
        <v>96</v>
      </c>
      <c r="I2591" s="140" t="s">
        <v>21</v>
      </c>
      <c r="J2591" s="174"/>
    </row>
    <row r="2592" hidden="1" customHeight="1" spans="1:10">
      <c r="A2592" s="140" t="s">
        <v>497</v>
      </c>
      <c r="B2592" s="140" t="s">
        <v>149</v>
      </c>
      <c r="C2592" s="171">
        <v>45714</v>
      </c>
      <c r="D2592" s="172" t="s">
        <v>18</v>
      </c>
      <c r="E2592" s="140" t="s">
        <v>19</v>
      </c>
      <c r="F2592" s="140" t="s">
        <v>33</v>
      </c>
      <c r="G2592" s="140" t="s">
        <v>21</v>
      </c>
      <c r="H2592" s="140" t="s">
        <v>167</v>
      </c>
      <c r="I2592" s="140" t="s">
        <v>21</v>
      </c>
      <c r="J2592" s="174"/>
    </row>
    <row r="2593" hidden="1" customHeight="1" spans="1:10">
      <c r="A2593" s="140" t="s">
        <v>497</v>
      </c>
      <c r="B2593" s="140" t="s">
        <v>149</v>
      </c>
      <c r="C2593" s="171">
        <v>45715</v>
      </c>
      <c r="D2593" s="172" t="s">
        <v>23</v>
      </c>
      <c r="E2593" s="140" t="s">
        <v>19</v>
      </c>
      <c r="F2593" s="140" t="s">
        <v>36</v>
      </c>
      <c r="G2593" s="140" t="s">
        <v>21</v>
      </c>
      <c r="H2593" s="140" t="s">
        <v>50</v>
      </c>
      <c r="I2593" s="140" t="s">
        <v>21</v>
      </c>
      <c r="J2593" s="174"/>
    </row>
    <row r="2594" hidden="1" customHeight="1" spans="1:10">
      <c r="A2594" s="140" t="s">
        <v>497</v>
      </c>
      <c r="B2594" s="140" t="s">
        <v>149</v>
      </c>
      <c r="C2594" s="171">
        <v>45716</v>
      </c>
      <c r="D2594" s="172" t="s">
        <v>25</v>
      </c>
      <c r="E2594" s="140" t="s">
        <v>19</v>
      </c>
      <c r="F2594" s="140" t="s">
        <v>30</v>
      </c>
      <c r="G2594" s="140" t="s">
        <v>21</v>
      </c>
      <c r="H2594" s="140" t="s">
        <v>191</v>
      </c>
      <c r="I2594" s="140" t="s">
        <v>21</v>
      </c>
      <c r="J2594" s="174"/>
    </row>
    <row r="2595" hidden="1" customHeight="1" spans="1:10">
      <c r="A2595" s="140" t="s">
        <v>500</v>
      </c>
      <c r="B2595" s="140" t="s">
        <v>398</v>
      </c>
      <c r="C2595" s="171">
        <v>45689</v>
      </c>
      <c r="D2595" s="172" t="s">
        <v>12</v>
      </c>
      <c r="E2595" s="173" t="s">
        <v>13</v>
      </c>
      <c r="F2595" s="140" t="s">
        <v>14</v>
      </c>
      <c r="G2595" s="140" t="s">
        <v>14</v>
      </c>
      <c r="H2595" s="140" t="s">
        <v>14</v>
      </c>
      <c r="I2595" s="140" t="s">
        <v>14</v>
      </c>
      <c r="J2595" s="174"/>
    </row>
    <row r="2596" hidden="1" customHeight="1" spans="1:10">
      <c r="A2596" s="140" t="s">
        <v>500</v>
      </c>
      <c r="B2596" s="140" t="s">
        <v>398</v>
      </c>
      <c r="C2596" s="171">
        <v>45690</v>
      </c>
      <c r="D2596" s="172" t="s">
        <v>15</v>
      </c>
      <c r="E2596" s="173" t="s">
        <v>13</v>
      </c>
      <c r="F2596" s="140" t="s">
        <v>14</v>
      </c>
      <c r="G2596" s="140" t="s">
        <v>14</v>
      </c>
      <c r="H2596" s="140" t="s">
        <v>14</v>
      </c>
      <c r="I2596" s="140" t="s">
        <v>14</v>
      </c>
      <c r="J2596" s="175"/>
    </row>
    <row r="2597" hidden="1" customHeight="1" spans="1:10">
      <c r="A2597" s="140" t="s">
        <v>500</v>
      </c>
      <c r="B2597" s="140" t="s">
        <v>398</v>
      </c>
      <c r="C2597" s="171">
        <v>45691</v>
      </c>
      <c r="D2597" s="172" t="s">
        <v>16</v>
      </c>
      <c r="E2597" s="173" t="s">
        <v>13</v>
      </c>
      <c r="F2597" s="140" t="s">
        <v>14</v>
      </c>
      <c r="G2597" s="140" t="s">
        <v>14</v>
      </c>
      <c r="H2597" s="140" t="s">
        <v>14</v>
      </c>
      <c r="I2597" s="140" t="s">
        <v>14</v>
      </c>
      <c r="J2597" s="174"/>
    </row>
    <row r="2598" hidden="1" customHeight="1" spans="1:10">
      <c r="A2598" s="140" t="s">
        <v>500</v>
      </c>
      <c r="B2598" s="140" t="s">
        <v>398</v>
      </c>
      <c r="C2598" s="171">
        <v>45692</v>
      </c>
      <c r="D2598" s="172" t="s">
        <v>17</v>
      </c>
      <c r="E2598" s="173" t="s">
        <v>13</v>
      </c>
      <c r="F2598" s="140" t="s">
        <v>14</v>
      </c>
      <c r="G2598" s="140" t="s">
        <v>14</v>
      </c>
      <c r="H2598" s="140" t="s">
        <v>14</v>
      </c>
      <c r="I2598" s="140" t="s">
        <v>14</v>
      </c>
      <c r="J2598" s="174"/>
    </row>
    <row r="2599" hidden="1" customHeight="1" spans="1:10">
      <c r="A2599" s="140" t="s">
        <v>500</v>
      </c>
      <c r="B2599" s="140" t="s">
        <v>398</v>
      </c>
      <c r="C2599" s="171">
        <v>45693</v>
      </c>
      <c r="D2599" s="172" t="s">
        <v>18</v>
      </c>
      <c r="E2599" s="140" t="s">
        <v>19</v>
      </c>
      <c r="F2599" s="140" t="s">
        <v>28</v>
      </c>
      <c r="G2599" s="140" t="s">
        <v>21</v>
      </c>
      <c r="H2599" s="140" t="s">
        <v>241</v>
      </c>
      <c r="I2599" s="140" t="s">
        <v>21</v>
      </c>
      <c r="J2599" s="174"/>
    </row>
    <row r="2600" hidden="1" customHeight="1" spans="1:10">
      <c r="A2600" s="140" t="s">
        <v>500</v>
      </c>
      <c r="B2600" s="140" t="s">
        <v>398</v>
      </c>
      <c r="C2600" s="171">
        <v>45694</v>
      </c>
      <c r="D2600" s="172" t="s">
        <v>23</v>
      </c>
      <c r="E2600" s="140" t="s">
        <v>19</v>
      </c>
      <c r="F2600" s="140" t="s">
        <v>33</v>
      </c>
      <c r="G2600" s="140" t="s">
        <v>21</v>
      </c>
      <c r="H2600" s="140" t="s">
        <v>73</v>
      </c>
      <c r="I2600" s="140" t="s">
        <v>21</v>
      </c>
      <c r="J2600" s="174"/>
    </row>
    <row r="2601" hidden="1" customHeight="1" spans="1:10">
      <c r="A2601" s="140" t="s">
        <v>500</v>
      </c>
      <c r="B2601" s="140" t="s">
        <v>398</v>
      </c>
      <c r="C2601" s="171">
        <v>45695</v>
      </c>
      <c r="D2601" s="172" t="s">
        <v>25</v>
      </c>
      <c r="E2601" s="140" t="s">
        <v>19</v>
      </c>
      <c r="F2601" s="140" t="s">
        <v>28</v>
      </c>
      <c r="G2601" s="140" t="s">
        <v>21</v>
      </c>
      <c r="H2601" s="140" t="s">
        <v>202</v>
      </c>
      <c r="I2601" s="140" t="s">
        <v>21</v>
      </c>
      <c r="J2601" s="174"/>
    </row>
    <row r="2602" hidden="1" customHeight="1" spans="1:10">
      <c r="A2602" s="140" t="s">
        <v>500</v>
      </c>
      <c r="B2602" s="140" t="s">
        <v>398</v>
      </c>
      <c r="C2602" s="171">
        <v>45696</v>
      </c>
      <c r="D2602" s="172" t="s">
        <v>27</v>
      </c>
      <c r="E2602" s="140" t="s">
        <v>19</v>
      </c>
      <c r="F2602" s="140" t="s">
        <v>28</v>
      </c>
      <c r="G2602" s="140" t="s">
        <v>21</v>
      </c>
      <c r="H2602" s="140" t="s">
        <v>59</v>
      </c>
      <c r="I2602" s="140" t="s">
        <v>21</v>
      </c>
      <c r="J2602" s="174"/>
    </row>
    <row r="2603" hidden="1" customHeight="1" spans="1:10">
      <c r="A2603" s="140" t="s">
        <v>500</v>
      </c>
      <c r="B2603" s="140" t="s">
        <v>398</v>
      </c>
      <c r="C2603" s="171">
        <v>45697</v>
      </c>
      <c r="D2603" s="172" t="s">
        <v>15</v>
      </c>
      <c r="E2603" s="173" t="s">
        <v>13</v>
      </c>
      <c r="F2603" s="140" t="s">
        <v>14</v>
      </c>
      <c r="G2603" s="140" t="s">
        <v>14</v>
      </c>
      <c r="H2603" s="140" t="s">
        <v>14</v>
      </c>
      <c r="I2603" s="140" t="s">
        <v>14</v>
      </c>
      <c r="J2603" s="174"/>
    </row>
    <row r="2604" hidden="1" customHeight="1" spans="1:10">
      <c r="A2604" s="140" t="s">
        <v>500</v>
      </c>
      <c r="B2604" s="140" t="s">
        <v>398</v>
      </c>
      <c r="C2604" s="171">
        <v>45698</v>
      </c>
      <c r="D2604" s="172" t="s">
        <v>16</v>
      </c>
      <c r="E2604" s="140" t="s">
        <v>19</v>
      </c>
      <c r="F2604" s="140" t="s">
        <v>28</v>
      </c>
      <c r="G2604" s="140" t="s">
        <v>21</v>
      </c>
      <c r="H2604" s="140" t="s">
        <v>73</v>
      </c>
      <c r="I2604" s="140" t="s">
        <v>21</v>
      </c>
      <c r="J2604" s="174"/>
    </row>
    <row r="2605" hidden="1" customHeight="1" spans="1:10">
      <c r="A2605" s="140" t="s">
        <v>500</v>
      </c>
      <c r="B2605" s="140" t="s">
        <v>398</v>
      </c>
      <c r="C2605" s="171">
        <v>45699</v>
      </c>
      <c r="D2605" s="172" t="s">
        <v>17</v>
      </c>
      <c r="E2605" s="140" t="s">
        <v>19</v>
      </c>
      <c r="F2605" s="140" t="s">
        <v>30</v>
      </c>
      <c r="G2605" s="140" t="s">
        <v>21</v>
      </c>
      <c r="H2605" s="140" t="s">
        <v>158</v>
      </c>
      <c r="I2605" s="140" t="s">
        <v>21</v>
      </c>
      <c r="J2605" s="174"/>
    </row>
    <row r="2606" hidden="1" customHeight="1" spans="1:10">
      <c r="A2606" s="140" t="s">
        <v>500</v>
      </c>
      <c r="B2606" s="140" t="s">
        <v>398</v>
      </c>
      <c r="C2606" s="171">
        <v>45700</v>
      </c>
      <c r="D2606" s="172" t="s">
        <v>18</v>
      </c>
      <c r="E2606" s="140" t="s">
        <v>19</v>
      </c>
      <c r="F2606" s="140" t="s">
        <v>33</v>
      </c>
      <c r="G2606" s="140" t="s">
        <v>21</v>
      </c>
      <c r="H2606" s="140" t="s">
        <v>189</v>
      </c>
      <c r="I2606" s="140" t="s">
        <v>21</v>
      </c>
      <c r="J2606" s="174"/>
    </row>
    <row r="2607" hidden="1" customHeight="1" spans="1:10">
      <c r="A2607" s="140" t="s">
        <v>500</v>
      </c>
      <c r="B2607" s="140" t="s">
        <v>398</v>
      </c>
      <c r="C2607" s="171">
        <v>45701</v>
      </c>
      <c r="D2607" s="172" t="s">
        <v>23</v>
      </c>
      <c r="E2607" s="140" t="s">
        <v>19</v>
      </c>
      <c r="F2607" s="140" t="s">
        <v>51</v>
      </c>
      <c r="G2607" s="140" t="s">
        <v>21</v>
      </c>
      <c r="H2607" s="140" t="s">
        <v>78</v>
      </c>
      <c r="I2607" s="140" t="s">
        <v>21</v>
      </c>
      <c r="J2607" s="174"/>
    </row>
    <row r="2608" hidden="1" customHeight="1" spans="1:10">
      <c r="A2608" s="140" t="s">
        <v>500</v>
      </c>
      <c r="B2608" s="140" t="s">
        <v>398</v>
      </c>
      <c r="C2608" s="171">
        <v>45702</v>
      </c>
      <c r="D2608" s="172" t="s">
        <v>25</v>
      </c>
      <c r="E2608" s="140" t="s">
        <v>19</v>
      </c>
      <c r="F2608" s="140" t="s">
        <v>30</v>
      </c>
      <c r="G2608" s="140" t="s">
        <v>21</v>
      </c>
      <c r="H2608" s="140" t="s">
        <v>215</v>
      </c>
      <c r="I2608" s="140" t="s">
        <v>21</v>
      </c>
      <c r="J2608" s="174"/>
    </row>
    <row r="2609" hidden="1" customHeight="1" spans="1:10">
      <c r="A2609" s="140" t="s">
        <v>500</v>
      </c>
      <c r="B2609" s="140" t="s">
        <v>398</v>
      </c>
      <c r="C2609" s="171">
        <v>45703</v>
      </c>
      <c r="D2609" s="172" t="s">
        <v>27</v>
      </c>
      <c r="E2609" s="173" t="s">
        <v>13</v>
      </c>
      <c r="F2609" s="140" t="s">
        <v>14</v>
      </c>
      <c r="G2609" s="140" t="s">
        <v>14</v>
      </c>
      <c r="H2609" s="140" t="s">
        <v>14</v>
      </c>
      <c r="I2609" s="140" t="s">
        <v>14</v>
      </c>
      <c r="J2609" s="174"/>
    </row>
    <row r="2610" hidden="1" customHeight="1" spans="1:10">
      <c r="A2610" s="140" t="s">
        <v>500</v>
      </c>
      <c r="B2610" s="140" t="s">
        <v>398</v>
      </c>
      <c r="C2610" s="171">
        <v>45704</v>
      </c>
      <c r="D2610" s="172" t="s">
        <v>15</v>
      </c>
      <c r="E2610" s="173" t="s">
        <v>13</v>
      </c>
      <c r="F2610" s="140" t="s">
        <v>14</v>
      </c>
      <c r="G2610" s="140" t="s">
        <v>14</v>
      </c>
      <c r="H2610" s="140" t="s">
        <v>14</v>
      </c>
      <c r="I2610" s="140" t="s">
        <v>14</v>
      </c>
      <c r="J2610" s="174"/>
    </row>
    <row r="2611" hidden="1" customHeight="1" spans="1:10">
      <c r="A2611" s="140" t="s">
        <v>500</v>
      </c>
      <c r="B2611" s="140" t="s">
        <v>398</v>
      </c>
      <c r="C2611" s="171">
        <v>45705</v>
      </c>
      <c r="D2611" s="172" t="s">
        <v>16</v>
      </c>
      <c r="E2611" s="140" t="s">
        <v>19</v>
      </c>
      <c r="F2611" s="140" t="s">
        <v>30</v>
      </c>
      <c r="G2611" s="140" t="s">
        <v>21</v>
      </c>
      <c r="H2611" s="140" t="s">
        <v>73</v>
      </c>
      <c r="I2611" s="140" t="s">
        <v>21</v>
      </c>
      <c r="J2611" s="174"/>
    </row>
    <row r="2612" hidden="1" customHeight="1" spans="1:10">
      <c r="A2612" s="140" t="s">
        <v>500</v>
      </c>
      <c r="B2612" s="140" t="s">
        <v>398</v>
      </c>
      <c r="C2612" s="171">
        <v>45706</v>
      </c>
      <c r="D2612" s="172" t="s">
        <v>17</v>
      </c>
      <c r="E2612" s="140" t="s">
        <v>19</v>
      </c>
      <c r="F2612" s="140" t="s">
        <v>157</v>
      </c>
      <c r="G2612" s="140" t="s">
        <v>21</v>
      </c>
      <c r="H2612" s="140" t="s">
        <v>181</v>
      </c>
      <c r="I2612" s="140" t="s">
        <v>21</v>
      </c>
      <c r="J2612" s="174"/>
    </row>
    <row r="2613" hidden="1" customHeight="1" spans="1:10">
      <c r="A2613" s="140" t="s">
        <v>500</v>
      </c>
      <c r="B2613" s="140" t="s">
        <v>398</v>
      </c>
      <c r="C2613" s="171">
        <v>45707</v>
      </c>
      <c r="D2613" s="172" t="s">
        <v>18</v>
      </c>
      <c r="E2613" s="140" t="s">
        <v>19</v>
      </c>
      <c r="F2613" s="140" t="s">
        <v>33</v>
      </c>
      <c r="G2613" s="140" t="s">
        <v>21</v>
      </c>
      <c r="H2613" s="140" t="s">
        <v>240</v>
      </c>
      <c r="I2613" s="140" t="s">
        <v>21</v>
      </c>
      <c r="J2613" s="174"/>
    </row>
    <row r="2614" hidden="1" customHeight="1" spans="1:10">
      <c r="A2614" s="140" t="s">
        <v>500</v>
      </c>
      <c r="B2614" s="140" t="s">
        <v>398</v>
      </c>
      <c r="C2614" s="171">
        <v>45708</v>
      </c>
      <c r="D2614" s="172" t="s">
        <v>23</v>
      </c>
      <c r="E2614" s="140" t="s">
        <v>19</v>
      </c>
      <c r="F2614" s="140" t="s">
        <v>157</v>
      </c>
      <c r="G2614" s="140" t="s">
        <v>21</v>
      </c>
      <c r="H2614" s="140" t="s">
        <v>163</v>
      </c>
      <c r="I2614" s="140" t="s">
        <v>21</v>
      </c>
      <c r="J2614" s="174"/>
    </row>
    <row r="2615" hidden="1" customHeight="1" spans="1:10">
      <c r="A2615" s="140" t="s">
        <v>500</v>
      </c>
      <c r="B2615" s="140" t="s">
        <v>398</v>
      </c>
      <c r="C2615" s="171">
        <v>45709</v>
      </c>
      <c r="D2615" s="172" t="s">
        <v>25</v>
      </c>
      <c r="E2615" s="140" t="s">
        <v>19</v>
      </c>
      <c r="F2615" s="140" t="s">
        <v>51</v>
      </c>
      <c r="G2615" s="140" t="s">
        <v>21</v>
      </c>
      <c r="H2615" s="140" t="s">
        <v>249</v>
      </c>
      <c r="I2615" s="140" t="s">
        <v>21</v>
      </c>
      <c r="J2615" s="174"/>
    </row>
    <row r="2616" hidden="1" customHeight="1" spans="1:10">
      <c r="A2616" s="140" t="s">
        <v>500</v>
      </c>
      <c r="B2616" s="140" t="s">
        <v>398</v>
      </c>
      <c r="C2616" s="171">
        <v>45710</v>
      </c>
      <c r="D2616" s="172" t="s">
        <v>27</v>
      </c>
      <c r="E2616" s="173" t="s">
        <v>13</v>
      </c>
      <c r="F2616" s="140" t="s">
        <v>14</v>
      </c>
      <c r="G2616" s="140" t="s">
        <v>14</v>
      </c>
      <c r="H2616" s="140" t="s">
        <v>14</v>
      </c>
      <c r="I2616" s="140" t="s">
        <v>14</v>
      </c>
      <c r="J2616" s="174"/>
    </row>
    <row r="2617" hidden="1" customHeight="1" spans="1:10">
      <c r="A2617" s="140" t="s">
        <v>500</v>
      </c>
      <c r="B2617" s="140" t="s">
        <v>398</v>
      </c>
      <c r="C2617" s="171">
        <v>45711</v>
      </c>
      <c r="D2617" s="172" t="s">
        <v>15</v>
      </c>
      <c r="E2617" s="173" t="s">
        <v>13</v>
      </c>
      <c r="F2617" s="140" t="s">
        <v>14</v>
      </c>
      <c r="G2617" s="140" t="s">
        <v>14</v>
      </c>
      <c r="H2617" s="140" t="s">
        <v>14</v>
      </c>
      <c r="I2617" s="140" t="s">
        <v>14</v>
      </c>
      <c r="J2617" s="174"/>
    </row>
    <row r="2618" hidden="1" customHeight="1" spans="1:10">
      <c r="A2618" s="140" t="s">
        <v>500</v>
      </c>
      <c r="B2618" s="140" t="s">
        <v>398</v>
      </c>
      <c r="C2618" s="171">
        <v>45712</v>
      </c>
      <c r="D2618" s="172" t="s">
        <v>16</v>
      </c>
      <c r="E2618" s="140" t="s">
        <v>19</v>
      </c>
      <c r="F2618" s="140" t="s">
        <v>157</v>
      </c>
      <c r="G2618" s="140" t="s">
        <v>21</v>
      </c>
      <c r="H2618" s="140" t="s">
        <v>73</v>
      </c>
      <c r="I2618" s="140" t="s">
        <v>21</v>
      </c>
      <c r="J2618" s="174"/>
    </row>
    <row r="2619" hidden="1" customHeight="1" spans="1:10">
      <c r="A2619" s="140" t="s">
        <v>500</v>
      </c>
      <c r="B2619" s="140" t="s">
        <v>398</v>
      </c>
      <c r="C2619" s="171">
        <v>45713</v>
      </c>
      <c r="D2619" s="172" t="s">
        <v>17</v>
      </c>
      <c r="E2619" s="140" t="s">
        <v>19</v>
      </c>
      <c r="F2619" s="140" t="s">
        <v>30</v>
      </c>
      <c r="G2619" s="140" t="s">
        <v>21</v>
      </c>
      <c r="H2619" s="140" t="s">
        <v>238</v>
      </c>
      <c r="I2619" s="140" t="s">
        <v>21</v>
      </c>
      <c r="J2619" s="174"/>
    </row>
    <row r="2620" hidden="1" customHeight="1" spans="1:10">
      <c r="A2620" s="140" t="s">
        <v>500</v>
      </c>
      <c r="B2620" s="140" t="s">
        <v>398</v>
      </c>
      <c r="C2620" s="171">
        <v>45714</v>
      </c>
      <c r="D2620" s="172" t="s">
        <v>18</v>
      </c>
      <c r="E2620" s="140" t="s">
        <v>19</v>
      </c>
      <c r="F2620" s="140" t="s">
        <v>33</v>
      </c>
      <c r="G2620" s="140" t="s">
        <v>21</v>
      </c>
      <c r="H2620" s="140" t="s">
        <v>199</v>
      </c>
      <c r="I2620" s="140" t="s">
        <v>21</v>
      </c>
      <c r="J2620" s="174"/>
    </row>
    <row r="2621" hidden="1" customHeight="1" spans="1:10">
      <c r="A2621" s="140" t="s">
        <v>500</v>
      </c>
      <c r="B2621" s="140" t="s">
        <v>398</v>
      </c>
      <c r="C2621" s="171">
        <v>45715</v>
      </c>
      <c r="D2621" s="172" t="s">
        <v>23</v>
      </c>
      <c r="E2621" s="140" t="s">
        <v>19</v>
      </c>
      <c r="F2621" s="140" t="s">
        <v>30</v>
      </c>
      <c r="G2621" s="140" t="s">
        <v>21</v>
      </c>
      <c r="H2621" s="140" t="s">
        <v>153</v>
      </c>
      <c r="I2621" s="140" t="s">
        <v>21</v>
      </c>
      <c r="J2621" s="174"/>
    </row>
    <row r="2622" hidden="1" customHeight="1" spans="1:10">
      <c r="A2622" s="140" t="s">
        <v>500</v>
      </c>
      <c r="B2622" s="140" t="s">
        <v>398</v>
      </c>
      <c r="C2622" s="171">
        <v>45716</v>
      </c>
      <c r="D2622" s="172" t="s">
        <v>25</v>
      </c>
      <c r="E2622" s="140" t="s">
        <v>19</v>
      </c>
      <c r="F2622" s="140" t="s">
        <v>33</v>
      </c>
      <c r="G2622" s="140" t="s">
        <v>21</v>
      </c>
      <c r="H2622" s="140" t="s">
        <v>82</v>
      </c>
      <c r="I2622" s="140" t="s">
        <v>21</v>
      </c>
      <c r="J2622" s="174"/>
    </row>
    <row r="2623" hidden="1" customHeight="1" spans="1:10">
      <c r="A2623" s="140" t="s">
        <v>501</v>
      </c>
      <c r="B2623" s="140" t="s">
        <v>398</v>
      </c>
      <c r="C2623" s="171">
        <v>45689</v>
      </c>
      <c r="D2623" s="172" t="s">
        <v>12</v>
      </c>
      <c r="E2623" s="173" t="s">
        <v>13</v>
      </c>
      <c r="F2623" s="140" t="s">
        <v>14</v>
      </c>
      <c r="G2623" s="140" t="s">
        <v>14</v>
      </c>
      <c r="H2623" s="140" t="s">
        <v>14</v>
      </c>
      <c r="I2623" s="140" t="s">
        <v>14</v>
      </c>
      <c r="J2623" s="174"/>
    </row>
    <row r="2624" hidden="1" customHeight="1" spans="1:10">
      <c r="A2624" s="140" t="s">
        <v>501</v>
      </c>
      <c r="B2624" s="140" t="s">
        <v>398</v>
      </c>
      <c r="C2624" s="171">
        <v>45690</v>
      </c>
      <c r="D2624" s="172" t="s">
        <v>15</v>
      </c>
      <c r="E2624" s="173" t="s">
        <v>13</v>
      </c>
      <c r="F2624" s="140" t="s">
        <v>14</v>
      </c>
      <c r="G2624" s="140" t="s">
        <v>14</v>
      </c>
      <c r="H2624" s="140" t="s">
        <v>14</v>
      </c>
      <c r="I2624" s="140" t="s">
        <v>14</v>
      </c>
      <c r="J2624" s="174"/>
    </row>
    <row r="2625" hidden="1" customHeight="1" spans="1:10">
      <c r="A2625" s="140" t="s">
        <v>501</v>
      </c>
      <c r="B2625" s="140" t="s">
        <v>398</v>
      </c>
      <c r="C2625" s="171">
        <v>45691</v>
      </c>
      <c r="D2625" s="172" t="s">
        <v>16</v>
      </c>
      <c r="E2625" s="173" t="s">
        <v>13</v>
      </c>
      <c r="F2625" s="140" t="s">
        <v>14</v>
      </c>
      <c r="G2625" s="140" t="s">
        <v>14</v>
      </c>
      <c r="H2625" s="140" t="s">
        <v>14</v>
      </c>
      <c r="I2625" s="140" t="s">
        <v>14</v>
      </c>
      <c r="J2625" s="174"/>
    </row>
    <row r="2626" hidden="1" customHeight="1" spans="1:10">
      <c r="A2626" s="140" t="s">
        <v>501</v>
      </c>
      <c r="B2626" s="140" t="s">
        <v>398</v>
      </c>
      <c r="C2626" s="171">
        <v>45692</v>
      </c>
      <c r="D2626" s="172" t="s">
        <v>17</v>
      </c>
      <c r="E2626" s="173" t="s">
        <v>13</v>
      </c>
      <c r="F2626" s="140" t="s">
        <v>14</v>
      </c>
      <c r="G2626" s="140" t="s">
        <v>14</v>
      </c>
      <c r="H2626" s="140" t="s">
        <v>14</v>
      </c>
      <c r="I2626" s="140" t="s">
        <v>14</v>
      </c>
      <c r="J2626" s="174"/>
    </row>
    <row r="2627" hidden="1" customHeight="1" spans="1:10">
      <c r="A2627" s="140" t="s">
        <v>501</v>
      </c>
      <c r="B2627" s="140" t="s">
        <v>398</v>
      </c>
      <c r="C2627" s="171">
        <v>45693</v>
      </c>
      <c r="D2627" s="172" t="s">
        <v>18</v>
      </c>
      <c r="E2627" s="140" t="s">
        <v>19</v>
      </c>
      <c r="F2627" s="140" t="s">
        <v>137</v>
      </c>
      <c r="G2627" s="140" t="s">
        <v>21</v>
      </c>
      <c r="H2627" s="140" t="s">
        <v>156</v>
      </c>
      <c r="I2627" s="140" t="s">
        <v>21</v>
      </c>
      <c r="J2627" s="174"/>
    </row>
    <row r="2628" hidden="1" customHeight="1" spans="1:10">
      <c r="A2628" s="140" t="s">
        <v>501</v>
      </c>
      <c r="B2628" s="140" t="s">
        <v>398</v>
      </c>
      <c r="C2628" s="171">
        <v>45694</v>
      </c>
      <c r="D2628" s="172" t="s">
        <v>23</v>
      </c>
      <c r="E2628" s="140" t="s">
        <v>19</v>
      </c>
      <c r="F2628" s="140" t="s">
        <v>98</v>
      </c>
      <c r="G2628" s="140" t="s">
        <v>21</v>
      </c>
      <c r="H2628" s="140" t="s">
        <v>368</v>
      </c>
      <c r="I2628" s="140" t="s">
        <v>21</v>
      </c>
      <c r="J2628" s="174"/>
    </row>
    <row r="2629" hidden="1" customHeight="1" spans="1:10">
      <c r="A2629" s="140" t="s">
        <v>501</v>
      </c>
      <c r="B2629" s="140" t="s">
        <v>398</v>
      </c>
      <c r="C2629" s="171">
        <v>45695</v>
      </c>
      <c r="D2629" s="172" t="s">
        <v>25</v>
      </c>
      <c r="E2629" s="140" t="s">
        <v>19</v>
      </c>
      <c r="F2629" s="140" t="s">
        <v>150</v>
      </c>
      <c r="G2629" s="140" t="s">
        <v>21</v>
      </c>
      <c r="H2629" s="140" t="s">
        <v>332</v>
      </c>
      <c r="I2629" s="140" t="s">
        <v>21</v>
      </c>
      <c r="J2629" s="174"/>
    </row>
    <row r="2630" hidden="1" customHeight="1" spans="1:10">
      <c r="A2630" s="140" t="s">
        <v>501</v>
      </c>
      <c r="B2630" s="140" t="s">
        <v>398</v>
      </c>
      <c r="C2630" s="171">
        <v>45696</v>
      </c>
      <c r="D2630" s="172" t="s">
        <v>27</v>
      </c>
      <c r="E2630" s="140" t="s">
        <v>19</v>
      </c>
      <c r="F2630" s="140" t="s">
        <v>98</v>
      </c>
      <c r="G2630" s="140" t="s">
        <v>21</v>
      </c>
      <c r="H2630" s="140" t="s">
        <v>125</v>
      </c>
      <c r="I2630" s="140" t="s">
        <v>21</v>
      </c>
      <c r="J2630" s="174"/>
    </row>
    <row r="2631" hidden="1" customHeight="1" spans="1:10">
      <c r="A2631" s="140" t="s">
        <v>501</v>
      </c>
      <c r="B2631" s="140" t="s">
        <v>398</v>
      </c>
      <c r="C2631" s="171">
        <v>45697</v>
      </c>
      <c r="D2631" s="172" t="s">
        <v>15</v>
      </c>
      <c r="E2631" s="173" t="s">
        <v>13</v>
      </c>
      <c r="F2631" s="140" t="s">
        <v>14</v>
      </c>
      <c r="G2631" s="140" t="s">
        <v>14</v>
      </c>
      <c r="H2631" s="140" t="s">
        <v>14</v>
      </c>
      <c r="I2631" s="140" t="s">
        <v>14</v>
      </c>
      <c r="J2631" s="174"/>
    </row>
    <row r="2632" hidden="1" customHeight="1" spans="1:10">
      <c r="A2632" s="140" t="s">
        <v>501</v>
      </c>
      <c r="B2632" s="140" t="s">
        <v>398</v>
      </c>
      <c r="C2632" s="171">
        <v>45698</v>
      </c>
      <c r="D2632" s="172" t="s">
        <v>16</v>
      </c>
      <c r="E2632" s="140" t="s">
        <v>19</v>
      </c>
      <c r="F2632" s="140" t="s">
        <v>379</v>
      </c>
      <c r="G2632" s="140" t="s">
        <v>21</v>
      </c>
      <c r="H2632" s="140" t="s">
        <v>35</v>
      </c>
      <c r="I2632" s="140" t="s">
        <v>21</v>
      </c>
      <c r="J2632" s="174"/>
    </row>
    <row r="2633" hidden="1" customHeight="1" spans="1:10">
      <c r="A2633" s="140" t="s">
        <v>501</v>
      </c>
      <c r="B2633" s="140" t="s">
        <v>398</v>
      </c>
      <c r="C2633" s="171">
        <v>45699</v>
      </c>
      <c r="D2633" s="172" t="s">
        <v>17</v>
      </c>
      <c r="E2633" s="140" t="s">
        <v>19</v>
      </c>
      <c r="F2633" s="140" t="s">
        <v>117</v>
      </c>
      <c r="G2633" s="140" t="s">
        <v>21</v>
      </c>
      <c r="H2633" s="140" t="s">
        <v>218</v>
      </c>
      <c r="I2633" s="140" t="s">
        <v>21</v>
      </c>
      <c r="J2633" s="174"/>
    </row>
    <row r="2634" hidden="1" customHeight="1" spans="1:10">
      <c r="A2634" s="140" t="s">
        <v>501</v>
      </c>
      <c r="B2634" s="140" t="s">
        <v>398</v>
      </c>
      <c r="C2634" s="171">
        <v>45700</v>
      </c>
      <c r="D2634" s="172" t="s">
        <v>18</v>
      </c>
      <c r="E2634" s="140" t="s">
        <v>19</v>
      </c>
      <c r="F2634" s="140" t="s">
        <v>110</v>
      </c>
      <c r="G2634" s="140" t="s">
        <v>21</v>
      </c>
      <c r="H2634" s="140" t="s">
        <v>502</v>
      </c>
      <c r="I2634" s="140" t="s">
        <v>21</v>
      </c>
      <c r="J2634" s="174"/>
    </row>
    <row r="2635" hidden="1" customHeight="1" spans="1:10">
      <c r="A2635" s="140" t="s">
        <v>501</v>
      </c>
      <c r="B2635" s="140" t="s">
        <v>398</v>
      </c>
      <c r="C2635" s="171">
        <v>45701</v>
      </c>
      <c r="D2635" s="172" t="s">
        <v>23</v>
      </c>
      <c r="E2635" s="140" t="s">
        <v>19</v>
      </c>
      <c r="F2635" s="140" t="s">
        <v>173</v>
      </c>
      <c r="G2635" s="140" t="s">
        <v>21</v>
      </c>
      <c r="H2635" s="140" t="s">
        <v>368</v>
      </c>
      <c r="I2635" s="140" t="s">
        <v>21</v>
      </c>
      <c r="J2635" s="174"/>
    </row>
    <row r="2636" hidden="1" customHeight="1" spans="1:10">
      <c r="A2636" s="140" t="s">
        <v>501</v>
      </c>
      <c r="B2636" s="140" t="s">
        <v>398</v>
      </c>
      <c r="C2636" s="171">
        <v>45702</v>
      </c>
      <c r="D2636" s="172" t="s">
        <v>25</v>
      </c>
      <c r="E2636" s="140" t="s">
        <v>19</v>
      </c>
      <c r="F2636" s="140" t="s">
        <v>129</v>
      </c>
      <c r="G2636" s="140" t="s">
        <v>21</v>
      </c>
      <c r="H2636" s="140" t="s">
        <v>396</v>
      </c>
      <c r="I2636" s="140" t="s">
        <v>21</v>
      </c>
      <c r="J2636" s="174"/>
    </row>
    <row r="2637" hidden="1" customHeight="1" spans="1:10">
      <c r="A2637" s="140" t="s">
        <v>501</v>
      </c>
      <c r="B2637" s="140" t="s">
        <v>398</v>
      </c>
      <c r="C2637" s="171">
        <v>45703</v>
      </c>
      <c r="D2637" s="172" t="s">
        <v>27</v>
      </c>
      <c r="E2637" s="173" t="s">
        <v>13</v>
      </c>
      <c r="F2637" s="140" t="s">
        <v>154</v>
      </c>
      <c r="G2637" s="140" t="s">
        <v>21</v>
      </c>
      <c r="H2637" s="140" t="s">
        <v>503</v>
      </c>
      <c r="I2637" s="140" t="s">
        <v>21</v>
      </c>
      <c r="J2637" s="174"/>
    </row>
    <row r="2638" hidden="1" customHeight="1" spans="1:10">
      <c r="A2638" s="140" t="s">
        <v>501</v>
      </c>
      <c r="B2638" s="140" t="s">
        <v>398</v>
      </c>
      <c r="C2638" s="171">
        <v>45704</v>
      </c>
      <c r="D2638" s="172" t="s">
        <v>15</v>
      </c>
      <c r="E2638" s="173" t="s">
        <v>13</v>
      </c>
      <c r="F2638" s="140" t="s">
        <v>14</v>
      </c>
      <c r="G2638" s="140" t="s">
        <v>14</v>
      </c>
      <c r="H2638" s="140" t="s">
        <v>14</v>
      </c>
      <c r="I2638" s="140" t="s">
        <v>14</v>
      </c>
      <c r="J2638" s="174"/>
    </row>
    <row r="2639" hidden="1" customHeight="1" spans="1:10">
      <c r="A2639" s="140" t="s">
        <v>501</v>
      </c>
      <c r="B2639" s="140" t="s">
        <v>398</v>
      </c>
      <c r="C2639" s="171">
        <v>45705</v>
      </c>
      <c r="D2639" s="172" t="s">
        <v>16</v>
      </c>
      <c r="E2639" s="140" t="s">
        <v>19</v>
      </c>
      <c r="F2639" s="140" t="s">
        <v>98</v>
      </c>
      <c r="G2639" s="140" t="s">
        <v>21</v>
      </c>
      <c r="H2639" s="140" t="s">
        <v>116</v>
      </c>
      <c r="I2639" s="140" t="s">
        <v>21</v>
      </c>
      <c r="J2639" s="174"/>
    </row>
    <row r="2640" hidden="1" customHeight="1" spans="1:10">
      <c r="A2640" s="140" t="s">
        <v>501</v>
      </c>
      <c r="B2640" s="140" t="s">
        <v>398</v>
      </c>
      <c r="C2640" s="171">
        <v>45706</v>
      </c>
      <c r="D2640" s="172" t="s">
        <v>17</v>
      </c>
      <c r="E2640" s="140" t="s">
        <v>19</v>
      </c>
      <c r="F2640" s="140" t="s">
        <v>98</v>
      </c>
      <c r="G2640" s="140" t="s">
        <v>21</v>
      </c>
      <c r="H2640" s="140" t="s">
        <v>218</v>
      </c>
      <c r="I2640" s="140" t="s">
        <v>21</v>
      </c>
      <c r="J2640" s="174"/>
    </row>
    <row r="2641" hidden="1" customHeight="1" spans="1:10">
      <c r="A2641" s="140" t="s">
        <v>501</v>
      </c>
      <c r="B2641" s="140" t="s">
        <v>398</v>
      </c>
      <c r="C2641" s="171">
        <v>45707</v>
      </c>
      <c r="D2641" s="172" t="s">
        <v>18</v>
      </c>
      <c r="E2641" s="140" t="s">
        <v>19</v>
      </c>
      <c r="F2641" s="140" t="s">
        <v>143</v>
      </c>
      <c r="G2641" s="140" t="s">
        <v>21</v>
      </c>
      <c r="H2641" s="140" t="s">
        <v>112</v>
      </c>
      <c r="I2641" s="140" t="s">
        <v>21</v>
      </c>
      <c r="J2641" s="174"/>
    </row>
    <row r="2642" hidden="1" customHeight="1" spans="1:10">
      <c r="A2642" s="140" t="s">
        <v>501</v>
      </c>
      <c r="B2642" s="140" t="s">
        <v>398</v>
      </c>
      <c r="C2642" s="171">
        <v>45708</v>
      </c>
      <c r="D2642" s="172" t="s">
        <v>23</v>
      </c>
      <c r="E2642" s="140" t="s">
        <v>19</v>
      </c>
      <c r="F2642" s="140" t="s">
        <v>110</v>
      </c>
      <c r="G2642" s="140" t="s">
        <v>21</v>
      </c>
      <c r="H2642" s="140" t="s">
        <v>273</v>
      </c>
      <c r="I2642" s="140" t="s">
        <v>21</v>
      </c>
      <c r="J2642" s="174"/>
    </row>
    <row r="2643" hidden="1" customHeight="1" spans="1:10">
      <c r="A2643" s="140" t="s">
        <v>501</v>
      </c>
      <c r="B2643" s="140" t="s">
        <v>398</v>
      </c>
      <c r="C2643" s="171">
        <v>45709</v>
      </c>
      <c r="D2643" s="172" t="s">
        <v>25</v>
      </c>
      <c r="E2643" s="140" t="s">
        <v>19</v>
      </c>
      <c r="F2643" s="140" t="s">
        <v>110</v>
      </c>
      <c r="G2643" s="140" t="s">
        <v>21</v>
      </c>
      <c r="H2643" s="140" t="s">
        <v>351</v>
      </c>
      <c r="I2643" s="140" t="s">
        <v>21</v>
      </c>
      <c r="J2643" s="174"/>
    </row>
    <row r="2644" hidden="1" customHeight="1" spans="1:10">
      <c r="A2644" s="140" t="s">
        <v>501</v>
      </c>
      <c r="B2644" s="140" t="s">
        <v>398</v>
      </c>
      <c r="C2644" s="171">
        <v>45710</v>
      </c>
      <c r="D2644" s="172" t="s">
        <v>27</v>
      </c>
      <c r="E2644" s="173" t="s">
        <v>13</v>
      </c>
      <c r="F2644" s="140" t="s">
        <v>14</v>
      </c>
      <c r="G2644" s="140" t="s">
        <v>14</v>
      </c>
      <c r="H2644" s="140" t="s">
        <v>14</v>
      </c>
      <c r="I2644" s="140" t="s">
        <v>14</v>
      </c>
      <c r="J2644" s="174"/>
    </row>
    <row r="2645" hidden="1" customHeight="1" spans="1:10">
      <c r="A2645" s="140" t="s">
        <v>501</v>
      </c>
      <c r="B2645" s="140" t="s">
        <v>398</v>
      </c>
      <c r="C2645" s="171">
        <v>45711</v>
      </c>
      <c r="D2645" s="172" t="s">
        <v>15</v>
      </c>
      <c r="E2645" s="173" t="s">
        <v>13</v>
      </c>
      <c r="F2645" s="140" t="s">
        <v>14</v>
      </c>
      <c r="G2645" s="140" t="s">
        <v>14</v>
      </c>
      <c r="H2645" s="140" t="s">
        <v>14</v>
      </c>
      <c r="I2645" s="140" t="s">
        <v>14</v>
      </c>
      <c r="J2645" s="174"/>
    </row>
    <row r="2646" hidden="1" customHeight="1" spans="1:10">
      <c r="A2646" s="140" t="s">
        <v>501</v>
      </c>
      <c r="B2646" s="140" t="s">
        <v>398</v>
      </c>
      <c r="C2646" s="171">
        <v>45712</v>
      </c>
      <c r="D2646" s="172" t="s">
        <v>16</v>
      </c>
      <c r="E2646" s="140" t="s">
        <v>19</v>
      </c>
      <c r="F2646" s="140" t="s">
        <v>49</v>
      </c>
      <c r="G2646" s="140" t="s">
        <v>21</v>
      </c>
      <c r="H2646" s="140" t="s">
        <v>31</v>
      </c>
      <c r="I2646" s="140" t="s">
        <v>21</v>
      </c>
      <c r="J2646" s="174"/>
    </row>
    <row r="2647" hidden="1" customHeight="1" spans="1:10">
      <c r="A2647" s="140" t="s">
        <v>501</v>
      </c>
      <c r="B2647" s="140" t="s">
        <v>398</v>
      </c>
      <c r="C2647" s="171">
        <v>45713</v>
      </c>
      <c r="D2647" s="172" t="s">
        <v>17</v>
      </c>
      <c r="E2647" s="140" t="s">
        <v>19</v>
      </c>
      <c r="F2647" s="140" t="s">
        <v>108</v>
      </c>
      <c r="G2647" s="140" t="s">
        <v>21</v>
      </c>
      <c r="H2647" s="140" t="s">
        <v>66</v>
      </c>
      <c r="I2647" s="140" t="s">
        <v>21</v>
      </c>
      <c r="J2647" s="174"/>
    </row>
    <row r="2648" hidden="1" customHeight="1" spans="1:10">
      <c r="A2648" s="140" t="s">
        <v>501</v>
      </c>
      <c r="B2648" s="140" t="s">
        <v>398</v>
      </c>
      <c r="C2648" s="171">
        <v>45714</v>
      </c>
      <c r="D2648" s="172" t="s">
        <v>18</v>
      </c>
      <c r="E2648" s="140" t="s">
        <v>19</v>
      </c>
      <c r="F2648" s="140" t="s">
        <v>143</v>
      </c>
      <c r="G2648" s="140" t="s">
        <v>21</v>
      </c>
      <c r="H2648" s="140" t="s">
        <v>66</v>
      </c>
      <c r="I2648" s="140" t="s">
        <v>21</v>
      </c>
      <c r="J2648" s="174"/>
    </row>
    <row r="2649" hidden="1" customHeight="1" spans="1:10">
      <c r="A2649" s="140" t="s">
        <v>501</v>
      </c>
      <c r="B2649" s="140" t="s">
        <v>398</v>
      </c>
      <c r="C2649" s="171">
        <v>45715</v>
      </c>
      <c r="D2649" s="172" t="s">
        <v>23</v>
      </c>
      <c r="E2649" s="140" t="s">
        <v>19</v>
      </c>
      <c r="F2649" s="140" t="s">
        <v>177</v>
      </c>
      <c r="G2649" s="140" t="s">
        <v>21</v>
      </c>
      <c r="H2649" s="140" t="s">
        <v>160</v>
      </c>
      <c r="I2649" s="140" t="s">
        <v>21</v>
      </c>
      <c r="J2649" s="174"/>
    </row>
    <row r="2650" hidden="1" customHeight="1" spans="1:10">
      <c r="A2650" s="140" t="s">
        <v>501</v>
      </c>
      <c r="B2650" s="140" t="s">
        <v>398</v>
      </c>
      <c r="C2650" s="171">
        <v>45716</v>
      </c>
      <c r="D2650" s="172" t="s">
        <v>25</v>
      </c>
      <c r="E2650" s="140" t="s">
        <v>19</v>
      </c>
      <c r="F2650" s="140" t="s">
        <v>107</v>
      </c>
      <c r="G2650" s="140" t="s">
        <v>21</v>
      </c>
      <c r="H2650" s="140" t="s">
        <v>274</v>
      </c>
      <c r="I2650" s="140" t="s">
        <v>21</v>
      </c>
      <c r="J2650" s="174"/>
    </row>
    <row r="2651" hidden="1" customHeight="1" spans="1:10">
      <c r="A2651" s="140" t="s">
        <v>504</v>
      </c>
      <c r="B2651" s="140" t="s">
        <v>398</v>
      </c>
      <c r="C2651" s="171">
        <v>45689</v>
      </c>
      <c r="D2651" s="172" t="s">
        <v>12</v>
      </c>
      <c r="E2651" s="173" t="s">
        <v>13</v>
      </c>
      <c r="F2651" s="140" t="s">
        <v>14</v>
      </c>
      <c r="G2651" s="140" t="s">
        <v>14</v>
      </c>
      <c r="H2651" s="140" t="s">
        <v>14</v>
      </c>
      <c r="I2651" s="140" t="s">
        <v>14</v>
      </c>
      <c r="J2651" s="174"/>
    </row>
    <row r="2652" hidden="1" customHeight="1" spans="1:10">
      <c r="A2652" s="140" t="s">
        <v>504</v>
      </c>
      <c r="B2652" s="140" t="s">
        <v>398</v>
      </c>
      <c r="C2652" s="171">
        <v>45690</v>
      </c>
      <c r="D2652" s="172" t="s">
        <v>15</v>
      </c>
      <c r="E2652" s="173" t="s">
        <v>13</v>
      </c>
      <c r="F2652" s="140" t="s">
        <v>14</v>
      </c>
      <c r="G2652" s="140" t="s">
        <v>14</v>
      </c>
      <c r="H2652" s="140" t="s">
        <v>14</v>
      </c>
      <c r="I2652" s="140" t="s">
        <v>14</v>
      </c>
      <c r="J2652" s="174"/>
    </row>
    <row r="2653" hidden="1" customHeight="1" spans="1:10">
      <c r="A2653" s="140" t="s">
        <v>504</v>
      </c>
      <c r="B2653" s="140" t="s">
        <v>398</v>
      </c>
      <c r="C2653" s="171">
        <v>45691</v>
      </c>
      <c r="D2653" s="172" t="s">
        <v>16</v>
      </c>
      <c r="E2653" s="173" t="s">
        <v>13</v>
      </c>
      <c r="F2653" s="140" t="s">
        <v>14</v>
      </c>
      <c r="G2653" s="140" t="s">
        <v>14</v>
      </c>
      <c r="H2653" s="140" t="s">
        <v>14</v>
      </c>
      <c r="I2653" s="140" t="s">
        <v>14</v>
      </c>
      <c r="J2653" s="174"/>
    </row>
    <row r="2654" hidden="1" customHeight="1" spans="1:10">
      <c r="A2654" s="140" t="s">
        <v>504</v>
      </c>
      <c r="B2654" s="140" t="s">
        <v>398</v>
      </c>
      <c r="C2654" s="171">
        <v>45692</v>
      </c>
      <c r="D2654" s="172" t="s">
        <v>17</v>
      </c>
      <c r="E2654" s="173" t="s">
        <v>13</v>
      </c>
      <c r="F2654" s="140" t="s">
        <v>14</v>
      </c>
      <c r="G2654" s="140" t="s">
        <v>14</v>
      </c>
      <c r="H2654" s="140" t="s">
        <v>14</v>
      </c>
      <c r="I2654" s="140" t="s">
        <v>14</v>
      </c>
      <c r="J2654" s="174"/>
    </row>
    <row r="2655" hidden="1" customHeight="1" spans="1:10">
      <c r="A2655" s="140" t="s">
        <v>504</v>
      </c>
      <c r="B2655" s="140" t="s">
        <v>398</v>
      </c>
      <c r="C2655" s="171">
        <v>45693</v>
      </c>
      <c r="D2655" s="172" t="s">
        <v>18</v>
      </c>
      <c r="E2655" s="140" t="s">
        <v>19</v>
      </c>
      <c r="F2655" s="140" t="s">
        <v>193</v>
      </c>
      <c r="G2655" s="140" t="s">
        <v>21</v>
      </c>
      <c r="H2655" s="140" t="s">
        <v>175</v>
      </c>
      <c r="I2655" s="140" t="s">
        <v>21</v>
      </c>
      <c r="J2655" s="174"/>
    </row>
    <row r="2656" hidden="1" customHeight="1" spans="1:10">
      <c r="A2656" s="140" t="s">
        <v>504</v>
      </c>
      <c r="B2656" s="140" t="s">
        <v>398</v>
      </c>
      <c r="C2656" s="171">
        <v>45694</v>
      </c>
      <c r="D2656" s="172" t="s">
        <v>23</v>
      </c>
      <c r="E2656" s="140" t="s">
        <v>19</v>
      </c>
      <c r="F2656" s="140" t="s">
        <v>28</v>
      </c>
      <c r="G2656" s="140" t="s">
        <v>21</v>
      </c>
      <c r="H2656" s="140" t="s">
        <v>474</v>
      </c>
      <c r="I2656" s="140" t="s">
        <v>21</v>
      </c>
      <c r="J2656" s="174"/>
    </row>
    <row r="2657" hidden="1" customHeight="1" spans="1:10">
      <c r="A2657" s="140" t="s">
        <v>504</v>
      </c>
      <c r="B2657" s="140" t="s">
        <v>398</v>
      </c>
      <c r="C2657" s="171">
        <v>45695</v>
      </c>
      <c r="D2657" s="172" t="s">
        <v>25</v>
      </c>
      <c r="E2657" s="140" t="s">
        <v>19</v>
      </c>
      <c r="F2657" s="140" t="s">
        <v>30</v>
      </c>
      <c r="G2657" s="140" t="s">
        <v>21</v>
      </c>
      <c r="H2657" s="140" t="s">
        <v>178</v>
      </c>
      <c r="I2657" s="140" t="s">
        <v>21</v>
      </c>
      <c r="J2657" s="174"/>
    </row>
    <row r="2658" hidden="1" customHeight="1" spans="1:10">
      <c r="A2658" s="140" t="s">
        <v>504</v>
      </c>
      <c r="B2658" s="140" t="s">
        <v>398</v>
      </c>
      <c r="C2658" s="171">
        <v>45696</v>
      </c>
      <c r="D2658" s="172" t="s">
        <v>27</v>
      </c>
      <c r="E2658" s="140" t="s">
        <v>19</v>
      </c>
      <c r="F2658" s="140" t="s">
        <v>193</v>
      </c>
      <c r="G2658" s="140" t="s">
        <v>21</v>
      </c>
      <c r="H2658" s="140" t="s">
        <v>407</v>
      </c>
      <c r="I2658" s="140" t="s">
        <v>21</v>
      </c>
      <c r="J2658" s="174"/>
    </row>
    <row r="2659" hidden="1" customHeight="1" spans="1:10">
      <c r="A2659" s="140" t="s">
        <v>504</v>
      </c>
      <c r="B2659" s="140" t="s">
        <v>398</v>
      </c>
      <c r="C2659" s="171">
        <v>45697</v>
      </c>
      <c r="D2659" s="172" t="s">
        <v>15</v>
      </c>
      <c r="E2659" s="173" t="s">
        <v>13</v>
      </c>
      <c r="F2659" s="140" t="s">
        <v>14</v>
      </c>
      <c r="G2659" s="140" t="s">
        <v>14</v>
      </c>
      <c r="H2659" s="140" t="s">
        <v>14</v>
      </c>
      <c r="I2659" s="140" t="s">
        <v>14</v>
      </c>
      <c r="J2659" s="174"/>
    </row>
    <row r="2660" hidden="1" customHeight="1" spans="1:10">
      <c r="A2660" s="140" t="s">
        <v>504</v>
      </c>
      <c r="B2660" s="140" t="s">
        <v>398</v>
      </c>
      <c r="C2660" s="171">
        <v>45698</v>
      </c>
      <c r="D2660" s="172" t="s">
        <v>16</v>
      </c>
      <c r="E2660" s="140" t="s">
        <v>19</v>
      </c>
      <c r="F2660" s="140" t="s">
        <v>28</v>
      </c>
      <c r="G2660" s="140" t="s">
        <v>21</v>
      </c>
      <c r="H2660" s="140" t="s">
        <v>45</v>
      </c>
      <c r="I2660" s="140" t="s">
        <v>21</v>
      </c>
      <c r="J2660" s="174"/>
    </row>
    <row r="2661" hidden="1" customHeight="1" spans="1:10">
      <c r="A2661" s="140" t="s">
        <v>504</v>
      </c>
      <c r="B2661" s="140" t="s">
        <v>398</v>
      </c>
      <c r="C2661" s="171">
        <v>45699</v>
      </c>
      <c r="D2661" s="172" t="s">
        <v>17</v>
      </c>
      <c r="E2661" s="140" t="s">
        <v>19</v>
      </c>
      <c r="F2661" s="140" t="s">
        <v>28</v>
      </c>
      <c r="G2661" s="140" t="s">
        <v>21</v>
      </c>
      <c r="H2661" s="140" t="s">
        <v>184</v>
      </c>
      <c r="I2661" s="140" t="s">
        <v>21</v>
      </c>
      <c r="J2661" s="174"/>
    </row>
    <row r="2662" hidden="1" customHeight="1" spans="1:10">
      <c r="A2662" s="140" t="s">
        <v>504</v>
      </c>
      <c r="B2662" s="140" t="s">
        <v>398</v>
      </c>
      <c r="C2662" s="171">
        <v>45700</v>
      </c>
      <c r="D2662" s="172" t="s">
        <v>18</v>
      </c>
      <c r="E2662" s="140" t="s">
        <v>19</v>
      </c>
      <c r="F2662" s="140" t="s">
        <v>28</v>
      </c>
      <c r="G2662" s="140" t="s">
        <v>21</v>
      </c>
      <c r="H2662" s="140" t="s">
        <v>167</v>
      </c>
      <c r="I2662" s="140" t="s">
        <v>21</v>
      </c>
      <c r="J2662" s="174"/>
    </row>
    <row r="2663" hidden="1" customHeight="1" spans="1:10">
      <c r="A2663" s="140" t="s">
        <v>504</v>
      </c>
      <c r="B2663" s="140" t="s">
        <v>398</v>
      </c>
      <c r="C2663" s="171">
        <v>45701</v>
      </c>
      <c r="D2663" s="172" t="s">
        <v>23</v>
      </c>
      <c r="E2663" s="140" t="s">
        <v>19</v>
      </c>
      <c r="F2663" s="140" t="s">
        <v>30</v>
      </c>
      <c r="G2663" s="140" t="s">
        <v>21</v>
      </c>
      <c r="H2663" s="140" t="s">
        <v>269</v>
      </c>
      <c r="I2663" s="140" t="s">
        <v>21</v>
      </c>
      <c r="J2663" s="174"/>
    </row>
    <row r="2664" hidden="1" customHeight="1" spans="1:10">
      <c r="A2664" s="140" t="s">
        <v>504</v>
      </c>
      <c r="B2664" s="140" t="s">
        <v>398</v>
      </c>
      <c r="C2664" s="171">
        <v>45702</v>
      </c>
      <c r="D2664" s="172" t="s">
        <v>25</v>
      </c>
      <c r="E2664" s="140" t="s">
        <v>19</v>
      </c>
      <c r="F2664" s="140" t="s">
        <v>154</v>
      </c>
      <c r="G2664" s="140" t="s">
        <v>21</v>
      </c>
      <c r="H2664" s="140" t="s">
        <v>181</v>
      </c>
      <c r="I2664" s="140" t="s">
        <v>21</v>
      </c>
      <c r="J2664" s="174"/>
    </row>
    <row r="2665" hidden="1" customHeight="1" spans="1:10">
      <c r="A2665" s="140" t="s">
        <v>504</v>
      </c>
      <c r="B2665" s="140" t="s">
        <v>398</v>
      </c>
      <c r="C2665" s="171">
        <v>45703</v>
      </c>
      <c r="D2665" s="172" t="s">
        <v>27</v>
      </c>
      <c r="E2665" s="173" t="s">
        <v>13</v>
      </c>
      <c r="F2665" s="140" t="s">
        <v>14</v>
      </c>
      <c r="G2665" s="140" t="s">
        <v>14</v>
      </c>
      <c r="H2665" s="140" t="s">
        <v>14</v>
      </c>
      <c r="I2665" s="140" t="s">
        <v>14</v>
      </c>
      <c r="J2665" s="174"/>
    </row>
    <row r="2666" hidden="1" customHeight="1" spans="1:10">
      <c r="A2666" s="140" t="s">
        <v>504</v>
      </c>
      <c r="B2666" s="140" t="s">
        <v>398</v>
      </c>
      <c r="C2666" s="171">
        <v>45704</v>
      </c>
      <c r="D2666" s="172" t="s">
        <v>15</v>
      </c>
      <c r="E2666" s="173" t="s">
        <v>13</v>
      </c>
      <c r="F2666" s="140" t="s">
        <v>14</v>
      </c>
      <c r="G2666" s="140" t="s">
        <v>14</v>
      </c>
      <c r="H2666" s="140" t="s">
        <v>14</v>
      </c>
      <c r="I2666" s="140" t="s">
        <v>14</v>
      </c>
      <c r="J2666" s="174"/>
    </row>
    <row r="2667" hidden="1" customHeight="1" spans="1:10">
      <c r="A2667" s="140" t="s">
        <v>504</v>
      </c>
      <c r="B2667" s="140" t="s">
        <v>398</v>
      </c>
      <c r="C2667" s="171">
        <v>45705</v>
      </c>
      <c r="D2667" s="172" t="s">
        <v>16</v>
      </c>
      <c r="E2667" s="140" t="s">
        <v>19</v>
      </c>
      <c r="F2667" s="140" t="s">
        <v>154</v>
      </c>
      <c r="G2667" s="140" t="s">
        <v>21</v>
      </c>
      <c r="H2667" s="140" t="s">
        <v>168</v>
      </c>
      <c r="I2667" s="140" t="s">
        <v>21</v>
      </c>
      <c r="J2667" s="174"/>
    </row>
    <row r="2668" hidden="1" customHeight="1" spans="1:10">
      <c r="A2668" s="140" t="s">
        <v>504</v>
      </c>
      <c r="B2668" s="140" t="s">
        <v>398</v>
      </c>
      <c r="C2668" s="171">
        <v>45706</v>
      </c>
      <c r="D2668" s="172" t="s">
        <v>17</v>
      </c>
      <c r="E2668" s="140" t="s">
        <v>19</v>
      </c>
      <c r="F2668" s="140" t="s">
        <v>28</v>
      </c>
      <c r="G2668" s="140" t="s">
        <v>21</v>
      </c>
      <c r="H2668" s="140" t="s">
        <v>134</v>
      </c>
      <c r="I2668" s="140" t="s">
        <v>21</v>
      </c>
      <c r="J2668" s="174"/>
    </row>
    <row r="2669" hidden="1" customHeight="1" spans="1:10">
      <c r="A2669" s="140" t="s">
        <v>504</v>
      </c>
      <c r="B2669" s="140" t="s">
        <v>398</v>
      </c>
      <c r="C2669" s="171">
        <v>45707</v>
      </c>
      <c r="D2669" s="172" t="s">
        <v>18</v>
      </c>
      <c r="E2669" s="140" t="s">
        <v>19</v>
      </c>
      <c r="F2669" s="140" t="s">
        <v>154</v>
      </c>
      <c r="G2669" s="140" t="s">
        <v>21</v>
      </c>
      <c r="H2669" s="140" t="s">
        <v>156</v>
      </c>
      <c r="I2669" s="140" t="s">
        <v>21</v>
      </c>
      <c r="J2669" s="174"/>
    </row>
    <row r="2670" hidden="1" customHeight="1" spans="1:10">
      <c r="A2670" s="140" t="s">
        <v>504</v>
      </c>
      <c r="B2670" s="140" t="s">
        <v>398</v>
      </c>
      <c r="C2670" s="171">
        <v>45708</v>
      </c>
      <c r="D2670" s="172" t="s">
        <v>23</v>
      </c>
      <c r="E2670" s="140" t="s">
        <v>19</v>
      </c>
      <c r="F2670" s="140" t="s">
        <v>28</v>
      </c>
      <c r="G2670" s="140" t="s">
        <v>21</v>
      </c>
      <c r="H2670" s="140" t="s">
        <v>31</v>
      </c>
      <c r="I2670" s="140" t="s">
        <v>21</v>
      </c>
      <c r="J2670" s="174"/>
    </row>
    <row r="2671" hidden="1" customHeight="1" spans="1:10">
      <c r="A2671" s="140" t="s">
        <v>504</v>
      </c>
      <c r="B2671" s="140" t="s">
        <v>398</v>
      </c>
      <c r="C2671" s="171">
        <v>45709</v>
      </c>
      <c r="D2671" s="172" t="s">
        <v>25</v>
      </c>
      <c r="E2671" s="140" t="s">
        <v>19</v>
      </c>
      <c r="F2671" s="140" t="s">
        <v>28</v>
      </c>
      <c r="G2671" s="140" t="s">
        <v>21</v>
      </c>
      <c r="H2671" s="140" t="s">
        <v>178</v>
      </c>
      <c r="I2671" s="140" t="s">
        <v>21</v>
      </c>
      <c r="J2671" s="174"/>
    </row>
    <row r="2672" hidden="1" customHeight="1" spans="1:10">
      <c r="A2672" s="140" t="s">
        <v>504</v>
      </c>
      <c r="B2672" s="140" t="s">
        <v>398</v>
      </c>
      <c r="C2672" s="171">
        <v>45710</v>
      </c>
      <c r="D2672" s="172" t="s">
        <v>27</v>
      </c>
      <c r="E2672" s="173" t="s">
        <v>13</v>
      </c>
      <c r="F2672" s="140" t="s">
        <v>14</v>
      </c>
      <c r="G2672" s="140" t="s">
        <v>14</v>
      </c>
      <c r="H2672" s="140" t="s">
        <v>14</v>
      </c>
      <c r="I2672" s="140" t="s">
        <v>14</v>
      </c>
      <c r="J2672" s="174"/>
    </row>
    <row r="2673" hidden="1" customHeight="1" spans="1:10">
      <c r="A2673" s="140" t="s">
        <v>504</v>
      </c>
      <c r="B2673" s="140" t="s">
        <v>398</v>
      </c>
      <c r="C2673" s="171">
        <v>45711</v>
      </c>
      <c r="D2673" s="172" t="s">
        <v>15</v>
      </c>
      <c r="E2673" s="173" t="s">
        <v>13</v>
      </c>
      <c r="F2673" s="140" t="s">
        <v>14</v>
      </c>
      <c r="G2673" s="140" t="s">
        <v>14</v>
      </c>
      <c r="H2673" s="140" t="s">
        <v>14</v>
      </c>
      <c r="I2673" s="140" t="s">
        <v>14</v>
      </c>
      <c r="J2673" s="174"/>
    </row>
    <row r="2674" hidden="1" customHeight="1" spans="1:10">
      <c r="A2674" s="140" t="s">
        <v>504</v>
      </c>
      <c r="B2674" s="140" t="s">
        <v>398</v>
      </c>
      <c r="C2674" s="171">
        <v>45712</v>
      </c>
      <c r="D2674" s="172" t="s">
        <v>16</v>
      </c>
      <c r="E2674" s="140" t="s">
        <v>19</v>
      </c>
      <c r="F2674" s="140" t="s">
        <v>30</v>
      </c>
      <c r="G2674" s="140" t="s">
        <v>21</v>
      </c>
      <c r="H2674" s="140" t="s">
        <v>41</v>
      </c>
      <c r="I2674" s="140" t="s">
        <v>21</v>
      </c>
      <c r="J2674" s="174"/>
    </row>
    <row r="2675" hidden="1" customHeight="1" spans="1:10">
      <c r="A2675" s="140" t="s">
        <v>504</v>
      </c>
      <c r="B2675" s="140" t="s">
        <v>398</v>
      </c>
      <c r="C2675" s="171">
        <v>45713</v>
      </c>
      <c r="D2675" s="172" t="s">
        <v>17</v>
      </c>
      <c r="E2675" s="140" t="s">
        <v>19</v>
      </c>
      <c r="F2675" s="140" t="s">
        <v>28</v>
      </c>
      <c r="G2675" s="140" t="s">
        <v>21</v>
      </c>
      <c r="H2675" s="140" t="s">
        <v>151</v>
      </c>
      <c r="I2675" s="140" t="s">
        <v>21</v>
      </c>
      <c r="J2675" s="174"/>
    </row>
    <row r="2676" hidden="1" customHeight="1" spans="1:10">
      <c r="A2676" s="140" t="s">
        <v>504</v>
      </c>
      <c r="B2676" s="140" t="s">
        <v>398</v>
      </c>
      <c r="C2676" s="171">
        <v>45714</v>
      </c>
      <c r="D2676" s="172" t="s">
        <v>18</v>
      </c>
      <c r="E2676" s="140" t="s">
        <v>19</v>
      </c>
      <c r="F2676" s="140" t="s">
        <v>28</v>
      </c>
      <c r="G2676" s="140" t="s">
        <v>21</v>
      </c>
      <c r="H2676" s="140" t="s">
        <v>178</v>
      </c>
      <c r="I2676" s="140" t="s">
        <v>21</v>
      </c>
      <c r="J2676" s="174"/>
    </row>
    <row r="2677" hidden="1" customHeight="1" spans="1:10">
      <c r="A2677" s="140" t="s">
        <v>504</v>
      </c>
      <c r="B2677" s="140" t="s">
        <v>398</v>
      </c>
      <c r="C2677" s="171">
        <v>45715</v>
      </c>
      <c r="D2677" s="172" t="s">
        <v>23</v>
      </c>
      <c r="E2677" s="140" t="s">
        <v>19</v>
      </c>
      <c r="F2677" s="140" t="s">
        <v>30</v>
      </c>
      <c r="G2677" s="140" t="s">
        <v>21</v>
      </c>
      <c r="H2677" s="140" t="s">
        <v>45</v>
      </c>
      <c r="I2677" s="140" t="s">
        <v>21</v>
      </c>
      <c r="J2677" s="174"/>
    </row>
    <row r="2678" hidden="1" customHeight="1" spans="1:10">
      <c r="A2678" s="140" t="s">
        <v>504</v>
      </c>
      <c r="B2678" s="140" t="s">
        <v>398</v>
      </c>
      <c r="C2678" s="171">
        <v>45716</v>
      </c>
      <c r="D2678" s="172" t="s">
        <v>25</v>
      </c>
      <c r="E2678" s="140" t="s">
        <v>19</v>
      </c>
      <c r="F2678" s="140" t="s">
        <v>28</v>
      </c>
      <c r="G2678" s="140" t="s">
        <v>21</v>
      </c>
      <c r="H2678" s="140" t="s">
        <v>205</v>
      </c>
      <c r="I2678" s="140" t="s">
        <v>21</v>
      </c>
      <c r="J2678" s="174"/>
    </row>
    <row r="2679" hidden="1" customHeight="1" spans="1:10">
      <c r="A2679" s="140" t="s">
        <v>505</v>
      </c>
      <c r="B2679" s="140" t="s">
        <v>149</v>
      </c>
      <c r="C2679" s="171">
        <v>45689</v>
      </c>
      <c r="D2679" s="172" t="s">
        <v>12</v>
      </c>
      <c r="E2679" s="173" t="s">
        <v>13</v>
      </c>
      <c r="F2679" s="140" t="s">
        <v>14</v>
      </c>
      <c r="G2679" s="140" t="s">
        <v>14</v>
      </c>
      <c r="H2679" s="140" t="s">
        <v>14</v>
      </c>
      <c r="I2679" s="140" t="s">
        <v>14</v>
      </c>
      <c r="J2679" s="174"/>
    </row>
    <row r="2680" hidden="1" customHeight="1" spans="1:10">
      <c r="A2680" s="140" t="s">
        <v>505</v>
      </c>
      <c r="B2680" s="140" t="s">
        <v>149</v>
      </c>
      <c r="C2680" s="171">
        <v>45690</v>
      </c>
      <c r="D2680" s="172" t="s">
        <v>15</v>
      </c>
      <c r="E2680" s="173" t="s">
        <v>13</v>
      </c>
      <c r="F2680" s="140" t="s">
        <v>14</v>
      </c>
      <c r="G2680" s="140" t="s">
        <v>14</v>
      </c>
      <c r="H2680" s="140" t="s">
        <v>14</v>
      </c>
      <c r="I2680" s="140" t="s">
        <v>14</v>
      </c>
      <c r="J2680" s="174"/>
    </row>
    <row r="2681" hidden="1" customHeight="1" spans="1:10">
      <c r="A2681" s="140" t="s">
        <v>505</v>
      </c>
      <c r="B2681" s="140" t="s">
        <v>149</v>
      </c>
      <c r="C2681" s="171">
        <v>45691</v>
      </c>
      <c r="D2681" s="172" t="s">
        <v>16</v>
      </c>
      <c r="E2681" s="173" t="s">
        <v>13</v>
      </c>
      <c r="F2681" s="140" t="s">
        <v>14</v>
      </c>
      <c r="G2681" s="140" t="s">
        <v>14</v>
      </c>
      <c r="H2681" s="140" t="s">
        <v>14</v>
      </c>
      <c r="I2681" s="140" t="s">
        <v>14</v>
      </c>
      <c r="J2681" s="174"/>
    </row>
    <row r="2682" hidden="1" customHeight="1" spans="1:10">
      <c r="A2682" s="140" t="s">
        <v>505</v>
      </c>
      <c r="B2682" s="140" t="s">
        <v>149</v>
      </c>
      <c r="C2682" s="171">
        <v>45692</v>
      </c>
      <c r="D2682" s="172" t="s">
        <v>17</v>
      </c>
      <c r="E2682" s="173" t="s">
        <v>13</v>
      </c>
      <c r="F2682" s="140" t="s">
        <v>14</v>
      </c>
      <c r="G2682" s="140" t="s">
        <v>14</v>
      </c>
      <c r="H2682" s="140" t="s">
        <v>14</v>
      </c>
      <c r="I2682" s="140" t="s">
        <v>14</v>
      </c>
      <c r="J2682" s="174"/>
    </row>
    <row r="2683" hidden="1" customHeight="1" spans="1:10">
      <c r="A2683" s="140" t="s">
        <v>505</v>
      </c>
      <c r="B2683" s="140" t="s">
        <v>149</v>
      </c>
      <c r="C2683" s="171">
        <v>45693</v>
      </c>
      <c r="D2683" s="172" t="s">
        <v>18</v>
      </c>
      <c r="E2683" s="140" t="s">
        <v>19</v>
      </c>
      <c r="F2683" s="140" t="s">
        <v>359</v>
      </c>
      <c r="G2683" s="140" t="s">
        <v>21</v>
      </c>
      <c r="H2683" s="140" t="s">
        <v>174</v>
      </c>
      <c r="I2683" s="140" t="s">
        <v>21</v>
      </c>
      <c r="J2683" s="175"/>
    </row>
    <row r="2684" hidden="1" customHeight="1" spans="1:10">
      <c r="A2684" s="140" t="s">
        <v>505</v>
      </c>
      <c r="B2684" s="140" t="s">
        <v>149</v>
      </c>
      <c r="C2684" s="171">
        <v>45694</v>
      </c>
      <c r="D2684" s="172" t="s">
        <v>23</v>
      </c>
      <c r="E2684" s="140" t="s">
        <v>19</v>
      </c>
      <c r="F2684" s="140" t="s">
        <v>146</v>
      </c>
      <c r="G2684" s="140" t="s">
        <v>21</v>
      </c>
      <c r="H2684" s="140" t="s">
        <v>474</v>
      </c>
      <c r="I2684" s="140" t="s">
        <v>21</v>
      </c>
      <c r="J2684" s="174"/>
    </row>
    <row r="2685" hidden="1" customHeight="1" spans="1:10">
      <c r="A2685" s="140" t="s">
        <v>505</v>
      </c>
      <c r="B2685" s="140" t="s">
        <v>149</v>
      </c>
      <c r="C2685" s="171">
        <v>45695</v>
      </c>
      <c r="D2685" s="172" t="s">
        <v>25</v>
      </c>
      <c r="E2685" s="140" t="s">
        <v>19</v>
      </c>
      <c r="F2685" s="140" t="s">
        <v>146</v>
      </c>
      <c r="G2685" s="140" t="s">
        <v>21</v>
      </c>
      <c r="H2685" s="140" t="s">
        <v>506</v>
      </c>
      <c r="I2685" s="140" t="s">
        <v>21</v>
      </c>
      <c r="J2685" s="174"/>
    </row>
    <row r="2686" customHeight="1" spans="1:10">
      <c r="A2686" s="140" t="s">
        <v>505</v>
      </c>
      <c r="B2686" s="140" t="s">
        <v>149</v>
      </c>
      <c r="C2686" s="171">
        <v>45696</v>
      </c>
      <c r="D2686" s="172" t="s">
        <v>27</v>
      </c>
      <c r="E2686" s="140" t="s">
        <v>19</v>
      </c>
      <c r="F2686" s="140" t="s">
        <v>146</v>
      </c>
      <c r="G2686" s="140" t="s">
        <v>21</v>
      </c>
      <c r="H2686" s="140" t="s">
        <v>14</v>
      </c>
      <c r="I2686" s="176" t="s">
        <v>68</v>
      </c>
      <c r="J2686" s="174" t="s">
        <v>507</v>
      </c>
    </row>
    <row r="2687" hidden="1" customHeight="1" spans="1:10">
      <c r="A2687" s="140" t="s">
        <v>505</v>
      </c>
      <c r="B2687" s="140" t="s">
        <v>149</v>
      </c>
      <c r="C2687" s="171">
        <v>45697</v>
      </c>
      <c r="D2687" s="172" t="s">
        <v>15</v>
      </c>
      <c r="E2687" s="173" t="s">
        <v>13</v>
      </c>
      <c r="F2687" s="140" t="s">
        <v>14</v>
      </c>
      <c r="G2687" s="140" t="s">
        <v>14</v>
      </c>
      <c r="H2687" s="140" t="s">
        <v>14</v>
      </c>
      <c r="I2687" s="140" t="s">
        <v>14</v>
      </c>
      <c r="J2687" s="174"/>
    </row>
    <row r="2688" customHeight="1" spans="1:10">
      <c r="A2688" s="140" t="s">
        <v>505</v>
      </c>
      <c r="B2688" s="140" t="s">
        <v>149</v>
      </c>
      <c r="C2688" s="171">
        <v>45698</v>
      </c>
      <c r="D2688" s="172" t="s">
        <v>16</v>
      </c>
      <c r="E2688" s="140" t="s">
        <v>19</v>
      </c>
      <c r="F2688" s="140" t="s">
        <v>14</v>
      </c>
      <c r="G2688" s="176" t="s">
        <v>68</v>
      </c>
      <c r="H2688" s="140" t="s">
        <v>116</v>
      </c>
      <c r="I2688" s="140" t="s">
        <v>21</v>
      </c>
      <c r="J2688" s="174" t="s">
        <v>507</v>
      </c>
    </row>
    <row r="2689" customHeight="1" spans="1:10">
      <c r="A2689" s="140" t="s">
        <v>505</v>
      </c>
      <c r="B2689" s="140" t="s">
        <v>149</v>
      </c>
      <c r="C2689" s="171">
        <v>45699</v>
      </c>
      <c r="D2689" s="172" t="s">
        <v>17</v>
      </c>
      <c r="E2689" s="140" t="s">
        <v>19</v>
      </c>
      <c r="F2689" s="140" t="s">
        <v>14</v>
      </c>
      <c r="G2689" s="176" t="s">
        <v>68</v>
      </c>
      <c r="H2689" s="140" t="s">
        <v>14</v>
      </c>
      <c r="I2689" s="176" t="s">
        <v>68</v>
      </c>
      <c r="J2689" s="174" t="s">
        <v>507</v>
      </c>
    </row>
    <row r="2690" hidden="1" customHeight="1" spans="1:10">
      <c r="A2690" s="140" t="s">
        <v>505</v>
      </c>
      <c r="B2690" s="140" t="s">
        <v>149</v>
      </c>
      <c r="C2690" s="171">
        <v>45700</v>
      </c>
      <c r="D2690" s="172" t="s">
        <v>18</v>
      </c>
      <c r="E2690" s="140" t="s">
        <v>19</v>
      </c>
      <c r="F2690" s="140" t="s">
        <v>154</v>
      </c>
      <c r="G2690" s="140" t="s">
        <v>21</v>
      </c>
      <c r="H2690" s="140" t="s">
        <v>508</v>
      </c>
      <c r="I2690" s="140" t="s">
        <v>21</v>
      </c>
      <c r="J2690" s="174"/>
    </row>
    <row r="2691" hidden="1" customHeight="1" spans="1:10">
      <c r="A2691" s="140" t="s">
        <v>505</v>
      </c>
      <c r="B2691" s="140" t="s">
        <v>149</v>
      </c>
      <c r="C2691" s="171">
        <v>45701</v>
      </c>
      <c r="D2691" s="172" t="s">
        <v>23</v>
      </c>
      <c r="E2691" s="140" t="s">
        <v>19</v>
      </c>
      <c r="F2691" s="140" t="s">
        <v>146</v>
      </c>
      <c r="G2691" s="140" t="s">
        <v>21</v>
      </c>
      <c r="H2691" s="140" t="s">
        <v>118</v>
      </c>
      <c r="I2691" s="140" t="s">
        <v>21</v>
      </c>
      <c r="J2691" s="174"/>
    </row>
    <row r="2692" customHeight="1" spans="1:10">
      <c r="A2692" s="140" t="s">
        <v>505</v>
      </c>
      <c r="B2692" s="140" t="s">
        <v>149</v>
      </c>
      <c r="C2692" s="171">
        <v>45702</v>
      </c>
      <c r="D2692" s="172" t="s">
        <v>25</v>
      </c>
      <c r="E2692" s="140" t="s">
        <v>19</v>
      </c>
      <c r="F2692" s="140" t="s">
        <v>14</v>
      </c>
      <c r="G2692" s="176" t="s">
        <v>68</v>
      </c>
      <c r="H2692" s="140" t="s">
        <v>14</v>
      </c>
      <c r="I2692" s="176" t="s">
        <v>68</v>
      </c>
      <c r="J2692" s="174" t="s">
        <v>507</v>
      </c>
    </row>
    <row r="2693" hidden="1" customHeight="1" spans="1:10">
      <c r="A2693" s="140" t="s">
        <v>505</v>
      </c>
      <c r="B2693" s="140" t="s">
        <v>149</v>
      </c>
      <c r="C2693" s="171">
        <v>45703</v>
      </c>
      <c r="D2693" s="172" t="s">
        <v>27</v>
      </c>
      <c r="E2693" s="173" t="s">
        <v>13</v>
      </c>
      <c r="F2693" s="140" t="s">
        <v>14</v>
      </c>
      <c r="G2693" s="140" t="s">
        <v>14</v>
      </c>
      <c r="H2693" s="140" t="s">
        <v>14</v>
      </c>
      <c r="I2693" s="140" t="s">
        <v>14</v>
      </c>
      <c r="J2693" s="174"/>
    </row>
    <row r="2694" hidden="1" customHeight="1" spans="1:10">
      <c r="A2694" s="140" t="s">
        <v>505</v>
      </c>
      <c r="B2694" s="140" t="s">
        <v>149</v>
      </c>
      <c r="C2694" s="171">
        <v>45704</v>
      </c>
      <c r="D2694" s="172" t="s">
        <v>15</v>
      </c>
      <c r="E2694" s="173" t="s">
        <v>13</v>
      </c>
      <c r="F2694" s="140" t="s">
        <v>14</v>
      </c>
      <c r="G2694" s="140" t="s">
        <v>14</v>
      </c>
      <c r="H2694" s="140" t="s">
        <v>14</v>
      </c>
      <c r="I2694" s="140" t="s">
        <v>14</v>
      </c>
      <c r="J2694" s="174"/>
    </row>
    <row r="2695" customHeight="1" spans="1:10">
      <c r="A2695" s="140" t="s">
        <v>505</v>
      </c>
      <c r="B2695" s="140" t="s">
        <v>149</v>
      </c>
      <c r="C2695" s="171">
        <v>45705</v>
      </c>
      <c r="D2695" s="172" t="s">
        <v>16</v>
      </c>
      <c r="E2695" s="140" t="s">
        <v>19</v>
      </c>
      <c r="F2695" s="140" t="s">
        <v>14</v>
      </c>
      <c r="G2695" s="176" t="s">
        <v>68</v>
      </c>
      <c r="H2695" s="140" t="s">
        <v>168</v>
      </c>
      <c r="I2695" s="140" t="s">
        <v>21</v>
      </c>
      <c r="J2695" s="174" t="s">
        <v>507</v>
      </c>
    </row>
    <row r="2696" hidden="1" customHeight="1" spans="1:10">
      <c r="A2696" s="140" t="s">
        <v>505</v>
      </c>
      <c r="B2696" s="140" t="s">
        <v>149</v>
      </c>
      <c r="C2696" s="171">
        <v>45706</v>
      </c>
      <c r="D2696" s="172" t="s">
        <v>17</v>
      </c>
      <c r="E2696" s="140" t="s">
        <v>19</v>
      </c>
      <c r="F2696" s="140" t="s">
        <v>28</v>
      </c>
      <c r="G2696" s="140" t="s">
        <v>21</v>
      </c>
      <c r="H2696" s="140" t="s">
        <v>509</v>
      </c>
      <c r="I2696" s="140" t="s">
        <v>21</v>
      </c>
      <c r="J2696" s="174"/>
    </row>
    <row r="2697" customHeight="1" spans="1:10">
      <c r="A2697" s="140" t="s">
        <v>505</v>
      </c>
      <c r="B2697" s="140" t="s">
        <v>149</v>
      </c>
      <c r="C2697" s="171">
        <v>45707</v>
      </c>
      <c r="D2697" s="172" t="s">
        <v>18</v>
      </c>
      <c r="E2697" s="140" t="s">
        <v>19</v>
      </c>
      <c r="F2697" s="140" t="s">
        <v>14</v>
      </c>
      <c r="G2697" s="176" t="s">
        <v>68</v>
      </c>
      <c r="H2697" s="140" t="s">
        <v>510</v>
      </c>
      <c r="I2697" s="140" t="s">
        <v>21</v>
      </c>
      <c r="J2697" s="174" t="s">
        <v>507</v>
      </c>
    </row>
    <row r="2698" hidden="1" customHeight="1" spans="1:10">
      <c r="A2698" s="140" t="s">
        <v>505</v>
      </c>
      <c r="B2698" s="140" t="s">
        <v>149</v>
      </c>
      <c r="C2698" s="171">
        <v>45708</v>
      </c>
      <c r="D2698" s="172" t="s">
        <v>23</v>
      </c>
      <c r="E2698" s="140" t="s">
        <v>19</v>
      </c>
      <c r="F2698" s="140" t="s">
        <v>139</v>
      </c>
      <c r="G2698" s="140" t="s">
        <v>21</v>
      </c>
      <c r="H2698" s="140" t="s">
        <v>99</v>
      </c>
      <c r="I2698" s="140" t="s">
        <v>21</v>
      </c>
      <c r="J2698" s="174"/>
    </row>
    <row r="2699" hidden="1" customHeight="1" spans="1:10">
      <c r="A2699" s="140" t="s">
        <v>505</v>
      </c>
      <c r="B2699" s="140" t="s">
        <v>149</v>
      </c>
      <c r="C2699" s="171">
        <v>45709</v>
      </c>
      <c r="D2699" s="172" t="s">
        <v>25</v>
      </c>
      <c r="E2699" s="140" t="s">
        <v>19</v>
      </c>
      <c r="F2699" s="140" t="s">
        <v>146</v>
      </c>
      <c r="G2699" s="140" t="s">
        <v>21</v>
      </c>
      <c r="H2699" s="140" t="s">
        <v>483</v>
      </c>
      <c r="I2699" s="140" t="s">
        <v>21</v>
      </c>
      <c r="J2699" s="174"/>
    </row>
    <row r="2700" hidden="1" customHeight="1" spans="1:10">
      <c r="A2700" s="140" t="s">
        <v>505</v>
      </c>
      <c r="B2700" s="140" t="s">
        <v>149</v>
      </c>
      <c r="C2700" s="171">
        <v>45710</v>
      </c>
      <c r="D2700" s="172" t="s">
        <v>27</v>
      </c>
      <c r="E2700" s="173" t="s">
        <v>13</v>
      </c>
      <c r="F2700" s="140" t="s">
        <v>14</v>
      </c>
      <c r="G2700" s="140" t="s">
        <v>14</v>
      </c>
      <c r="H2700" s="140" t="s">
        <v>14</v>
      </c>
      <c r="I2700" s="140" t="s">
        <v>14</v>
      </c>
      <c r="J2700" s="174"/>
    </row>
    <row r="2701" hidden="1" customHeight="1" spans="1:10">
      <c r="A2701" s="140" t="s">
        <v>505</v>
      </c>
      <c r="B2701" s="140" t="s">
        <v>149</v>
      </c>
      <c r="C2701" s="171">
        <v>45711</v>
      </c>
      <c r="D2701" s="172" t="s">
        <v>15</v>
      </c>
      <c r="E2701" s="173" t="s">
        <v>13</v>
      </c>
      <c r="F2701" s="140" t="s">
        <v>14</v>
      </c>
      <c r="G2701" s="140" t="s">
        <v>14</v>
      </c>
      <c r="H2701" s="140" t="s">
        <v>14</v>
      </c>
      <c r="I2701" s="140" t="s">
        <v>14</v>
      </c>
      <c r="J2701" s="174"/>
    </row>
    <row r="2702" hidden="1" customHeight="1" spans="1:10">
      <c r="A2702" s="140" t="s">
        <v>505</v>
      </c>
      <c r="B2702" s="140" t="s">
        <v>149</v>
      </c>
      <c r="C2702" s="171">
        <v>45712</v>
      </c>
      <c r="D2702" s="172" t="s">
        <v>16</v>
      </c>
      <c r="E2702" s="140" t="s">
        <v>19</v>
      </c>
      <c r="F2702" s="140" t="s">
        <v>146</v>
      </c>
      <c r="G2702" s="140" t="s">
        <v>21</v>
      </c>
      <c r="H2702" s="140" t="s">
        <v>304</v>
      </c>
      <c r="I2702" s="140" t="s">
        <v>21</v>
      </c>
      <c r="J2702" s="174"/>
    </row>
    <row r="2703" customHeight="1" spans="1:10">
      <c r="A2703" s="140" t="s">
        <v>505</v>
      </c>
      <c r="B2703" s="140" t="s">
        <v>149</v>
      </c>
      <c r="C2703" s="171">
        <v>45713</v>
      </c>
      <c r="D2703" s="172" t="s">
        <v>17</v>
      </c>
      <c r="E2703" s="140" t="s">
        <v>19</v>
      </c>
      <c r="F2703" s="140" t="s">
        <v>14</v>
      </c>
      <c r="G2703" s="176" t="s">
        <v>68</v>
      </c>
      <c r="H2703" s="140" t="s">
        <v>206</v>
      </c>
      <c r="I2703" s="140" t="s">
        <v>21</v>
      </c>
      <c r="J2703" s="174" t="s">
        <v>507</v>
      </c>
    </row>
    <row r="2704" hidden="1" customHeight="1" spans="1:10">
      <c r="A2704" s="140" t="s">
        <v>505</v>
      </c>
      <c r="B2704" s="140" t="s">
        <v>149</v>
      </c>
      <c r="C2704" s="171">
        <v>45714</v>
      </c>
      <c r="D2704" s="172" t="s">
        <v>18</v>
      </c>
      <c r="E2704" s="140" t="s">
        <v>19</v>
      </c>
      <c r="F2704" s="140" t="s">
        <v>30</v>
      </c>
      <c r="G2704" s="140" t="s">
        <v>21</v>
      </c>
      <c r="H2704" s="140" t="s">
        <v>112</v>
      </c>
      <c r="I2704" s="140" t="s">
        <v>21</v>
      </c>
      <c r="J2704" s="174"/>
    </row>
    <row r="2705" hidden="1" customHeight="1" spans="1:10">
      <c r="A2705" s="140" t="s">
        <v>505</v>
      </c>
      <c r="B2705" s="140" t="s">
        <v>149</v>
      </c>
      <c r="C2705" s="171">
        <v>45715</v>
      </c>
      <c r="D2705" s="172" t="s">
        <v>23</v>
      </c>
      <c r="E2705" s="140" t="s">
        <v>19</v>
      </c>
      <c r="F2705" s="140" t="s">
        <v>135</v>
      </c>
      <c r="G2705" s="140" t="s">
        <v>21</v>
      </c>
      <c r="H2705" s="140" t="s">
        <v>511</v>
      </c>
      <c r="I2705" s="140" t="s">
        <v>21</v>
      </c>
      <c r="J2705" s="174"/>
    </row>
    <row r="2706" hidden="1" customHeight="1" spans="1:10">
      <c r="A2706" s="140" t="s">
        <v>505</v>
      </c>
      <c r="B2706" s="140" t="s">
        <v>149</v>
      </c>
      <c r="C2706" s="171">
        <v>45716</v>
      </c>
      <c r="D2706" s="172" t="s">
        <v>25</v>
      </c>
      <c r="E2706" s="140" t="s">
        <v>19</v>
      </c>
      <c r="F2706" s="140" t="s">
        <v>135</v>
      </c>
      <c r="G2706" s="140" t="s">
        <v>21</v>
      </c>
      <c r="H2706" s="140" t="s">
        <v>375</v>
      </c>
      <c r="I2706" s="140" t="s">
        <v>21</v>
      </c>
      <c r="J2706" s="174"/>
    </row>
    <row r="2707" hidden="1" customHeight="1" spans="1:10">
      <c r="A2707" s="140" t="s">
        <v>512</v>
      </c>
      <c r="B2707" s="140" t="s">
        <v>513</v>
      </c>
      <c r="C2707" s="171">
        <v>45689</v>
      </c>
      <c r="D2707" s="172" t="s">
        <v>12</v>
      </c>
      <c r="E2707" s="173" t="s">
        <v>13</v>
      </c>
      <c r="F2707" s="140" t="s">
        <v>14</v>
      </c>
      <c r="G2707" s="140" t="s">
        <v>14</v>
      </c>
      <c r="H2707" s="140" t="s">
        <v>14</v>
      </c>
      <c r="I2707" s="140" t="s">
        <v>14</v>
      </c>
      <c r="J2707" s="174"/>
    </row>
    <row r="2708" hidden="1" customHeight="1" spans="1:10">
      <c r="A2708" s="140" t="s">
        <v>512</v>
      </c>
      <c r="B2708" s="140" t="s">
        <v>513</v>
      </c>
      <c r="C2708" s="171">
        <v>45690</v>
      </c>
      <c r="D2708" s="172" t="s">
        <v>15</v>
      </c>
      <c r="E2708" s="173" t="s">
        <v>13</v>
      </c>
      <c r="F2708" s="140" t="s">
        <v>14</v>
      </c>
      <c r="G2708" s="140" t="s">
        <v>14</v>
      </c>
      <c r="H2708" s="140" t="s">
        <v>14</v>
      </c>
      <c r="I2708" s="140" t="s">
        <v>14</v>
      </c>
      <c r="J2708" s="174"/>
    </row>
    <row r="2709" hidden="1" customHeight="1" spans="1:10">
      <c r="A2709" s="140" t="s">
        <v>512</v>
      </c>
      <c r="B2709" s="140" t="s">
        <v>513</v>
      </c>
      <c r="C2709" s="171">
        <v>45691</v>
      </c>
      <c r="D2709" s="172" t="s">
        <v>16</v>
      </c>
      <c r="E2709" s="173" t="s">
        <v>13</v>
      </c>
      <c r="F2709" s="140" t="s">
        <v>14</v>
      </c>
      <c r="G2709" s="140" t="s">
        <v>14</v>
      </c>
      <c r="H2709" s="140" t="s">
        <v>14</v>
      </c>
      <c r="I2709" s="140" t="s">
        <v>14</v>
      </c>
      <c r="J2709" s="174"/>
    </row>
    <row r="2710" hidden="1" customHeight="1" spans="1:10">
      <c r="A2710" s="140" t="s">
        <v>512</v>
      </c>
      <c r="B2710" s="140" t="s">
        <v>513</v>
      </c>
      <c r="C2710" s="171">
        <v>45692</v>
      </c>
      <c r="D2710" s="172" t="s">
        <v>17</v>
      </c>
      <c r="E2710" s="173" t="s">
        <v>13</v>
      </c>
      <c r="F2710" s="140" t="s">
        <v>14</v>
      </c>
      <c r="G2710" s="140" t="s">
        <v>14</v>
      </c>
      <c r="H2710" s="140" t="s">
        <v>14</v>
      </c>
      <c r="I2710" s="140" t="s">
        <v>14</v>
      </c>
      <c r="J2710" s="174"/>
    </row>
    <row r="2711" hidden="1" customHeight="1" spans="1:10">
      <c r="A2711" s="140" t="s">
        <v>512</v>
      </c>
      <c r="B2711" s="140" t="s">
        <v>513</v>
      </c>
      <c r="C2711" s="171">
        <v>45693</v>
      </c>
      <c r="D2711" s="172" t="s">
        <v>18</v>
      </c>
      <c r="E2711" s="140" t="s">
        <v>19</v>
      </c>
      <c r="F2711" s="140" t="s">
        <v>36</v>
      </c>
      <c r="G2711" s="140" t="s">
        <v>21</v>
      </c>
      <c r="H2711" s="140" t="s">
        <v>174</v>
      </c>
      <c r="I2711" s="140" t="s">
        <v>21</v>
      </c>
      <c r="J2711" s="174"/>
    </row>
    <row r="2712" hidden="1" customHeight="1" spans="1:10">
      <c r="A2712" s="140" t="s">
        <v>512</v>
      </c>
      <c r="B2712" s="140" t="s">
        <v>513</v>
      </c>
      <c r="C2712" s="171">
        <v>45694</v>
      </c>
      <c r="D2712" s="172" t="s">
        <v>23</v>
      </c>
      <c r="E2712" s="140" t="s">
        <v>19</v>
      </c>
      <c r="F2712" s="140" t="s">
        <v>46</v>
      </c>
      <c r="G2712" s="140" t="s">
        <v>21</v>
      </c>
      <c r="H2712" s="140" t="s">
        <v>78</v>
      </c>
      <c r="I2712" s="140" t="s">
        <v>21</v>
      </c>
      <c r="J2712" s="174"/>
    </row>
    <row r="2713" hidden="1" customHeight="1" spans="1:10">
      <c r="A2713" s="140" t="s">
        <v>512</v>
      </c>
      <c r="B2713" s="140" t="s">
        <v>513</v>
      </c>
      <c r="C2713" s="171">
        <v>45695</v>
      </c>
      <c r="D2713" s="172" t="s">
        <v>25</v>
      </c>
      <c r="E2713" s="140" t="s">
        <v>19</v>
      </c>
      <c r="F2713" s="140" t="s">
        <v>43</v>
      </c>
      <c r="G2713" s="140" t="s">
        <v>21</v>
      </c>
      <c r="H2713" s="140" t="s">
        <v>205</v>
      </c>
      <c r="I2713" s="140" t="s">
        <v>21</v>
      </c>
      <c r="J2713" s="174"/>
    </row>
    <row r="2714" customHeight="1" spans="1:10">
      <c r="A2714" s="140" t="s">
        <v>512</v>
      </c>
      <c r="B2714" s="140" t="s">
        <v>513</v>
      </c>
      <c r="C2714" s="171">
        <v>45696</v>
      </c>
      <c r="D2714" s="172" t="s">
        <v>27</v>
      </c>
      <c r="E2714" s="140" t="s">
        <v>19</v>
      </c>
      <c r="F2714" s="140" t="s">
        <v>14</v>
      </c>
      <c r="G2714" s="176" t="s">
        <v>68</v>
      </c>
      <c r="H2714" s="140" t="s">
        <v>212</v>
      </c>
      <c r="I2714" s="140" t="s">
        <v>21</v>
      </c>
      <c r="J2714" s="174" t="s">
        <v>69</v>
      </c>
    </row>
    <row r="2715" hidden="1" customHeight="1" spans="1:10">
      <c r="A2715" s="140" t="s">
        <v>512</v>
      </c>
      <c r="B2715" s="140" t="s">
        <v>513</v>
      </c>
      <c r="C2715" s="171">
        <v>45697</v>
      </c>
      <c r="D2715" s="172" t="s">
        <v>15</v>
      </c>
      <c r="E2715" s="173" t="s">
        <v>13</v>
      </c>
      <c r="F2715" s="140" t="s">
        <v>14</v>
      </c>
      <c r="G2715" s="140" t="s">
        <v>14</v>
      </c>
      <c r="H2715" s="140" t="s">
        <v>14</v>
      </c>
      <c r="I2715" s="140" t="s">
        <v>14</v>
      </c>
      <c r="J2715" s="174"/>
    </row>
    <row r="2716" hidden="1" customHeight="1" spans="1:10">
      <c r="A2716" s="140" t="s">
        <v>512</v>
      </c>
      <c r="B2716" s="140" t="s">
        <v>513</v>
      </c>
      <c r="C2716" s="171">
        <v>45698</v>
      </c>
      <c r="D2716" s="172" t="s">
        <v>16</v>
      </c>
      <c r="E2716" s="140" t="s">
        <v>19</v>
      </c>
      <c r="F2716" s="140" t="s">
        <v>20</v>
      </c>
      <c r="G2716" s="140" t="s">
        <v>21</v>
      </c>
      <c r="H2716" s="140" t="s">
        <v>321</v>
      </c>
      <c r="I2716" s="140" t="s">
        <v>21</v>
      </c>
      <c r="J2716" s="174"/>
    </row>
    <row r="2717" hidden="1" customHeight="1" spans="1:10">
      <c r="A2717" s="140" t="s">
        <v>512</v>
      </c>
      <c r="B2717" s="140" t="s">
        <v>513</v>
      </c>
      <c r="C2717" s="171">
        <v>45699</v>
      </c>
      <c r="D2717" s="172" t="s">
        <v>17</v>
      </c>
      <c r="E2717" s="140" t="s">
        <v>19</v>
      </c>
      <c r="F2717" s="140" t="s">
        <v>43</v>
      </c>
      <c r="G2717" s="140" t="s">
        <v>21</v>
      </c>
      <c r="H2717" s="140" t="s">
        <v>238</v>
      </c>
      <c r="I2717" s="140" t="s">
        <v>21</v>
      </c>
      <c r="J2717" s="174"/>
    </row>
    <row r="2718" hidden="1" customHeight="1" spans="1:10">
      <c r="A2718" s="140" t="s">
        <v>512</v>
      </c>
      <c r="B2718" s="140" t="s">
        <v>513</v>
      </c>
      <c r="C2718" s="171">
        <v>45700</v>
      </c>
      <c r="D2718" s="172" t="s">
        <v>18</v>
      </c>
      <c r="E2718" s="140" t="s">
        <v>19</v>
      </c>
      <c r="F2718" s="140" t="s">
        <v>209</v>
      </c>
      <c r="G2718" s="140" t="s">
        <v>21</v>
      </c>
      <c r="H2718" s="140" t="s">
        <v>205</v>
      </c>
      <c r="I2718" s="140" t="s">
        <v>21</v>
      </c>
      <c r="J2718" s="174"/>
    </row>
    <row r="2719" hidden="1" customHeight="1" spans="1:10">
      <c r="A2719" s="140" t="s">
        <v>512</v>
      </c>
      <c r="B2719" s="140" t="s">
        <v>513</v>
      </c>
      <c r="C2719" s="171">
        <v>45701</v>
      </c>
      <c r="D2719" s="172" t="s">
        <v>23</v>
      </c>
      <c r="E2719" s="140" t="s">
        <v>19</v>
      </c>
      <c r="F2719" s="140" t="s">
        <v>43</v>
      </c>
      <c r="G2719" s="140" t="s">
        <v>21</v>
      </c>
      <c r="H2719" s="140" t="s">
        <v>41</v>
      </c>
      <c r="I2719" s="140" t="s">
        <v>21</v>
      </c>
      <c r="J2719" s="174"/>
    </row>
    <row r="2720" hidden="1" customHeight="1" spans="1:10">
      <c r="A2720" s="140" t="s">
        <v>512</v>
      </c>
      <c r="B2720" s="140" t="s">
        <v>513</v>
      </c>
      <c r="C2720" s="171">
        <v>45702</v>
      </c>
      <c r="D2720" s="172" t="s">
        <v>25</v>
      </c>
      <c r="E2720" s="140" t="s">
        <v>19</v>
      </c>
      <c r="F2720" s="140" t="s">
        <v>20</v>
      </c>
      <c r="G2720" s="140" t="s">
        <v>21</v>
      </c>
      <c r="H2720" s="140" t="s">
        <v>170</v>
      </c>
      <c r="I2720" s="140" t="s">
        <v>21</v>
      </c>
      <c r="J2720" s="174"/>
    </row>
    <row r="2721" hidden="1" customHeight="1" spans="1:10">
      <c r="A2721" s="140" t="s">
        <v>512</v>
      </c>
      <c r="B2721" s="140" t="s">
        <v>513</v>
      </c>
      <c r="C2721" s="171">
        <v>45703</v>
      </c>
      <c r="D2721" s="172" t="s">
        <v>27</v>
      </c>
      <c r="E2721" s="173" t="s">
        <v>13</v>
      </c>
      <c r="F2721" s="140" t="s">
        <v>14</v>
      </c>
      <c r="G2721" s="140" t="s">
        <v>14</v>
      </c>
      <c r="H2721" s="140" t="s">
        <v>14</v>
      </c>
      <c r="I2721" s="140" t="s">
        <v>14</v>
      </c>
      <c r="J2721" s="174"/>
    </row>
    <row r="2722" hidden="1" customHeight="1" spans="1:10">
      <c r="A2722" s="140" t="s">
        <v>512</v>
      </c>
      <c r="B2722" s="140" t="s">
        <v>513</v>
      </c>
      <c r="C2722" s="171">
        <v>45704</v>
      </c>
      <c r="D2722" s="172" t="s">
        <v>15</v>
      </c>
      <c r="E2722" s="173" t="s">
        <v>13</v>
      </c>
      <c r="F2722" s="140" t="s">
        <v>14</v>
      </c>
      <c r="G2722" s="140" t="s">
        <v>14</v>
      </c>
      <c r="H2722" s="140" t="s">
        <v>14</v>
      </c>
      <c r="I2722" s="140" t="s">
        <v>14</v>
      </c>
      <c r="J2722" s="174"/>
    </row>
    <row r="2723" hidden="1" customHeight="1" spans="1:10">
      <c r="A2723" s="140" t="s">
        <v>512</v>
      </c>
      <c r="B2723" s="140" t="s">
        <v>513</v>
      </c>
      <c r="C2723" s="171">
        <v>45705</v>
      </c>
      <c r="D2723" s="172" t="s">
        <v>16</v>
      </c>
      <c r="E2723" s="140" t="s">
        <v>19</v>
      </c>
      <c r="F2723" s="140" t="s">
        <v>43</v>
      </c>
      <c r="G2723" s="140" t="s">
        <v>21</v>
      </c>
      <c r="H2723" s="140" t="s">
        <v>130</v>
      </c>
      <c r="I2723" s="140" t="s">
        <v>21</v>
      </c>
      <c r="J2723" s="174"/>
    </row>
    <row r="2724" hidden="1" customHeight="1" spans="1:10">
      <c r="A2724" s="140" t="s">
        <v>512</v>
      </c>
      <c r="B2724" s="140" t="s">
        <v>513</v>
      </c>
      <c r="C2724" s="171">
        <v>45706</v>
      </c>
      <c r="D2724" s="172" t="s">
        <v>17</v>
      </c>
      <c r="E2724" s="140" t="s">
        <v>19</v>
      </c>
      <c r="F2724" s="140" t="s">
        <v>43</v>
      </c>
      <c r="G2724" s="140" t="s">
        <v>21</v>
      </c>
      <c r="H2724" s="140" t="s">
        <v>141</v>
      </c>
      <c r="I2724" s="140" t="s">
        <v>21</v>
      </c>
      <c r="J2724" s="174"/>
    </row>
    <row r="2725" hidden="1" customHeight="1" spans="1:10">
      <c r="A2725" s="140" t="s">
        <v>512</v>
      </c>
      <c r="B2725" s="140" t="s">
        <v>513</v>
      </c>
      <c r="C2725" s="171">
        <v>45707</v>
      </c>
      <c r="D2725" s="172" t="s">
        <v>18</v>
      </c>
      <c r="E2725" s="140" t="s">
        <v>19</v>
      </c>
      <c r="F2725" s="140" t="s">
        <v>209</v>
      </c>
      <c r="G2725" s="140" t="s">
        <v>21</v>
      </c>
      <c r="H2725" s="140" t="s">
        <v>252</v>
      </c>
      <c r="I2725" s="140" t="s">
        <v>21</v>
      </c>
      <c r="J2725" s="174"/>
    </row>
    <row r="2726" hidden="1" customHeight="1" spans="1:10">
      <c r="A2726" s="140" t="s">
        <v>512</v>
      </c>
      <c r="B2726" s="140" t="s">
        <v>513</v>
      </c>
      <c r="C2726" s="171">
        <v>45708</v>
      </c>
      <c r="D2726" s="172" t="s">
        <v>23</v>
      </c>
      <c r="E2726" s="140" t="s">
        <v>19</v>
      </c>
      <c r="F2726" s="140" t="s">
        <v>43</v>
      </c>
      <c r="G2726" s="140" t="s">
        <v>21</v>
      </c>
      <c r="H2726" s="140" t="s">
        <v>35</v>
      </c>
      <c r="I2726" s="140" t="s">
        <v>21</v>
      </c>
      <c r="J2726" s="174"/>
    </row>
    <row r="2727" hidden="1" customHeight="1" spans="1:10">
      <c r="A2727" s="140" t="s">
        <v>512</v>
      </c>
      <c r="B2727" s="140" t="s">
        <v>513</v>
      </c>
      <c r="C2727" s="171">
        <v>45709</v>
      </c>
      <c r="D2727" s="172" t="s">
        <v>25</v>
      </c>
      <c r="E2727" s="140" t="s">
        <v>19</v>
      </c>
      <c r="F2727" s="140" t="s">
        <v>43</v>
      </c>
      <c r="G2727" s="140" t="s">
        <v>21</v>
      </c>
      <c r="H2727" s="140" t="s">
        <v>151</v>
      </c>
      <c r="I2727" s="140" t="s">
        <v>21</v>
      </c>
      <c r="J2727" s="174"/>
    </row>
    <row r="2728" hidden="1" customHeight="1" spans="1:10">
      <c r="A2728" s="140" t="s">
        <v>512</v>
      </c>
      <c r="B2728" s="140" t="s">
        <v>513</v>
      </c>
      <c r="C2728" s="171">
        <v>45710</v>
      </c>
      <c r="D2728" s="172" t="s">
        <v>27</v>
      </c>
      <c r="E2728" s="173" t="s">
        <v>13</v>
      </c>
      <c r="F2728" s="140" t="s">
        <v>14</v>
      </c>
      <c r="G2728" s="140" t="s">
        <v>14</v>
      </c>
      <c r="H2728" s="140" t="s">
        <v>14</v>
      </c>
      <c r="I2728" s="140" t="s">
        <v>14</v>
      </c>
      <c r="J2728" s="174"/>
    </row>
    <row r="2729" hidden="1" customHeight="1" spans="1:10">
      <c r="A2729" s="140" t="s">
        <v>512</v>
      </c>
      <c r="B2729" s="140" t="s">
        <v>513</v>
      </c>
      <c r="C2729" s="171">
        <v>45711</v>
      </c>
      <c r="D2729" s="172" t="s">
        <v>15</v>
      </c>
      <c r="E2729" s="173" t="s">
        <v>13</v>
      </c>
      <c r="F2729" s="140" t="s">
        <v>14</v>
      </c>
      <c r="G2729" s="140" t="s">
        <v>14</v>
      </c>
      <c r="H2729" s="140" t="s">
        <v>14</v>
      </c>
      <c r="I2729" s="140" t="s">
        <v>14</v>
      </c>
      <c r="J2729" s="174"/>
    </row>
    <row r="2730" hidden="1" customHeight="1" spans="1:10">
      <c r="A2730" s="140" t="s">
        <v>512</v>
      </c>
      <c r="B2730" s="140" t="s">
        <v>513</v>
      </c>
      <c r="C2730" s="171">
        <v>45712</v>
      </c>
      <c r="D2730" s="172" t="s">
        <v>16</v>
      </c>
      <c r="E2730" s="140" t="s">
        <v>19</v>
      </c>
      <c r="F2730" s="140" t="s">
        <v>43</v>
      </c>
      <c r="G2730" s="140" t="s">
        <v>21</v>
      </c>
      <c r="H2730" s="140" t="s">
        <v>514</v>
      </c>
      <c r="I2730" s="140" t="s">
        <v>21</v>
      </c>
      <c r="J2730" s="174"/>
    </row>
    <row r="2731" hidden="1" customHeight="1" spans="1:10">
      <c r="A2731" s="140" t="s">
        <v>512</v>
      </c>
      <c r="B2731" s="140" t="s">
        <v>513</v>
      </c>
      <c r="C2731" s="171">
        <v>45713</v>
      </c>
      <c r="D2731" s="172" t="s">
        <v>17</v>
      </c>
      <c r="E2731" s="140" t="s">
        <v>19</v>
      </c>
      <c r="F2731" s="140" t="s">
        <v>209</v>
      </c>
      <c r="G2731" s="140" t="s">
        <v>21</v>
      </c>
      <c r="H2731" s="140" t="s">
        <v>175</v>
      </c>
      <c r="I2731" s="140" t="s">
        <v>21</v>
      </c>
      <c r="J2731" s="174"/>
    </row>
    <row r="2732" customHeight="1" spans="1:10">
      <c r="A2732" s="140" t="s">
        <v>512</v>
      </c>
      <c r="B2732" s="140" t="s">
        <v>513</v>
      </c>
      <c r="C2732" s="171">
        <v>45714</v>
      </c>
      <c r="D2732" s="172" t="s">
        <v>18</v>
      </c>
      <c r="E2732" s="140" t="s">
        <v>19</v>
      </c>
      <c r="F2732" s="140" t="s">
        <v>43</v>
      </c>
      <c r="G2732" s="140" t="s">
        <v>21</v>
      </c>
      <c r="H2732" s="140" t="s">
        <v>14</v>
      </c>
      <c r="I2732" s="176" t="s">
        <v>68</v>
      </c>
      <c r="J2732" s="174" t="s">
        <v>93</v>
      </c>
    </row>
    <row r="2733" customHeight="1" spans="1:10">
      <c r="A2733" s="140" t="s">
        <v>512</v>
      </c>
      <c r="B2733" s="140" t="s">
        <v>513</v>
      </c>
      <c r="C2733" s="171">
        <v>45715</v>
      </c>
      <c r="D2733" s="172" t="s">
        <v>23</v>
      </c>
      <c r="E2733" s="140" t="s">
        <v>19</v>
      </c>
      <c r="F2733" s="140" t="s">
        <v>14</v>
      </c>
      <c r="G2733" s="176" t="s">
        <v>68</v>
      </c>
      <c r="H2733" s="140" t="s">
        <v>190</v>
      </c>
      <c r="I2733" s="140" t="s">
        <v>21</v>
      </c>
      <c r="J2733" s="174" t="s">
        <v>93</v>
      </c>
    </row>
    <row r="2734" hidden="1" customHeight="1" spans="1:10">
      <c r="A2734" s="140" t="s">
        <v>512</v>
      </c>
      <c r="B2734" s="140" t="s">
        <v>513</v>
      </c>
      <c r="C2734" s="171">
        <v>45716</v>
      </c>
      <c r="D2734" s="172" t="s">
        <v>25</v>
      </c>
      <c r="E2734" s="140" t="s">
        <v>19</v>
      </c>
      <c r="F2734" s="140" t="s">
        <v>43</v>
      </c>
      <c r="G2734" s="140" t="s">
        <v>21</v>
      </c>
      <c r="H2734" s="140" t="s">
        <v>312</v>
      </c>
      <c r="I2734" s="140" t="s">
        <v>21</v>
      </c>
      <c r="J2734" s="174"/>
    </row>
    <row r="2735" hidden="1" customHeight="1" spans="1:10">
      <c r="A2735" s="140" t="s">
        <v>515</v>
      </c>
      <c r="B2735" s="140" t="s">
        <v>487</v>
      </c>
      <c r="C2735" s="171">
        <v>45689</v>
      </c>
      <c r="D2735" s="172" t="s">
        <v>12</v>
      </c>
      <c r="E2735" s="173" t="s">
        <v>13</v>
      </c>
      <c r="F2735" s="140" t="s">
        <v>14</v>
      </c>
      <c r="G2735" s="140" t="s">
        <v>14</v>
      </c>
      <c r="H2735" s="140" t="s">
        <v>14</v>
      </c>
      <c r="I2735" s="140" t="s">
        <v>14</v>
      </c>
      <c r="J2735" s="174"/>
    </row>
    <row r="2736" hidden="1" customHeight="1" spans="1:10">
      <c r="A2736" s="140" t="s">
        <v>515</v>
      </c>
      <c r="B2736" s="140" t="s">
        <v>487</v>
      </c>
      <c r="C2736" s="171">
        <v>45690</v>
      </c>
      <c r="D2736" s="172" t="s">
        <v>15</v>
      </c>
      <c r="E2736" s="173" t="s">
        <v>13</v>
      </c>
      <c r="F2736" s="140" t="s">
        <v>14</v>
      </c>
      <c r="G2736" s="140" t="s">
        <v>14</v>
      </c>
      <c r="H2736" s="140" t="s">
        <v>14</v>
      </c>
      <c r="I2736" s="140" t="s">
        <v>14</v>
      </c>
      <c r="J2736" s="174"/>
    </row>
    <row r="2737" hidden="1" customHeight="1" spans="1:10">
      <c r="A2737" s="140" t="s">
        <v>515</v>
      </c>
      <c r="B2737" s="140" t="s">
        <v>487</v>
      </c>
      <c r="C2737" s="171">
        <v>45691</v>
      </c>
      <c r="D2737" s="172" t="s">
        <v>16</v>
      </c>
      <c r="E2737" s="173" t="s">
        <v>13</v>
      </c>
      <c r="F2737" s="140" t="s">
        <v>14</v>
      </c>
      <c r="G2737" s="140" t="s">
        <v>14</v>
      </c>
      <c r="H2737" s="140" t="s">
        <v>14</v>
      </c>
      <c r="I2737" s="140" t="s">
        <v>14</v>
      </c>
      <c r="J2737" s="174"/>
    </row>
    <row r="2738" hidden="1" customHeight="1" spans="1:10">
      <c r="A2738" s="140" t="s">
        <v>515</v>
      </c>
      <c r="B2738" s="140" t="s">
        <v>487</v>
      </c>
      <c r="C2738" s="171">
        <v>45692</v>
      </c>
      <c r="D2738" s="172" t="s">
        <v>17</v>
      </c>
      <c r="E2738" s="173" t="s">
        <v>13</v>
      </c>
      <c r="F2738" s="140" t="s">
        <v>14</v>
      </c>
      <c r="G2738" s="140" t="s">
        <v>14</v>
      </c>
      <c r="H2738" s="140" t="s">
        <v>14</v>
      </c>
      <c r="I2738" s="140" t="s">
        <v>14</v>
      </c>
      <c r="J2738" s="174"/>
    </row>
    <row r="2739" hidden="1" customHeight="1" spans="1:10">
      <c r="A2739" s="140" t="s">
        <v>515</v>
      </c>
      <c r="B2739" s="140" t="s">
        <v>487</v>
      </c>
      <c r="C2739" s="171">
        <v>45693</v>
      </c>
      <c r="D2739" s="172" t="s">
        <v>18</v>
      </c>
      <c r="E2739" s="140" t="s">
        <v>19</v>
      </c>
      <c r="F2739" s="140" t="s">
        <v>157</v>
      </c>
      <c r="G2739" s="140" t="s">
        <v>21</v>
      </c>
      <c r="H2739" s="140" t="s">
        <v>170</v>
      </c>
      <c r="I2739" s="140" t="s">
        <v>21</v>
      </c>
      <c r="J2739" s="174"/>
    </row>
    <row r="2740" hidden="1" customHeight="1" spans="1:10">
      <c r="A2740" s="140" t="s">
        <v>515</v>
      </c>
      <c r="B2740" s="140" t="s">
        <v>487</v>
      </c>
      <c r="C2740" s="171">
        <v>45694</v>
      </c>
      <c r="D2740" s="172" t="s">
        <v>23</v>
      </c>
      <c r="E2740" s="140" t="s">
        <v>19</v>
      </c>
      <c r="F2740" s="140" t="s">
        <v>90</v>
      </c>
      <c r="G2740" s="140" t="s">
        <v>21</v>
      </c>
      <c r="H2740" s="140" t="s">
        <v>163</v>
      </c>
      <c r="I2740" s="140" t="s">
        <v>21</v>
      </c>
      <c r="J2740" s="174"/>
    </row>
    <row r="2741" hidden="1" customHeight="1" spans="1:10">
      <c r="A2741" s="140" t="s">
        <v>515</v>
      </c>
      <c r="B2741" s="140" t="s">
        <v>487</v>
      </c>
      <c r="C2741" s="171">
        <v>45695</v>
      </c>
      <c r="D2741" s="172" t="s">
        <v>25</v>
      </c>
      <c r="E2741" s="140" t="s">
        <v>19</v>
      </c>
      <c r="F2741" s="140" t="s">
        <v>157</v>
      </c>
      <c r="G2741" s="140" t="s">
        <v>21</v>
      </c>
      <c r="H2741" s="140" t="s">
        <v>175</v>
      </c>
      <c r="I2741" s="140" t="s">
        <v>21</v>
      </c>
      <c r="J2741" s="174"/>
    </row>
    <row r="2742" hidden="1" customHeight="1" spans="1:10">
      <c r="A2742" s="140" t="s">
        <v>515</v>
      </c>
      <c r="B2742" s="140" t="s">
        <v>487</v>
      </c>
      <c r="C2742" s="171">
        <v>45696</v>
      </c>
      <c r="D2742" s="172" t="s">
        <v>27</v>
      </c>
      <c r="E2742" s="140" t="s">
        <v>19</v>
      </c>
      <c r="F2742" s="140" t="s">
        <v>157</v>
      </c>
      <c r="G2742" s="140" t="s">
        <v>21</v>
      </c>
      <c r="H2742" s="140" t="s">
        <v>170</v>
      </c>
      <c r="I2742" s="140" t="s">
        <v>21</v>
      </c>
      <c r="J2742" s="174"/>
    </row>
    <row r="2743" hidden="1" customHeight="1" spans="1:10">
      <c r="A2743" s="140" t="s">
        <v>515</v>
      </c>
      <c r="B2743" s="140" t="s">
        <v>487</v>
      </c>
      <c r="C2743" s="171">
        <v>45697</v>
      </c>
      <c r="D2743" s="172" t="s">
        <v>15</v>
      </c>
      <c r="E2743" s="173" t="s">
        <v>13</v>
      </c>
      <c r="F2743" s="140" t="s">
        <v>14</v>
      </c>
      <c r="G2743" s="140" t="s">
        <v>14</v>
      </c>
      <c r="H2743" s="140" t="s">
        <v>14</v>
      </c>
      <c r="I2743" s="140" t="s">
        <v>14</v>
      </c>
      <c r="J2743" s="174"/>
    </row>
    <row r="2744" hidden="1" customHeight="1" spans="1:10">
      <c r="A2744" s="140" t="s">
        <v>515</v>
      </c>
      <c r="B2744" s="140" t="s">
        <v>487</v>
      </c>
      <c r="C2744" s="171">
        <v>45698</v>
      </c>
      <c r="D2744" s="172" t="s">
        <v>16</v>
      </c>
      <c r="E2744" s="140" t="s">
        <v>19</v>
      </c>
      <c r="F2744" s="140" t="s">
        <v>46</v>
      </c>
      <c r="G2744" s="140" t="s">
        <v>21</v>
      </c>
      <c r="H2744" s="140" t="s">
        <v>73</v>
      </c>
      <c r="I2744" s="140" t="s">
        <v>21</v>
      </c>
      <c r="J2744" s="174"/>
    </row>
    <row r="2745" hidden="1" customHeight="1" spans="1:10">
      <c r="A2745" s="140" t="s">
        <v>515</v>
      </c>
      <c r="B2745" s="140" t="s">
        <v>487</v>
      </c>
      <c r="C2745" s="171">
        <v>45699</v>
      </c>
      <c r="D2745" s="172" t="s">
        <v>17</v>
      </c>
      <c r="E2745" s="140" t="s">
        <v>19</v>
      </c>
      <c r="F2745" s="140" t="s">
        <v>36</v>
      </c>
      <c r="G2745" s="140" t="s">
        <v>21</v>
      </c>
      <c r="H2745" s="140" t="s">
        <v>206</v>
      </c>
      <c r="I2745" s="140" t="s">
        <v>21</v>
      </c>
      <c r="J2745" s="174"/>
    </row>
    <row r="2746" hidden="1" customHeight="1" spans="1:10">
      <c r="A2746" s="140" t="s">
        <v>515</v>
      </c>
      <c r="B2746" s="140" t="s">
        <v>487</v>
      </c>
      <c r="C2746" s="171">
        <v>45700</v>
      </c>
      <c r="D2746" s="172" t="s">
        <v>18</v>
      </c>
      <c r="E2746" s="140" t="s">
        <v>19</v>
      </c>
      <c r="F2746" s="140" t="s">
        <v>36</v>
      </c>
      <c r="G2746" s="140" t="s">
        <v>21</v>
      </c>
      <c r="H2746" s="140" t="s">
        <v>184</v>
      </c>
      <c r="I2746" s="140" t="s">
        <v>21</v>
      </c>
      <c r="J2746" s="174"/>
    </row>
    <row r="2747" customHeight="1" spans="1:10">
      <c r="A2747" s="140" t="s">
        <v>515</v>
      </c>
      <c r="B2747" s="140" t="s">
        <v>487</v>
      </c>
      <c r="C2747" s="171">
        <v>45701</v>
      </c>
      <c r="D2747" s="172" t="s">
        <v>23</v>
      </c>
      <c r="E2747" s="140" t="s">
        <v>19</v>
      </c>
      <c r="F2747" s="140" t="s">
        <v>14</v>
      </c>
      <c r="G2747" s="176" t="s">
        <v>68</v>
      </c>
      <c r="H2747" s="140" t="s">
        <v>254</v>
      </c>
      <c r="I2747" s="140" t="s">
        <v>21</v>
      </c>
      <c r="J2747" s="174" t="s">
        <v>69</v>
      </c>
    </row>
    <row r="2748" customHeight="1" spans="1:10">
      <c r="A2748" s="140" t="s">
        <v>515</v>
      </c>
      <c r="B2748" s="140" t="s">
        <v>487</v>
      </c>
      <c r="C2748" s="171">
        <v>45702</v>
      </c>
      <c r="D2748" s="172" t="s">
        <v>25</v>
      </c>
      <c r="E2748" s="140" t="s">
        <v>19</v>
      </c>
      <c r="F2748" s="140" t="s">
        <v>14</v>
      </c>
      <c r="G2748" s="176" t="s">
        <v>68</v>
      </c>
      <c r="H2748" s="140" t="s">
        <v>212</v>
      </c>
      <c r="I2748" s="140" t="s">
        <v>21</v>
      </c>
      <c r="J2748" s="174" t="s">
        <v>69</v>
      </c>
    </row>
    <row r="2749" hidden="1" customHeight="1" spans="1:10">
      <c r="A2749" s="140" t="s">
        <v>515</v>
      </c>
      <c r="B2749" s="140" t="s">
        <v>487</v>
      </c>
      <c r="C2749" s="171">
        <v>45703</v>
      </c>
      <c r="D2749" s="172" t="s">
        <v>27</v>
      </c>
      <c r="E2749" s="173" t="s">
        <v>13</v>
      </c>
      <c r="F2749" s="140" t="s">
        <v>14</v>
      </c>
      <c r="G2749" s="140" t="s">
        <v>14</v>
      </c>
      <c r="H2749" s="140" t="s">
        <v>14</v>
      </c>
      <c r="I2749" s="140" t="s">
        <v>14</v>
      </c>
      <c r="J2749" s="174"/>
    </row>
    <row r="2750" hidden="1" customHeight="1" spans="1:10">
      <c r="A2750" s="140" t="s">
        <v>515</v>
      </c>
      <c r="B2750" s="140" t="s">
        <v>487</v>
      </c>
      <c r="C2750" s="171">
        <v>45704</v>
      </c>
      <c r="D2750" s="172" t="s">
        <v>15</v>
      </c>
      <c r="E2750" s="173" t="s">
        <v>13</v>
      </c>
      <c r="F2750" s="140" t="s">
        <v>14</v>
      </c>
      <c r="G2750" s="140" t="s">
        <v>14</v>
      </c>
      <c r="H2750" s="140" t="s">
        <v>14</v>
      </c>
      <c r="I2750" s="140" t="s">
        <v>14</v>
      </c>
      <c r="J2750" s="175"/>
    </row>
    <row r="2751" hidden="1" customHeight="1" spans="1:10">
      <c r="A2751" s="140" t="s">
        <v>515</v>
      </c>
      <c r="B2751" s="140" t="s">
        <v>487</v>
      </c>
      <c r="C2751" s="171">
        <v>45705</v>
      </c>
      <c r="D2751" s="172" t="s">
        <v>16</v>
      </c>
      <c r="E2751" s="140" t="s">
        <v>19</v>
      </c>
      <c r="F2751" s="140" t="s">
        <v>28</v>
      </c>
      <c r="G2751" s="140" t="s">
        <v>21</v>
      </c>
      <c r="H2751" s="140" t="s">
        <v>73</v>
      </c>
      <c r="I2751" s="140" t="s">
        <v>21</v>
      </c>
      <c r="J2751" s="174"/>
    </row>
    <row r="2752" hidden="1" customHeight="1" spans="1:10">
      <c r="A2752" s="140" t="s">
        <v>515</v>
      </c>
      <c r="B2752" s="140" t="s">
        <v>487</v>
      </c>
      <c r="C2752" s="171">
        <v>45706</v>
      </c>
      <c r="D2752" s="172" t="s">
        <v>17</v>
      </c>
      <c r="E2752" s="140" t="s">
        <v>19</v>
      </c>
      <c r="F2752" s="140" t="s">
        <v>33</v>
      </c>
      <c r="G2752" s="140" t="s">
        <v>21</v>
      </c>
      <c r="H2752" s="140" t="s">
        <v>175</v>
      </c>
      <c r="I2752" s="140" t="s">
        <v>21</v>
      </c>
      <c r="J2752" s="175"/>
    </row>
    <row r="2753" hidden="1" customHeight="1" spans="1:10">
      <c r="A2753" s="140" t="s">
        <v>515</v>
      </c>
      <c r="B2753" s="140" t="s">
        <v>487</v>
      </c>
      <c r="C2753" s="171">
        <v>45707</v>
      </c>
      <c r="D2753" s="172" t="s">
        <v>18</v>
      </c>
      <c r="E2753" s="140" t="s">
        <v>19</v>
      </c>
      <c r="F2753" s="140" t="s">
        <v>36</v>
      </c>
      <c r="G2753" s="140" t="s">
        <v>21</v>
      </c>
      <c r="H2753" s="140" t="s">
        <v>196</v>
      </c>
      <c r="I2753" s="140" t="s">
        <v>21</v>
      </c>
      <c r="J2753" s="174"/>
    </row>
    <row r="2754" hidden="1" customHeight="1" spans="1:10">
      <c r="A2754" s="140" t="s">
        <v>515</v>
      </c>
      <c r="B2754" s="140" t="s">
        <v>487</v>
      </c>
      <c r="C2754" s="171">
        <v>45708</v>
      </c>
      <c r="D2754" s="172" t="s">
        <v>23</v>
      </c>
      <c r="E2754" s="140" t="s">
        <v>19</v>
      </c>
      <c r="F2754" s="140" t="s">
        <v>36</v>
      </c>
      <c r="G2754" s="140" t="s">
        <v>21</v>
      </c>
      <c r="H2754" s="140" t="s">
        <v>73</v>
      </c>
      <c r="I2754" s="140" t="s">
        <v>21</v>
      </c>
      <c r="J2754" s="174"/>
    </row>
    <row r="2755" customHeight="1" spans="1:10">
      <c r="A2755" s="140" t="s">
        <v>515</v>
      </c>
      <c r="B2755" s="140" t="s">
        <v>487</v>
      </c>
      <c r="C2755" s="171">
        <v>45709</v>
      </c>
      <c r="D2755" s="172" t="s">
        <v>25</v>
      </c>
      <c r="E2755" s="140" t="s">
        <v>19</v>
      </c>
      <c r="F2755" s="140" t="s">
        <v>516</v>
      </c>
      <c r="G2755" s="177" t="s">
        <v>103</v>
      </c>
      <c r="H2755" s="140" t="s">
        <v>517</v>
      </c>
      <c r="I2755" s="140" t="s">
        <v>21</v>
      </c>
      <c r="J2755" s="174" t="s">
        <v>270</v>
      </c>
    </row>
    <row r="2756" hidden="1" customHeight="1" spans="1:10">
      <c r="A2756" s="140" t="s">
        <v>515</v>
      </c>
      <c r="B2756" s="140" t="s">
        <v>487</v>
      </c>
      <c r="C2756" s="171">
        <v>45710</v>
      </c>
      <c r="D2756" s="172" t="s">
        <v>27</v>
      </c>
      <c r="E2756" s="173" t="s">
        <v>13</v>
      </c>
      <c r="F2756" s="140" t="s">
        <v>14</v>
      </c>
      <c r="G2756" s="140" t="s">
        <v>14</v>
      </c>
      <c r="H2756" s="140" t="s">
        <v>14</v>
      </c>
      <c r="I2756" s="140" t="s">
        <v>14</v>
      </c>
      <c r="J2756" s="174"/>
    </row>
    <row r="2757" hidden="1" customHeight="1" spans="1:10">
      <c r="A2757" s="140" t="s">
        <v>515</v>
      </c>
      <c r="B2757" s="140" t="s">
        <v>487</v>
      </c>
      <c r="C2757" s="171">
        <v>45711</v>
      </c>
      <c r="D2757" s="172" t="s">
        <v>15</v>
      </c>
      <c r="E2757" s="173" t="s">
        <v>13</v>
      </c>
      <c r="F2757" s="140" t="s">
        <v>14</v>
      </c>
      <c r="G2757" s="140" t="s">
        <v>14</v>
      </c>
      <c r="H2757" s="140" t="s">
        <v>14</v>
      </c>
      <c r="I2757" s="140" t="s">
        <v>14</v>
      </c>
      <c r="J2757" s="174"/>
    </row>
    <row r="2758" hidden="1" customHeight="1" spans="1:10">
      <c r="A2758" s="140" t="s">
        <v>515</v>
      </c>
      <c r="B2758" s="140" t="s">
        <v>487</v>
      </c>
      <c r="C2758" s="171">
        <v>45712</v>
      </c>
      <c r="D2758" s="172" t="s">
        <v>16</v>
      </c>
      <c r="E2758" s="140" t="s">
        <v>19</v>
      </c>
      <c r="F2758" s="140" t="s">
        <v>46</v>
      </c>
      <c r="G2758" s="140" t="s">
        <v>21</v>
      </c>
      <c r="H2758" s="140" t="s">
        <v>181</v>
      </c>
      <c r="I2758" s="140" t="s">
        <v>21</v>
      </c>
      <c r="J2758" s="174"/>
    </row>
    <row r="2759" hidden="1" customHeight="1" spans="1:10">
      <c r="A2759" s="140" t="s">
        <v>515</v>
      </c>
      <c r="B2759" s="140" t="s">
        <v>487</v>
      </c>
      <c r="C2759" s="171">
        <v>45713</v>
      </c>
      <c r="D2759" s="172" t="s">
        <v>17</v>
      </c>
      <c r="E2759" s="140" t="s">
        <v>19</v>
      </c>
      <c r="F2759" s="140" t="s">
        <v>36</v>
      </c>
      <c r="G2759" s="140" t="s">
        <v>21</v>
      </c>
      <c r="H2759" s="140" t="s">
        <v>53</v>
      </c>
      <c r="I2759" s="140" t="s">
        <v>21</v>
      </c>
      <c r="J2759" s="174"/>
    </row>
    <row r="2760" hidden="1" customHeight="1" spans="1:10">
      <c r="A2760" s="140" t="s">
        <v>515</v>
      </c>
      <c r="B2760" s="140" t="s">
        <v>487</v>
      </c>
      <c r="C2760" s="171">
        <v>45714</v>
      </c>
      <c r="D2760" s="172" t="s">
        <v>18</v>
      </c>
      <c r="E2760" s="140" t="s">
        <v>19</v>
      </c>
      <c r="F2760" s="140" t="s">
        <v>90</v>
      </c>
      <c r="G2760" s="140" t="s">
        <v>21</v>
      </c>
      <c r="H2760" s="140" t="s">
        <v>53</v>
      </c>
      <c r="I2760" s="140" t="s">
        <v>21</v>
      </c>
      <c r="J2760" s="174"/>
    </row>
    <row r="2761" customHeight="1" spans="1:10">
      <c r="A2761" s="140" t="s">
        <v>515</v>
      </c>
      <c r="B2761" s="140" t="s">
        <v>487</v>
      </c>
      <c r="C2761" s="171">
        <v>45715</v>
      </c>
      <c r="D2761" s="172" t="s">
        <v>23</v>
      </c>
      <c r="E2761" s="140" t="s">
        <v>19</v>
      </c>
      <c r="F2761" s="140" t="s">
        <v>162</v>
      </c>
      <c r="G2761" s="177" t="s">
        <v>103</v>
      </c>
      <c r="H2761" s="140" t="s">
        <v>206</v>
      </c>
      <c r="I2761" s="140" t="s">
        <v>21</v>
      </c>
      <c r="J2761" s="174" t="s">
        <v>69</v>
      </c>
    </row>
    <row r="2762" hidden="1" customHeight="1" spans="1:10">
      <c r="A2762" s="140" t="s">
        <v>515</v>
      </c>
      <c r="B2762" s="140" t="s">
        <v>487</v>
      </c>
      <c r="C2762" s="171">
        <v>45716</v>
      </c>
      <c r="D2762" s="172" t="s">
        <v>25</v>
      </c>
      <c r="E2762" s="140" t="s">
        <v>19</v>
      </c>
      <c r="F2762" s="140" t="s">
        <v>36</v>
      </c>
      <c r="G2762" s="140" t="s">
        <v>21</v>
      </c>
      <c r="H2762" s="140" t="s">
        <v>212</v>
      </c>
      <c r="I2762" s="140" t="s">
        <v>21</v>
      </c>
      <c r="J2762" s="174"/>
    </row>
    <row r="2763" customHeight="1" spans="1:10">
      <c r="A2763" s="140" t="s">
        <v>518</v>
      </c>
      <c r="B2763" s="140" t="s">
        <v>519</v>
      </c>
      <c r="C2763" s="171">
        <v>45693</v>
      </c>
      <c r="D2763" s="172" t="s">
        <v>18</v>
      </c>
      <c r="E2763" s="140" t="s">
        <v>19</v>
      </c>
      <c r="F2763" s="140" t="s">
        <v>14</v>
      </c>
      <c r="G2763" s="176" t="s">
        <v>68</v>
      </c>
      <c r="H2763" s="140" t="s">
        <v>210</v>
      </c>
      <c r="I2763" s="140" t="s">
        <v>21</v>
      </c>
      <c r="J2763" s="174" t="s">
        <v>204</v>
      </c>
    </row>
    <row r="2764" hidden="1" customHeight="1" spans="1:10">
      <c r="A2764" s="140" t="s">
        <v>518</v>
      </c>
      <c r="B2764" s="140" t="s">
        <v>519</v>
      </c>
      <c r="C2764" s="171">
        <v>45694</v>
      </c>
      <c r="D2764" s="172" t="s">
        <v>23</v>
      </c>
      <c r="E2764" s="140" t="s">
        <v>19</v>
      </c>
      <c r="F2764" s="140" t="s">
        <v>137</v>
      </c>
      <c r="G2764" s="140" t="s">
        <v>21</v>
      </c>
      <c r="H2764" s="140" t="s">
        <v>53</v>
      </c>
      <c r="I2764" s="140" t="s">
        <v>21</v>
      </c>
      <c r="J2764" s="174"/>
    </row>
    <row r="2765" hidden="1" customHeight="1" spans="1:10">
      <c r="A2765" s="140" t="s">
        <v>518</v>
      </c>
      <c r="B2765" s="140" t="s">
        <v>519</v>
      </c>
      <c r="C2765" s="171">
        <v>45695</v>
      </c>
      <c r="D2765" s="172" t="s">
        <v>25</v>
      </c>
      <c r="E2765" s="140" t="s">
        <v>19</v>
      </c>
      <c r="F2765" s="140" t="s">
        <v>177</v>
      </c>
      <c r="G2765" s="140" t="s">
        <v>21</v>
      </c>
      <c r="H2765" s="140" t="s">
        <v>73</v>
      </c>
      <c r="I2765" s="140" t="s">
        <v>21</v>
      </c>
      <c r="J2765" s="174"/>
    </row>
    <row r="2766" hidden="1" customHeight="1" spans="1:10">
      <c r="A2766" s="140" t="s">
        <v>518</v>
      </c>
      <c r="B2766" s="140" t="s">
        <v>519</v>
      </c>
      <c r="C2766" s="171">
        <v>45696</v>
      </c>
      <c r="D2766" s="172" t="s">
        <v>27</v>
      </c>
      <c r="E2766" s="140" t="s">
        <v>19</v>
      </c>
      <c r="F2766" s="140" t="s">
        <v>117</v>
      </c>
      <c r="G2766" s="140" t="s">
        <v>21</v>
      </c>
      <c r="H2766" s="140" t="s">
        <v>207</v>
      </c>
      <c r="I2766" s="140" t="s">
        <v>21</v>
      </c>
      <c r="J2766" s="174"/>
    </row>
    <row r="2767" hidden="1" customHeight="1" spans="1:10">
      <c r="A2767" s="140" t="s">
        <v>518</v>
      </c>
      <c r="B2767" s="140" t="s">
        <v>519</v>
      </c>
      <c r="C2767" s="171">
        <v>45697</v>
      </c>
      <c r="D2767" s="172" t="s">
        <v>15</v>
      </c>
      <c r="E2767" s="173" t="s">
        <v>13</v>
      </c>
      <c r="F2767" s="140" t="s">
        <v>14</v>
      </c>
      <c r="G2767" s="140" t="s">
        <v>14</v>
      </c>
      <c r="H2767" s="140" t="s">
        <v>14</v>
      </c>
      <c r="I2767" s="140" t="s">
        <v>14</v>
      </c>
      <c r="J2767" s="174"/>
    </row>
    <row r="2768" hidden="1" customHeight="1" spans="1:10">
      <c r="A2768" s="140" t="s">
        <v>518</v>
      </c>
      <c r="B2768" s="140" t="s">
        <v>519</v>
      </c>
      <c r="C2768" s="171">
        <v>45698</v>
      </c>
      <c r="D2768" s="172" t="s">
        <v>16</v>
      </c>
      <c r="E2768" s="140" t="s">
        <v>19</v>
      </c>
      <c r="F2768" s="140" t="s">
        <v>143</v>
      </c>
      <c r="G2768" s="140" t="s">
        <v>21</v>
      </c>
      <c r="H2768" s="140" t="s">
        <v>45</v>
      </c>
      <c r="I2768" s="140" t="s">
        <v>21</v>
      </c>
      <c r="J2768" s="174"/>
    </row>
    <row r="2769" hidden="1" customHeight="1" spans="1:10">
      <c r="A2769" s="140" t="s">
        <v>518</v>
      </c>
      <c r="B2769" s="140" t="s">
        <v>519</v>
      </c>
      <c r="C2769" s="171">
        <v>45699</v>
      </c>
      <c r="D2769" s="172" t="s">
        <v>17</v>
      </c>
      <c r="E2769" s="140" t="s">
        <v>19</v>
      </c>
      <c r="F2769" s="140" t="s">
        <v>107</v>
      </c>
      <c r="G2769" s="140" t="s">
        <v>21</v>
      </c>
      <c r="H2769" s="140" t="s">
        <v>170</v>
      </c>
      <c r="I2769" s="140" t="s">
        <v>21</v>
      </c>
      <c r="J2769" s="174"/>
    </row>
    <row r="2770" hidden="1" customHeight="1" spans="1:10">
      <c r="A2770" s="140" t="s">
        <v>518</v>
      </c>
      <c r="B2770" s="140" t="s">
        <v>519</v>
      </c>
      <c r="C2770" s="171">
        <v>45700</v>
      </c>
      <c r="D2770" s="172" t="s">
        <v>18</v>
      </c>
      <c r="E2770" s="140" t="s">
        <v>19</v>
      </c>
      <c r="F2770" s="140" t="s">
        <v>108</v>
      </c>
      <c r="G2770" s="140" t="s">
        <v>21</v>
      </c>
      <c r="H2770" s="140" t="s">
        <v>235</v>
      </c>
      <c r="I2770" s="140" t="s">
        <v>21</v>
      </c>
      <c r="J2770" s="174"/>
    </row>
    <row r="2771" hidden="1" customHeight="1" spans="1:10">
      <c r="A2771" s="140" t="s">
        <v>518</v>
      </c>
      <c r="B2771" s="140" t="s">
        <v>519</v>
      </c>
      <c r="C2771" s="171">
        <v>45701</v>
      </c>
      <c r="D2771" s="172" t="s">
        <v>23</v>
      </c>
      <c r="E2771" s="140" t="s">
        <v>19</v>
      </c>
      <c r="F2771" s="140" t="s">
        <v>195</v>
      </c>
      <c r="G2771" s="140" t="s">
        <v>21</v>
      </c>
      <c r="H2771" s="140" t="s">
        <v>45</v>
      </c>
      <c r="I2771" s="140" t="s">
        <v>21</v>
      </c>
      <c r="J2771" s="174"/>
    </row>
    <row r="2772" hidden="1" customHeight="1" spans="1:10">
      <c r="A2772" s="140" t="s">
        <v>518</v>
      </c>
      <c r="B2772" s="140" t="s">
        <v>519</v>
      </c>
      <c r="C2772" s="171">
        <v>45702</v>
      </c>
      <c r="D2772" s="172" t="s">
        <v>25</v>
      </c>
      <c r="E2772" s="140" t="s">
        <v>19</v>
      </c>
      <c r="F2772" s="140" t="s">
        <v>49</v>
      </c>
      <c r="G2772" s="140" t="s">
        <v>21</v>
      </c>
      <c r="H2772" s="140" t="s">
        <v>170</v>
      </c>
      <c r="I2772" s="140" t="s">
        <v>21</v>
      </c>
      <c r="J2772" s="174"/>
    </row>
    <row r="2773" hidden="1" customHeight="1" spans="1:10">
      <c r="A2773" s="140" t="s">
        <v>518</v>
      </c>
      <c r="B2773" s="140" t="s">
        <v>519</v>
      </c>
      <c r="C2773" s="171">
        <v>45703</v>
      </c>
      <c r="D2773" s="172" t="s">
        <v>27</v>
      </c>
      <c r="E2773" s="173" t="s">
        <v>13</v>
      </c>
      <c r="F2773" s="140" t="s">
        <v>14</v>
      </c>
      <c r="G2773" s="140" t="s">
        <v>14</v>
      </c>
      <c r="H2773" s="140" t="s">
        <v>14</v>
      </c>
      <c r="I2773" s="140" t="s">
        <v>14</v>
      </c>
      <c r="J2773" s="174"/>
    </row>
    <row r="2774" hidden="1" customHeight="1" spans="1:10">
      <c r="A2774" s="140" t="s">
        <v>518</v>
      </c>
      <c r="B2774" s="140" t="s">
        <v>519</v>
      </c>
      <c r="C2774" s="171">
        <v>45704</v>
      </c>
      <c r="D2774" s="172" t="s">
        <v>15</v>
      </c>
      <c r="E2774" s="173" t="s">
        <v>13</v>
      </c>
      <c r="F2774" s="140" t="s">
        <v>14</v>
      </c>
      <c r="G2774" s="140" t="s">
        <v>14</v>
      </c>
      <c r="H2774" s="140" t="s">
        <v>14</v>
      </c>
      <c r="I2774" s="140" t="s">
        <v>14</v>
      </c>
      <c r="J2774" s="174"/>
    </row>
    <row r="2775" hidden="1" customHeight="1" spans="1:10">
      <c r="A2775" s="140" t="s">
        <v>518</v>
      </c>
      <c r="B2775" s="140" t="s">
        <v>519</v>
      </c>
      <c r="C2775" s="171">
        <v>45705</v>
      </c>
      <c r="D2775" s="172" t="s">
        <v>16</v>
      </c>
      <c r="E2775" s="140" t="s">
        <v>19</v>
      </c>
      <c r="F2775" s="140" t="s">
        <v>98</v>
      </c>
      <c r="G2775" s="140" t="s">
        <v>21</v>
      </c>
      <c r="H2775" s="140" t="s">
        <v>50</v>
      </c>
      <c r="I2775" s="140" t="s">
        <v>21</v>
      </c>
      <c r="J2775" s="174"/>
    </row>
    <row r="2776" hidden="1" customHeight="1" spans="1:10">
      <c r="A2776" s="140" t="s">
        <v>518</v>
      </c>
      <c r="B2776" s="140" t="s">
        <v>519</v>
      </c>
      <c r="C2776" s="171">
        <v>45706</v>
      </c>
      <c r="D2776" s="172" t="s">
        <v>17</v>
      </c>
      <c r="E2776" s="140" t="s">
        <v>19</v>
      </c>
      <c r="F2776" s="140" t="s">
        <v>154</v>
      </c>
      <c r="G2776" s="140" t="s">
        <v>21</v>
      </c>
      <c r="H2776" s="140" t="s">
        <v>175</v>
      </c>
      <c r="I2776" s="140" t="s">
        <v>21</v>
      </c>
      <c r="J2776" s="174"/>
    </row>
    <row r="2777" customHeight="1" spans="1:10">
      <c r="A2777" s="140" t="s">
        <v>518</v>
      </c>
      <c r="B2777" s="140" t="s">
        <v>519</v>
      </c>
      <c r="C2777" s="171">
        <v>45707</v>
      </c>
      <c r="D2777" s="172" t="s">
        <v>18</v>
      </c>
      <c r="E2777" s="140" t="s">
        <v>19</v>
      </c>
      <c r="F2777" s="140" t="s">
        <v>14</v>
      </c>
      <c r="G2777" s="176" t="s">
        <v>68</v>
      </c>
      <c r="H2777" s="140" t="s">
        <v>205</v>
      </c>
      <c r="I2777" s="140" t="s">
        <v>21</v>
      </c>
      <c r="J2777" s="174" t="s">
        <v>69</v>
      </c>
    </row>
    <row r="2778" hidden="1" customHeight="1" spans="1:10">
      <c r="A2778" s="140" t="s">
        <v>518</v>
      </c>
      <c r="B2778" s="140" t="s">
        <v>519</v>
      </c>
      <c r="C2778" s="171">
        <v>45708</v>
      </c>
      <c r="D2778" s="172" t="s">
        <v>23</v>
      </c>
      <c r="E2778" s="140" t="s">
        <v>19</v>
      </c>
      <c r="F2778" s="140" t="s">
        <v>193</v>
      </c>
      <c r="G2778" s="140" t="s">
        <v>21</v>
      </c>
      <c r="H2778" s="140" t="s">
        <v>78</v>
      </c>
      <c r="I2778" s="140" t="s">
        <v>21</v>
      </c>
      <c r="J2778" s="174"/>
    </row>
    <row r="2779" hidden="1" customHeight="1" spans="1:10">
      <c r="A2779" s="140" t="s">
        <v>518</v>
      </c>
      <c r="B2779" s="140" t="s">
        <v>519</v>
      </c>
      <c r="C2779" s="171">
        <v>45709</v>
      </c>
      <c r="D2779" s="172" t="s">
        <v>25</v>
      </c>
      <c r="E2779" s="140" t="s">
        <v>19</v>
      </c>
      <c r="F2779" s="140" t="s">
        <v>51</v>
      </c>
      <c r="G2779" s="140" t="s">
        <v>21</v>
      </c>
      <c r="H2779" s="140" t="s">
        <v>170</v>
      </c>
      <c r="I2779" s="140" t="s">
        <v>21</v>
      </c>
      <c r="J2779" s="174"/>
    </row>
    <row r="2780" hidden="1" customHeight="1" spans="1:10">
      <c r="A2780" s="140" t="s">
        <v>518</v>
      </c>
      <c r="B2780" s="140" t="s">
        <v>519</v>
      </c>
      <c r="C2780" s="171">
        <v>45710</v>
      </c>
      <c r="D2780" s="172" t="s">
        <v>27</v>
      </c>
      <c r="E2780" s="173" t="s">
        <v>13</v>
      </c>
      <c r="F2780" s="140" t="s">
        <v>14</v>
      </c>
      <c r="G2780" s="140" t="s">
        <v>14</v>
      </c>
      <c r="H2780" s="140" t="s">
        <v>14</v>
      </c>
      <c r="I2780" s="140" t="s">
        <v>14</v>
      </c>
      <c r="J2780" s="174"/>
    </row>
    <row r="2781" hidden="1" customHeight="1" spans="1:10">
      <c r="A2781" s="140" t="s">
        <v>518</v>
      </c>
      <c r="B2781" s="140" t="s">
        <v>519</v>
      </c>
      <c r="C2781" s="171">
        <v>45711</v>
      </c>
      <c r="D2781" s="172" t="s">
        <v>15</v>
      </c>
      <c r="E2781" s="173" t="s">
        <v>13</v>
      </c>
      <c r="F2781" s="140" t="s">
        <v>14</v>
      </c>
      <c r="G2781" s="140" t="s">
        <v>14</v>
      </c>
      <c r="H2781" s="140" t="s">
        <v>14</v>
      </c>
      <c r="I2781" s="140" t="s">
        <v>14</v>
      </c>
      <c r="J2781" s="174"/>
    </row>
    <row r="2782" hidden="1" customHeight="1" spans="1:10">
      <c r="A2782" s="140" t="s">
        <v>518</v>
      </c>
      <c r="B2782" s="140" t="s">
        <v>519</v>
      </c>
      <c r="C2782" s="171">
        <v>45712</v>
      </c>
      <c r="D2782" s="172" t="s">
        <v>16</v>
      </c>
      <c r="E2782" s="140" t="s">
        <v>19</v>
      </c>
      <c r="F2782" s="140" t="s">
        <v>40</v>
      </c>
      <c r="G2782" s="140" t="s">
        <v>21</v>
      </c>
      <c r="H2782" s="140" t="s">
        <v>73</v>
      </c>
      <c r="I2782" s="140" t="s">
        <v>21</v>
      </c>
      <c r="J2782" s="174"/>
    </row>
    <row r="2783" hidden="1" customHeight="1" spans="1:10">
      <c r="A2783" s="140" t="s">
        <v>518</v>
      </c>
      <c r="B2783" s="140" t="s">
        <v>519</v>
      </c>
      <c r="C2783" s="171">
        <v>45713</v>
      </c>
      <c r="D2783" s="172" t="s">
        <v>17</v>
      </c>
      <c r="E2783" s="140" t="s">
        <v>19</v>
      </c>
      <c r="F2783" s="140" t="s">
        <v>195</v>
      </c>
      <c r="G2783" s="140" t="s">
        <v>21</v>
      </c>
      <c r="H2783" s="140" t="s">
        <v>175</v>
      </c>
      <c r="I2783" s="140" t="s">
        <v>21</v>
      </c>
      <c r="J2783" s="174"/>
    </row>
    <row r="2784" hidden="1" customHeight="1" spans="1:10">
      <c r="A2784" s="140" t="s">
        <v>518</v>
      </c>
      <c r="B2784" s="140" t="s">
        <v>519</v>
      </c>
      <c r="C2784" s="171">
        <v>45714</v>
      </c>
      <c r="D2784" s="172" t="s">
        <v>18</v>
      </c>
      <c r="E2784" s="140" t="s">
        <v>19</v>
      </c>
      <c r="F2784" s="140" t="s">
        <v>40</v>
      </c>
      <c r="G2784" s="140" t="s">
        <v>21</v>
      </c>
      <c r="H2784" s="140" t="s">
        <v>235</v>
      </c>
      <c r="I2784" s="140" t="s">
        <v>21</v>
      </c>
      <c r="J2784" s="174"/>
    </row>
    <row r="2785" hidden="1" customHeight="1" spans="1:10">
      <c r="A2785" s="140" t="s">
        <v>518</v>
      </c>
      <c r="B2785" s="140" t="s">
        <v>519</v>
      </c>
      <c r="C2785" s="171">
        <v>45715</v>
      </c>
      <c r="D2785" s="172" t="s">
        <v>23</v>
      </c>
      <c r="E2785" s="140" t="s">
        <v>19</v>
      </c>
      <c r="F2785" s="140" t="s">
        <v>188</v>
      </c>
      <c r="G2785" s="140" t="s">
        <v>21</v>
      </c>
      <c r="H2785" s="140" t="s">
        <v>50</v>
      </c>
      <c r="I2785" s="140" t="s">
        <v>21</v>
      </c>
      <c r="J2785" s="174"/>
    </row>
    <row r="2786" hidden="1" customHeight="1" spans="1:10">
      <c r="A2786" s="140" t="s">
        <v>518</v>
      </c>
      <c r="B2786" s="140" t="s">
        <v>519</v>
      </c>
      <c r="C2786" s="171">
        <v>45716</v>
      </c>
      <c r="D2786" s="172" t="s">
        <v>25</v>
      </c>
      <c r="E2786" s="140" t="s">
        <v>19</v>
      </c>
      <c r="F2786" s="140" t="s">
        <v>108</v>
      </c>
      <c r="G2786" s="140" t="s">
        <v>21</v>
      </c>
      <c r="H2786" s="140" t="s">
        <v>170</v>
      </c>
      <c r="I2786" s="140" t="s">
        <v>21</v>
      </c>
      <c r="J2786" s="174"/>
    </row>
    <row r="2787" hidden="1" customHeight="1" spans="1:10">
      <c r="A2787" s="140" t="s">
        <v>520</v>
      </c>
      <c r="B2787" s="140" t="s">
        <v>318</v>
      </c>
      <c r="C2787" s="171">
        <v>45689</v>
      </c>
      <c r="D2787" s="172" t="s">
        <v>12</v>
      </c>
      <c r="E2787" s="173" t="s">
        <v>13</v>
      </c>
      <c r="F2787" s="140" t="s">
        <v>14</v>
      </c>
      <c r="G2787" s="140" t="s">
        <v>14</v>
      </c>
      <c r="H2787" s="140" t="s">
        <v>14</v>
      </c>
      <c r="I2787" s="140" t="s">
        <v>14</v>
      </c>
      <c r="J2787" s="174"/>
    </row>
    <row r="2788" hidden="1" customHeight="1" spans="1:10">
      <c r="A2788" s="140" t="s">
        <v>520</v>
      </c>
      <c r="B2788" s="140" t="s">
        <v>318</v>
      </c>
      <c r="C2788" s="171">
        <v>45690</v>
      </c>
      <c r="D2788" s="172" t="s">
        <v>15</v>
      </c>
      <c r="E2788" s="173" t="s">
        <v>13</v>
      </c>
      <c r="F2788" s="140" t="s">
        <v>14</v>
      </c>
      <c r="G2788" s="140" t="s">
        <v>14</v>
      </c>
      <c r="H2788" s="140" t="s">
        <v>14</v>
      </c>
      <c r="I2788" s="140" t="s">
        <v>14</v>
      </c>
      <c r="J2788" s="174"/>
    </row>
    <row r="2789" hidden="1" customHeight="1" spans="1:10">
      <c r="A2789" s="140" t="s">
        <v>520</v>
      </c>
      <c r="B2789" s="140" t="s">
        <v>318</v>
      </c>
      <c r="C2789" s="171">
        <v>45691</v>
      </c>
      <c r="D2789" s="172" t="s">
        <v>16</v>
      </c>
      <c r="E2789" s="173" t="s">
        <v>13</v>
      </c>
      <c r="F2789" s="140" t="s">
        <v>14</v>
      </c>
      <c r="G2789" s="140" t="s">
        <v>14</v>
      </c>
      <c r="H2789" s="140" t="s">
        <v>14</v>
      </c>
      <c r="I2789" s="140" t="s">
        <v>14</v>
      </c>
      <c r="J2789" s="174"/>
    </row>
    <row r="2790" hidden="1" customHeight="1" spans="1:10">
      <c r="A2790" s="140" t="s">
        <v>520</v>
      </c>
      <c r="B2790" s="140" t="s">
        <v>318</v>
      </c>
      <c r="C2790" s="171">
        <v>45692</v>
      </c>
      <c r="D2790" s="172" t="s">
        <v>17</v>
      </c>
      <c r="E2790" s="173" t="s">
        <v>13</v>
      </c>
      <c r="F2790" s="140" t="s">
        <v>14</v>
      </c>
      <c r="G2790" s="140" t="s">
        <v>14</v>
      </c>
      <c r="H2790" s="140" t="s">
        <v>14</v>
      </c>
      <c r="I2790" s="140" t="s">
        <v>14</v>
      </c>
      <c r="J2790" s="174"/>
    </row>
    <row r="2791" hidden="1" customHeight="1" spans="1:10">
      <c r="A2791" s="140" t="s">
        <v>520</v>
      </c>
      <c r="B2791" s="140" t="s">
        <v>318</v>
      </c>
      <c r="C2791" s="171">
        <v>45693</v>
      </c>
      <c r="D2791" s="172" t="s">
        <v>18</v>
      </c>
      <c r="E2791" s="140" t="s">
        <v>19</v>
      </c>
      <c r="F2791" s="140" t="s">
        <v>28</v>
      </c>
      <c r="G2791" s="140" t="s">
        <v>21</v>
      </c>
      <c r="H2791" s="140" t="s">
        <v>178</v>
      </c>
      <c r="I2791" s="140" t="s">
        <v>21</v>
      </c>
      <c r="J2791" s="174"/>
    </row>
    <row r="2792" hidden="1" customHeight="1" spans="1:10">
      <c r="A2792" s="140" t="s">
        <v>520</v>
      </c>
      <c r="B2792" s="140" t="s">
        <v>318</v>
      </c>
      <c r="C2792" s="171">
        <v>45694</v>
      </c>
      <c r="D2792" s="172" t="s">
        <v>23</v>
      </c>
      <c r="E2792" s="140" t="s">
        <v>19</v>
      </c>
      <c r="F2792" s="140" t="s">
        <v>36</v>
      </c>
      <c r="G2792" s="140" t="s">
        <v>21</v>
      </c>
      <c r="H2792" s="140" t="s">
        <v>130</v>
      </c>
      <c r="I2792" s="140" t="s">
        <v>21</v>
      </c>
      <c r="J2792" s="174"/>
    </row>
    <row r="2793" hidden="1" customHeight="1" spans="1:10">
      <c r="A2793" s="140" t="s">
        <v>520</v>
      </c>
      <c r="B2793" s="140" t="s">
        <v>318</v>
      </c>
      <c r="C2793" s="171">
        <v>45695</v>
      </c>
      <c r="D2793" s="172" t="s">
        <v>25</v>
      </c>
      <c r="E2793" s="140" t="s">
        <v>19</v>
      </c>
      <c r="F2793" s="140" t="s">
        <v>33</v>
      </c>
      <c r="G2793" s="140" t="s">
        <v>21</v>
      </c>
      <c r="H2793" s="140" t="s">
        <v>66</v>
      </c>
      <c r="I2793" s="140" t="s">
        <v>21</v>
      </c>
      <c r="J2793" s="174"/>
    </row>
    <row r="2794" hidden="1" customHeight="1" spans="1:10">
      <c r="A2794" s="140" t="s">
        <v>520</v>
      </c>
      <c r="B2794" s="140" t="s">
        <v>318</v>
      </c>
      <c r="C2794" s="171">
        <v>45696</v>
      </c>
      <c r="D2794" s="172" t="s">
        <v>27</v>
      </c>
      <c r="E2794" s="140" t="s">
        <v>19</v>
      </c>
      <c r="F2794" s="140" t="s">
        <v>28</v>
      </c>
      <c r="G2794" s="140" t="s">
        <v>21</v>
      </c>
      <c r="H2794" s="140" t="s">
        <v>65</v>
      </c>
      <c r="I2794" s="140" t="s">
        <v>21</v>
      </c>
      <c r="J2794" s="174"/>
    </row>
    <row r="2795" hidden="1" customHeight="1" spans="1:10">
      <c r="A2795" s="140" t="s">
        <v>520</v>
      </c>
      <c r="B2795" s="140" t="s">
        <v>318</v>
      </c>
      <c r="C2795" s="171">
        <v>45697</v>
      </c>
      <c r="D2795" s="172" t="s">
        <v>15</v>
      </c>
      <c r="E2795" s="173" t="s">
        <v>13</v>
      </c>
      <c r="F2795" s="140" t="s">
        <v>14</v>
      </c>
      <c r="G2795" s="140" t="s">
        <v>14</v>
      </c>
      <c r="H2795" s="140" t="s">
        <v>14</v>
      </c>
      <c r="I2795" s="140" t="s">
        <v>14</v>
      </c>
      <c r="J2795" s="174"/>
    </row>
    <row r="2796" hidden="1" customHeight="1" spans="1:10">
      <c r="A2796" s="140" t="s">
        <v>520</v>
      </c>
      <c r="B2796" s="140" t="s">
        <v>318</v>
      </c>
      <c r="C2796" s="171">
        <v>45698</v>
      </c>
      <c r="D2796" s="172" t="s">
        <v>16</v>
      </c>
      <c r="E2796" s="140" t="s">
        <v>19</v>
      </c>
      <c r="F2796" s="140" t="s">
        <v>43</v>
      </c>
      <c r="G2796" s="140" t="s">
        <v>21</v>
      </c>
      <c r="H2796" s="140" t="s">
        <v>153</v>
      </c>
      <c r="I2796" s="140" t="s">
        <v>21</v>
      </c>
      <c r="J2796" s="174"/>
    </row>
    <row r="2797" hidden="1" customHeight="1" spans="1:10">
      <c r="A2797" s="140" t="s">
        <v>520</v>
      </c>
      <c r="B2797" s="140" t="s">
        <v>318</v>
      </c>
      <c r="C2797" s="171">
        <v>45699</v>
      </c>
      <c r="D2797" s="172" t="s">
        <v>17</v>
      </c>
      <c r="E2797" s="140" t="s">
        <v>19</v>
      </c>
      <c r="F2797" s="140" t="s">
        <v>46</v>
      </c>
      <c r="G2797" s="140" t="s">
        <v>21</v>
      </c>
      <c r="H2797" s="140" t="s">
        <v>44</v>
      </c>
      <c r="I2797" s="140" t="s">
        <v>21</v>
      </c>
      <c r="J2797" s="174"/>
    </row>
    <row r="2798" hidden="1" customHeight="1" spans="1:10">
      <c r="A2798" s="140" t="s">
        <v>520</v>
      </c>
      <c r="B2798" s="140" t="s">
        <v>318</v>
      </c>
      <c r="C2798" s="171">
        <v>45700</v>
      </c>
      <c r="D2798" s="172" t="s">
        <v>18</v>
      </c>
      <c r="E2798" s="140" t="s">
        <v>19</v>
      </c>
      <c r="F2798" s="140" t="s">
        <v>33</v>
      </c>
      <c r="G2798" s="140" t="s">
        <v>21</v>
      </c>
      <c r="H2798" s="140" t="s">
        <v>249</v>
      </c>
      <c r="I2798" s="140" t="s">
        <v>21</v>
      </c>
      <c r="J2798" s="174"/>
    </row>
    <row r="2799" hidden="1" customHeight="1" spans="1:10">
      <c r="A2799" s="140" t="s">
        <v>520</v>
      </c>
      <c r="B2799" s="140" t="s">
        <v>318</v>
      </c>
      <c r="C2799" s="171">
        <v>45701</v>
      </c>
      <c r="D2799" s="172" t="s">
        <v>23</v>
      </c>
      <c r="E2799" s="140" t="s">
        <v>19</v>
      </c>
      <c r="F2799" s="140" t="s">
        <v>46</v>
      </c>
      <c r="G2799" s="140" t="s">
        <v>21</v>
      </c>
      <c r="H2799" s="140" t="s">
        <v>130</v>
      </c>
      <c r="I2799" s="140" t="s">
        <v>21</v>
      </c>
      <c r="J2799" s="174"/>
    </row>
    <row r="2800" hidden="1" customHeight="1" spans="1:10">
      <c r="A2800" s="140" t="s">
        <v>520</v>
      </c>
      <c r="B2800" s="140" t="s">
        <v>318</v>
      </c>
      <c r="C2800" s="171">
        <v>45702</v>
      </c>
      <c r="D2800" s="172" t="s">
        <v>25</v>
      </c>
      <c r="E2800" s="140" t="s">
        <v>19</v>
      </c>
      <c r="F2800" s="140" t="s">
        <v>51</v>
      </c>
      <c r="G2800" s="140" t="s">
        <v>21</v>
      </c>
      <c r="H2800" s="140" t="s">
        <v>202</v>
      </c>
      <c r="I2800" s="140" t="s">
        <v>21</v>
      </c>
      <c r="J2800" s="174"/>
    </row>
    <row r="2801" hidden="1" customHeight="1" spans="1:10">
      <c r="A2801" s="140" t="s">
        <v>520</v>
      </c>
      <c r="B2801" s="140" t="s">
        <v>318</v>
      </c>
      <c r="C2801" s="171">
        <v>45703</v>
      </c>
      <c r="D2801" s="172" t="s">
        <v>27</v>
      </c>
      <c r="E2801" s="173" t="s">
        <v>13</v>
      </c>
      <c r="F2801" s="140" t="s">
        <v>14</v>
      </c>
      <c r="G2801" s="140" t="s">
        <v>14</v>
      </c>
      <c r="H2801" s="140" t="s">
        <v>14</v>
      </c>
      <c r="I2801" s="140" t="s">
        <v>14</v>
      </c>
      <c r="J2801" s="174"/>
    </row>
    <row r="2802" hidden="1" customHeight="1" spans="1:10">
      <c r="A2802" s="140" t="s">
        <v>520</v>
      </c>
      <c r="B2802" s="140" t="s">
        <v>318</v>
      </c>
      <c r="C2802" s="171">
        <v>45704</v>
      </c>
      <c r="D2802" s="172" t="s">
        <v>15</v>
      </c>
      <c r="E2802" s="173" t="s">
        <v>13</v>
      </c>
      <c r="F2802" s="140" t="s">
        <v>14</v>
      </c>
      <c r="G2802" s="140" t="s">
        <v>14</v>
      </c>
      <c r="H2802" s="140" t="s">
        <v>14</v>
      </c>
      <c r="I2802" s="140" t="s">
        <v>14</v>
      </c>
      <c r="J2802" s="174"/>
    </row>
    <row r="2803" hidden="1" customHeight="1" spans="1:10">
      <c r="A2803" s="140" t="s">
        <v>520</v>
      </c>
      <c r="B2803" s="140" t="s">
        <v>318</v>
      </c>
      <c r="C2803" s="171">
        <v>45705</v>
      </c>
      <c r="D2803" s="172" t="s">
        <v>16</v>
      </c>
      <c r="E2803" s="140" t="s">
        <v>19</v>
      </c>
      <c r="F2803" s="140" t="s">
        <v>169</v>
      </c>
      <c r="G2803" s="140" t="s">
        <v>21</v>
      </c>
      <c r="H2803" s="140" t="s">
        <v>160</v>
      </c>
      <c r="I2803" s="140" t="s">
        <v>21</v>
      </c>
      <c r="J2803" s="174"/>
    </row>
    <row r="2804" hidden="1" customHeight="1" spans="1:10">
      <c r="A2804" s="140" t="s">
        <v>520</v>
      </c>
      <c r="B2804" s="140" t="s">
        <v>318</v>
      </c>
      <c r="C2804" s="171">
        <v>45706</v>
      </c>
      <c r="D2804" s="172" t="s">
        <v>17</v>
      </c>
      <c r="E2804" s="140" t="s">
        <v>19</v>
      </c>
      <c r="F2804" s="140" t="s">
        <v>84</v>
      </c>
      <c r="G2804" s="140" t="s">
        <v>21</v>
      </c>
      <c r="H2804" s="140" t="s">
        <v>340</v>
      </c>
      <c r="I2804" s="140" t="s">
        <v>21</v>
      </c>
      <c r="J2804" s="174"/>
    </row>
    <row r="2805" hidden="1" customHeight="1" spans="1:10">
      <c r="A2805" s="140" t="s">
        <v>520</v>
      </c>
      <c r="B2805" s="140" t="s">
        <v>318</v>
      </c>
      <c r="C2805" s="171">
        <v>45707</v>
      </c>
      <c r="D2805" s="172" t="s">
        <v>18</v>
      </c>
      <c r="E2805" s="140" t="s">
        <v>19</v>
      </c>
      <c r="F2805" s="140" t="s">
        <v>74</v>
      </c>
      <c r="G2805" s="140" t="s">
        <v>21</v>
      </c>
      <c r="H2805" s="140" t="s">
        <v>50</v>
      </c>
      <c r="I2805" s="140" t="s">
        <v>21</v>
      </c>
      <c r="J2805" s="174"/>
    </row>
    <row r="2806" hidden="1" customHeight="1" spans="1:10">
      <c r="A2806" s="140" t="s">
        <v>520</v>
      </c>
      <c r="B2806" s="140" t="s">
        <v>318</v>
      </c>
      <c r="C2806" s="171">
        <v>45708</v>
      </c>
      <c r="D2806" s="172" t="s">
        <v>23</v>
      </c>
      <c r="E2806" s="140" t="s">
        <v>19</v>
      </c>
      <c r="F2806" s="140" t="s">
        <v>133</v>
      </c>
      <c r="G2806" s="140" t="s">
        <v>21</v>
      </c>
      <c r="H2806" s="140" t="s">
        <v>283</v>
      </c>
      <c r="I2806" s="140" t="s">
        <v>21</v>
      </c>
      <c r="J2806" s="174"/>
    </row>
    <row r="2807" hidden="1" customHeight="1" spans="1:10">
      <c r="A2807" s="140" t="s">
        <v>520</v>
      </c>
      <c r="B2807" s="140" t="s">
        <v>318</v>
      </c>
      <c r="C2807" s="171">
        <v>45709</v>
      </c>
      <c r="D2807" s="172" t="s">
        <v>25</v>
      </c>
      <c r="E2807" s="140" t="s">
        <v>19</v>
      </c>
      <c r="F2807" s="140" t="s">
        <v>169</v>
      </c>
      <c r="G2807" s="140" t="s">
        <v>21</v>
      </c>
      <c r="H2807" s="140" t="s">
        <v>45</v>
      </c>
      <c r="I2807" s="140" t="s">
        <v>21</v>
      </c>
      <c r="J2807" s="174"/>
    </row>
    <row r="2808" hidden="1" customHeight="1" spans="1:10">
      <c r="A2808" s="140" t="s">
        <v>520</v>
      </c>
      <c r="B2808" s="140" t="s">
        <v>318</v>
      </c>
      <c r="C2808" s="171">
        <v>45710</v>
      </c>
      <c r="D2808" s="172" t="s">
        <v>27</v>
      </c>
      <c r="E2808" s="173" t="s">
        <v>13</v>
      </c>
      <c r="F2808" s="140" t="s">
        <v>14</v>
      </c>
      <c r="G2808" s="140" t="s">
        <v>14</v>
      </c>
      <c r="H2808" s="140" t="s">
        <v>14</v>
      </c>
      <c r="I2808" s="140" t="s">
        <v>14</v>
      </c>
      <c r="J2808" s="174"/>
    </row>
    <row r="2809" hidden="1" customHeight="1" spans="1:10">
      <c r="A2809" s="140" t="s">
        <v>520</v>
      </c>
      <c r="B2809" s="140" t="s">
        <v>318</v>
      </c>
      <c r="C2809" s="171">
        <v>45711</v>
      </c>
      <c r="D2809" s="172" t="s">
        <v>15</v>
      </c>
      <c r="E2809" s="173" t="s">
        <v>13</v>
      </c>
      <c r="F2809" s="140" t="s">
        <v>14</v>
      </c>
      <c r="G2809" s="140" t="s">
        <v>14</v>
      </c>
      <c r="H2809" s="140" t="s">
        <v>14</v>
      </c>
      <c r="I2809" s="140" t="s">
        <v>14</v>
      </c>
      <c r="J2809" s="174"/>
    </row>
    <row r="2810" hidden="1" customHeight="1" spans="1:10">
      <c r="A2810" s="140" t="s">
        <v>520</v>
      </c>
      <c r="B2810" s="140" t="s">
        <v>318</v>
      </c>
      <c r="C2810" s="171">
        <v>45712</v>
      </c>
      <c r="D2810" s="172" t="s">
        <v>16</v>
      </c>
      <c r="E2810" s="140" t="s">
        <v>19</v>
      </c>
      <c r="F2810" s="140" t="s">
        <v>188</v>
      </c>
      <c r="G2810" s="140" t="s">
        <v>21</v>
      </c>
      <c r="H2810" s="140" t="s">
        <v>243</v>
      </c>
      <c r="I2810" s="140" t="s">
        <v>21</v>
      </c>
      <c r="J2810" s="174"/>
    </row>
    <row r="2811" hidden="1" customHeight="1" spans="1:10">
      <c r="A2811" s="140" t="s">
        <v>520</v>
      </c>
      <c r="B2811" s="140" t="s">
        <v>318</v>
      </c>
      <c r="C2811" s="171">
        <v>45713</v>
      </c>
      <c r="D2811" s="172" t="s">
        <v>17</v>
      </c>
      <c r="E2811" s="140" t="s">
        <v>19</v>
      </c>
      <c r="F2811" s="140" t="s">
        <v>36</v>
      </c>
      <c r="G2811" s="140" t="s">
        <v>21</v>
      </c>
      <c r="H2811" s="140" t="s">
        <v>194</v>
      </c>
      <c r="I2811" s="140" t="s">
        <v>21</v>
      </c>
      <c r="J2811" s="174"/>
    </row>
    <row r="2812" hidden="1" customHeight="1" spans="1:10">
      <c r="A2812" s="140" t="s">
        <v>520</v>
      </c>
      <c r="B2812" s="140" t="s">
        <v>318</v>
      </c>
      <c r="C2812" s="171">
        <v>45714</v>
      </c>
      <c r="D2812" s="172" t="s">
        <v>18</v>
      </c>
      <c r="E2812" s="140" t="s">
        <v>19</v>
      </c>
      <c r="F2812" s="140" t="s">
        <v>51</v>
      </c>
      <c r="G2812" s="140" t="s">
        <v>21</v>
      </c>
      <c r="H2812" s="140" t="s">
        <v>161</v>
      </c>
      <c r="I2812" s="140" t="s">
        <v>21</v>
      </c>
      <c r="J2812" s="174"/>
    </row>
    <row r="2813" hidden="1" customHeight="1" spans="1:10">
      <c r="A2813" s="140" t="s">
        <v>520</v>
      </c>
      <c r="B2813" s="140" t="s">
        <v>318</v>
      </c>
      <c r="C2813" s="171">
        <v>45715</v>
      </c>
      <c r="D2813" s="172" t="s">
        <v>23</v>
      </c>
      <c r="E2813" s="140" t="s">
        <v>19</v>
      </c>
      <c r="F2813" s="140" t="s">
        <v>33</v>
      </c>
      <c r="G2813" s="140" t="s">
        <v>21</v>
      </c>
      <c r="H2813" s="140" t="s">
        <v>496</v>
      </c>
      <c r="I2813" s="140" t="s">
        <v>21</v>
      </c>
      <c r="J2813" s="174"/>
    </row>
    <row r="2814" hidden="1" customHeight="1" spans="1:10">
      <c r="A2814" s="140" t="s">
        <v>520</v>
      </c>
      <c r="B2814" s="140" t="s">
        <v>318</v>
      </c>
      <c r="C2814" s="171">
        <v>45716</v>
      </c>
      <c r="D2814" s="172" t="s">
        <v>25</v>
      </c>
      <c r="E2814" s="140" t="s">
        <v>19</v>
      </c>
      <c r="F2814" s="140" t="s">
        <v>30</v>
      </c>
      <c r="G2814" s="140" t="s">
        <v>21</v>
      </c>
      <c r="H2814" s="140" t="s">
        <v>321</v>
      </c>
      <c r="I2814" s="140" t="s">
        <v>21</v>
      </c>
      <c r="J2814" s="174"/>
    </row>
    <row r="2815" hidden="1" customHeight="1" spans="1:10">
      <c r="A2815" s="140" t="s">
        <v>521</v>
      </c>
      <c r="B2815" s="140" t="s">
        <v>398</v>
      </c>
      <c r="C2815" s="171">
        <v>45689</v>
      </c>
      <c r="D2815" s="172" t="s">
        <v>12</v>
      </c>
      <c r="E2815" s="173" t="s">
        <v>13</v>
      </c>
      <c r="F2815" s="140" t="s">
        <v>14</v>
      </c>
      <c r="G2815" s="140" t="s">
        <v>14</v>
      </c>
      <c r="H2815" s="140" t="s">
        <v>14</v>
      </c>
      <c r="I2815" s="140" t="s">
        <v>14</v>
      </c>
      <c r="J2815" s="174"/>
    </row>
    <row r="2816" hidden="1" customHeight="1" spans="1:10">
      <c r="A2816" s="140" t="s">
        <v>521</v>
      </c>
      <c r="B2816" s="140" t="s">
        <v>398</v>
      </c>
      <c r="C2816" s="171">
        <v>45690</v>
      </c>
      <c r="D2816" s="172" t="s">
        <v>15</v>
      </c>
      <c r="E2816" s="173" t="s">
        <v>13</v>
      </c>
      <c r="F2816" s="140" t="s">
        <v>14</v>
      </c>
      <c r="G2816" s="140" t="s">
        <v>14</v>
      </c>
      <c r="H2816" s="140" t="s">
        <v>14</v>
      </c>
      <c r="I2816" s="140" t="s">
        <v>14</v>
      </c>
      <c r="J2816" s="174"/>
    </row>
    <row r="2817" hidden="1" customHeight="1" spans="1:10">
      <c r="A2817" s="140" t="s">
        <v>521</v>
      </c>
      <c r="B2817" s="140" t="s">
        <v>398</v>
      </c>
      <c r="C2817" s="171">
        <v>45691</v>
      </c>
      <c r="D2817" s="172" t="s">
        <v>16</v>
      </c>
      <c r="E2817" s="173" t="s">
        <v>13</v>
      </c>
      <c r="F2817" s="140" t="s">
        <v>14</v>
      </c>
      <c r="G2817" s="140" t="s">
        <v>14</v>
      </c>
      <c r="H2817" s="140" t="s">
        <v>14</v>
      </c>
      <c r="I2817" s="140" t="s">
        <v>14</v>
      </c>
      <c r="J2817" s="174"/>
    </row>
    <row r="2818" hidden="1" customHeight="1" spans="1:10">
      <c r="A2818" s="140" t="s">
        <v>521</v>
      </c>
      <c r="B2818" s="140" t="s">
        <v>398</v>
      </c>
      <c r="C2818" s="171">
        <v>45692</v>
      </c>
      <c r="D2818" s="172" t="s">
        <v>17</v>
      </c>
      <c r="E2818" s="173" t="s">
        <v>13</v>
      </c>
      <c r="F2818" s="140" t="s">
        <v>14</v>
      </c>
      <c r="G2818" s="140" t="s">
        <v>14</v>
      </c>
      <c r="H2818" s="140" t="s">
        <v>14</v>
      </c>
      <c r="I2818" s="140" t="s">
        <v>14</v>
      </c>
      <c r="J2818" s="174"/>
    </row>
    <row r="2819" customHeight="1" spans="1:10">
      <c r="A2819" s="140" t="s">
        <v>521</v>
      </c>
      <c r="B2819" s="140" t="s">
        <v>398</v>
      </c>
      <c r="C2819" s="171">
        <v>45693</v>
      </c>
      <c r="D2819" s="172" t="s">
        <v>18</v>
      </c>
      <c r="E2819" s="140" t="s">
        <v>19</v>
      </c>
      <c r="F2819" s="140" t="s">
        <v>14</v>
      </c>
      <c r="G2819" s="176" t="s">
        <v>68</v>
      </c>
      <c r="H2819" s="140" t="s">
        <v>14</v>
      </c>
      <c r="I2819" s="176" t="s">
        <v>68</v>
      </c>
      <c r="J2819" s="174" t="s">
        <v>234</v>
      </c>
    </row>
    <row r="2820" hidden="1" customHeight="1" spans="1:10">
      <c r="A2820" s="140" t="s">
        <v>521</v>
      </c>
      <c r="B2820" s="140" t="s">
        <v>398</v>
      </c>
      <c r="C2820" s="171">
        <v>45694</v>
      </c>
      <c r="D2820" s="172" t="s">
        <v>23</v>
      </c>
      <c r="E2820" s="140" t="s">
        <v>19</v>
      </c>
      <c r="F2820" s="140" t="s">
        <v>143</v>
      </c>
      <c r="G2820" s="140" t="s">
        <v>21</v>
      </c>
      <c r="H2820" s="140" t="s">
        <v>273</v>
      </c>
      <c r="I2820" s="140" t="s">
        <v>21</v>
      </c>
      <c r="J2820" s="174"/>
    </row>
    <row r="2821" hidden="1" customHeight="1" spans="1:10">
      <c r="A2821" s="140" t="s">
        <v>521</v>
      </c>
      <c r="B2821" s="140" t="s">
        <v>398</v>
      </c>
      <c r="C2821" s="171">
        <v>45695</v>
      </c>
      <c r="D2821" s="172" t="s">
        <v>25</v>
      </c>
      <c r="E2821" s="140" t="s">
        <v>19</v>
      </c>
      <c r="F2821" s="140" t="s">
        <v>135</v>
      </c>
      <c r="G2821" s="140" t="s">
        <v>21</v>
      </c>
      <c r="H2821" s="140" t="s">
        <v>128</v>
      </c>
      <c r="I2821" s="140" t="s">
        <v>21</v>
      </c>
      <c r="J2821" s="174"/>
    </row>
    <row r="2822" hidden="1" customHeight="1" spans="1:10">
      <c r="A2822" s="140" t="s">
        <v>521</v>
      </c>
      <c r="B2822" s="140" t="s">
        <v>398</v>
      </c>
      <c r="C2822" s="171">
        <v>45696</v>
      </c>
      <c r="D2822" s="172" t="s">
        <v>27</v>
      </c>
      <c r="E2822" s="140" t="s">
        <v>19</v>
      </c>
      <c r="F2822" s="140" t="s">
        <v>107</v>
      </c>
      <c r="G2822" s="140" t="s">
        <v>21</v>
      </c>
      <c r="H2822" s="140" t="s">
        <v>50</v>
      </c>
      <c r="I2822" s="140" t="s">
        <v>21</v>
      </c>
      <c r="J2822" s="174"/>
    </row>
    <row r="2823" hidden="1" customHeight="1" spans="1:10">
      <c r="A2823" s="140" t="s">
        <v>521</v>
      </c>
      <c r="B2823" s="140" t="s">
        <v>398</v>
      </c>
      <c r="C2823" s="171">
        <v>45697</v>
      </c>
      <c r="D2823" s="172" t="s">
        <v>15</v>
      </c>
      <c r="E2823" s="173" t="s">
        <v>13</v>
      </c>
      <c r="F2823" s="140" t="s">
        <v>14</v>
      </c>
      <c r="G2823" s="140" t="s">
        <v>14</v>
      </c>
      <c r="H2823" s="140" t="s">
        <v>14</v>
      </c>
      <c r="I2823" s="140" t="s">
        <v>14</v>
      </c>
      <c r="J2823" s="174"/>
    </row>
    <row r="2824" hidden="1" customHeight="1" spans="1:10">
      <c r="A2824" s="140" t="s">
        <v>521</v>
      </c>
      <c r="B2824" s="140" t="s">
        <v>398</v>
      </c>
      <c r="C2824" s="171">
        <v>45698</v>
      </c>
      <c r="D2824" s="172" t="s">
        <v>16</v>
      </c>
      <c r="E2824" s="140" t="s">
        <v>19</v>
      </c>
      <c r="F2824" s="140" t="s">
        <v>177</v>
      </c>
      <c r="G2824" s="140" t="s">
        <v>21</v>
      </c>
      <c r="H2824" s="140" t="s">
        <v>163</v>
      </c>
      <c r="I2824" s="140" t="s">
        <v>21</v>
      </c>
      <c r="J2824" s="174"/>
    </row>
    <row r="2825" hidden="1" customHeight="1" spans="1:10">
      <c r="A2825" s="140" t="s">
        <v>521</v>
      </c>
      <c r="B2825" s="140" t="s">
        <v>398</v>
      </c>
      <c r="C2825" s="171">
        <v>45699</v>
      </c>
      <c r="D2825" s="172" t="s">
        <v>17</v>
      </c>
      <c r="E2825" s="140" t="s">
        <v>19</v>
      </c>
      <c r="F2825" s="140" t="s">
        <v>143</v>
      </c>
      <c r="G2825" s="140" t="s">
        <v>21</v>
      </c>
      <c r="H2825" s="140" t="s">
        <v>333</v>
      </c>
      <c r="I2825" s="140" t="s">
        <v>21</v>
      </c>
      <c r="J2825" s="174"/>
    </row>
    <row r="2826" hidden="1" customHeight="1" spans="1:10">
      <c r="A2826" s="140" t="s">
        <v>521</v>
      </c>
      <c r="B2826" s="140" t="s">
        <v>398</v>
      </c>
      <c r="C2826" s="171">
        <v>45700</v>
      </c>
      <c r="D2826" s="172" t="s">
        <v>18</v>
      </c>
      <c r="E2826" s="140" t="s">
        <v>19</v>
      </c>
      <c r="F2826" s="140" t="s">
        <v>98</v>
      </c>
      <c r="G2826" s="140" t="s">
        <v>21</v>
      </c>
      <c r="H2826" s="140" t="s">
        <v>202</v>
      </c>
      <c r="I2826" s="140" t="s">
        <v>21</v>
      </c>
      <c r="J2826" s="174"/>
    </row>
    <row r="2827" hidden="1" customHeight="1" spans="1:10">
      <c r="A2827" s="140" t="s">
        <v>521</v>
      </c>
      <c r="B2827" s="140" t="s">
        <v>398</v>
      </c>
      <c r="C2827" s="171">
        <v>45701</v>
      </c>
      <c r="D2827" s="172" t="s">
        <v>23</v>
      </c>
      <c r="E2827" s="140" t="s">
        <v>19</v>
      </c>
      <c r="F2827" s="140" t="s">
        <v>117</v>
      </c>
      <c r="G2827" s="140" t="s">
        <v>21</v>
      </c>
      <c r="H2827" s="140" t="s">
        <v>368</v>
      </c>
      <c r="I2827" s="140" t="s">
        <v>21</v>
      </c>
      <c r="J2827" s="174"/>
    </row>
    <row r="2828" hidden="1" customHeight="1" spans="1:10">
      <c r="A2828" s="140" t="s">
        <v>521</v>
      </c>
      <c r="B2828" s="140" t="s">
        <v>398</v>
      </c>
      <c r="C2828" s="171">
        <v>45702</v>
      </c>
      <c r="D2828" s="172" t="s">
        <v>25</v>
      </c>
      <c r="E2828" s="140" t="s">
        <v>19</v>
      </c>
      <c r="F2828" s="140" t="s">
        <v>107</v>
      </c>
      <c r="G2828" s="140" t="s">
        <v>21</v>
      </c>
      <c r="H2828" s="140" t="s">
        <v>522</v>
      </c>
      <c r="I2828" s="140" t="s">
        <v>21</v>
      </c>
      <c r="J2828" s="174"/>
    </row>
    <row r="2829" hidden="1" customHeight="1" spans="1:10">
      <c r="A2829" s="140" t="s">
        <v>521</v>
      </c>
      <c r="B2829" s="140" t="s">
        <v>398</v>
      </c>
      <c r="C2829" s="171">
        <v>45703</v>
      </c>
      <c r="D2829" s="172" t="s">
        <v>27</v>
      </c>
      <c r="E2829" s="173" t="s">
        <v>13</v>
      </c>
      <c r="F2829" s="140" t="s">
        <v>14</v>
      </c>
      <c r="G2829" s="140" t="s">
        <v>14</v>
      </c>
      <c r="H2829" s="140" t="s">
        <v>14</v>
      </c>
      <c r="I2829" s="140" t="s">
        <v>14</v>
      </c>
      <c r="J2829" s="174"/>
    </row>
    <row r="2830" hidden="1" customHeight="1" spans="1:10">
      <c r="A2830" s="140" t="s">
        <v>521</v>
      </c>
      <c r="B2830" s="140" t="s">
        <v>398</v>
      </c>
      <c r="C2830" s="171">
        <v>45704</v>
      </c>
      <c r="D2830" s="172" t="s">
        <v>15</v>
      </c>
      <c r="E2830" s="173" t="s">
        <v>13</v>
      </c>
      <c r="F2830" s="140" t="s">
        <v>14</v>
      </c>
      <c r="G2830" s="140" t="s">
        <v>14</v>
      </c>
      <c r="H2830" s="140" t="s">
        <v>14</v>
      </c>
      <c r="I2830" s="140" t="s">
        <v>14</v>
      </c>
      <c r="J2830" s="174"/>
    </row>
    <row r="2831" hidden="1" customHeight="1" spans="1:10">
      <c r="A2831" s="140" t="s">
        <v>521</v>
      </c>
      <c r="B2831" s="140" t="s">
        <v>398</v>
      </c>
      <c r="C2831" s="171">
        <v>45705</v>
      </c>
      <c r="D2831" s="172" t="s">
        <v>16</v>
      </c>
      <c r="E2831" s="140" t="s">
        <v>19</v>
      </c>
      <c r="F2831" s="140" t="s">
        <v>135</v>
      </c>
      <c r="G2831" s="140" t="s">
        <v>21</v>
      </c>
      <c r="H2831" s="140" t="s">
        <v>54</v>
      </c>
      <c r="I2831" s="140" t="s">
        <v>21</v>
      </c>
      <c r="J2831" s="174"/>
    </row>
    <row r="2832" hidden="1" customHeight="1" spans="1:10">
      <c r="A2832" s="140" t="s">
        <v>521</v>
      </c>
      <c r="B2832" s="140" t="s">
        <v>398</v>
      </c>
      <c r="C2832" s="171">
        <v>45706</v>
      </c>
      <c r="D2832" s="172" t="s">
        <v>17</v>
      </c>
      <c r="E2832" s="140" t="s">
        <v>19</v>
      </c>
      <c r="F2832" s="140" t="s">
        <v>137</v>
      </c>
      <c r="G2832" s="140" t="s">
        <v>21</v>
      </c>
      <c r="H2832" s="140" t="s">
        <v>50</v>
      </c>
      <c r="I2832" s="140" t="s">
        <v>21</v>
      </c>
      <c r="J2832" s="174"/>
    </row>
    <row r="2833" hidden="1" customHeight="1" spans="1:10">
      <c r="A2833" s="140" t="s">
        <v>521</v>
      </c>
      <c r="B2833" s="140" t="s">
        <v>398</v>
      </c>
      <c r="C2833" s="171">
        <v>45707</v>
      </c>
      <c r="D2833" s="172" t="s">
        <v>18</v>
      </c>
      <c r="E2833" s="140" t="s">
        <v>19</v>
      </c>
      <c r="F2833" s="140" t="s">
        <v>135</v>
      </c>
      <c r="G2833" s="140" t="s">
        <v>21</v>
      </c>
      <c r="H2833" s="140" t="s">
        <v>147</v>
      </c>
      <c r="I2833" s="140" t="s">
        <v>21</v>
      </c>
      <c r="J2833" s="174"/>
    </row>
    <row r="2834" hidden="1" customHeight="1" spans="1:10">
      <c r="A2834" s="140" t="s">
        <v>521</v>
      </c>
      <c r="B2834" s="140" t="s">
        <v>398</v>
      </c>
      <c r="C2834" s="171">
        <v>45708</v>
      </c>
      <c r="D2834" s="172" t="s">
        <v>23</v>
      </c>
      <c r="E2834" s="140" t="s">
        <v>19</v>
      </c>
      <c r="F2834" s="140" t="s">
        <v>108</v>
      </c>
      <c r="G2834" s="140" t="s">
        <v>21</v>
      </c>
      <c r="H2834" s="140" t="s">
        <v>123</v>
      </c>
      <c r="I2834" s="140" t="s">
        <v>21</v>
      </c>
      <c r="J2834" s="174"/>
    </row>
    <row r="2835" hidden="1" customHeight="1" spans="1:10">
      <c r="A2835" s="140" t="s">
        <v>521</v>
      </c>
      <c r="B2835" s="140" t="s">
        <v>398</v>
      </c>
      <c r="C2835" s="171">
        <v>45709</v>
      </c>
      <c r="D2835" s="172" t="s">
        <v>25</v>
      </c>
      <c r="E2835" s="140" t="s">
        <v>19</v>
      </c>
      <c r="F2835" s="140" t="s">
        <v>173</v>
      </c>
      <c r="G2835" s="140" t="s">
        <v>21</v>
      </c>
      <c r="H2835" s="140" t="s">
        <v>88</v>
      </c>
      <c r="I2835" s="140" t="s">
        <v>21</v>
      </c>
      <c r="J2835" s="174"/>
    </row>
    <row r="2836" hidden="1" customHeight="1" spans="1:10">
      <c r="A2836" s="140" t="s">
        <v>521</v>
      </c>
      <c r="B2836" s="140" t="s">
        <v>398</v>
      </c>
      <c r="C2836" s="171">
        <v>45710</v>
      </c>
      <c r="D2836" s="172" t="s">
        <v>27</v>
      </c>
      <c r="E2836" s="173" t="s">
        <v>13</v>
      </c>
      <c r="F2836" s="140" t="s">
        <v>14</v>
      </c>
      <c r="G2836" s="140" t="s">
        <v>14</v>
      </c>
      <c r="H2836" s="140" t="s">
        <v>14</v>
      </c>
      <c r="I2836" s="140" t="s">
        <v>14</v>
      </c>
      <c r="J2836" s="174"/>
    </row>
    <row r="2837" hidden="1" customHeight="1" spans="1:10">
      <c r="A2837" s="140" t="s">
        <v>521</v>
      </c>
      <c r="B2837" s="140" t="s">
        <v>398</v>
      </c>
      <c r="C2837" s="171">
        <v>45711</v>
      </c>
      <c r="D2837" s="172" t="s">
        <v>15</v>
      </c>
      <c r="E2837" s="173" t="s">
        <v>13</v>
      </c>
      <c r="F2837" s="140" t="s">
        <v>14</v>
      </c>
      <c r="G2837" s="140" t="s">
        <v>14</v>
      </c>
      <c r="H2837" s="140" t="s">
        <v>14</v>
      </c>
      <c r="I2837" s="140" t="s">
        <v>14</v>
      </c>
      <c r="J2837" s="174"/>
    </row>
    <row r="2838" hidden="1" customHeight="1" spans="1:10">
      <c r="A2838" s="140" t="s">
        <v>521</v>
      </c>
      <c r="B2838" s="140" t="s">
        <v>398</v>
      </c>
      <c r="C2838" s="171">
        <v>45712</v>
      </c>
      <c r="D2838" s="172" t="s">
        <v>16</v>
      </c>
      <c r="E2838" s="140" t="s">
        <v>19</v>
      </c>
      <c r="F2838" s="140" t="s">
        <v>107</v>
      </c>
      <c r="G2838" s="140" t="s">
        <v>21</v>
      </c>
      <c r="H2838" s="140" t="s">
        <v>190</v>
      </c>
      <c r="I2838" s="140" t="s">
        <v>21</v>
      </c>
      <c r="J2838" s="174"/>
    </row>
    <row r="2839" customHeight="1" spans="1:10">
      <c r="A2839" s="140" t="s">
        <v>521</v>
      </c>
      <c r="B2839" s="140" t="s">
        <v>398</v>
      </c>
      <c r="C2839" s="171">
        <v>45713</v>
      </c>
      <c r="D2839" s="172" t="s">
        <v>17</v>
      </c>
      <c r="E2839" s="140" t="s">
        <v>19</v>
      </c>
      <c r="F2839" s="140" t="s">
        <v>14</v>
      </c>
      <c r="G2839" s="176" t="s">
        <v>68</v>
      </c>
      <c r="H2839" s="140" t="s">
        <v>14</v>
      </c>
      <c r="I2839" s="176" t="s">
        <v>68</v>
      </c>
      <c r="J2839" s="174" t="s">
        <v>69</v>
      </c>
    </row>
    <row r="2840" hidden="1" customHeight="1" spans="1:10">
      <c r="A2840" s="140" t="s">
        <v>521</v>
      </c>
      <c r="B2840" s="140" t="s">
        <v>398</v>
      </c>
      <c r="C2840" s="171">
        <v>45714</v>
      </c>
      <c r="D2840" s="172" t="s">
        <v>18</v>
      </c>
      <c r="E2840" s="140" t="s">
        <v>19</v>
      </c>
      <c r="F2840" s="140" t="s">
        <v>137</v>
      </c>
      <c r="G2840" s="140" t="s">
        <v>21</v>
      </c>
      <c r="H2840" s="140" t="s">
        <v>437</v>
      </c>
      <c r="I2840" s="140" t="s">
        <v>21</v>
      </c>
      <c r="J2840" s="174"/>
    </row>
    <row r="2841" hidden="1" customHeight="1" spans="1:10">
      <c r="A2841" s="140" t="s">
        <v>521</v>
      </c>
      <c r="B2841" s="140" t="s">
        <v>398</v>
      </c>
      <c r="C2841" s="171">
        <v>45715</v>
      </c>
      <c r="D2841" s="172" t="s">
        <v>23</v>
      </c>
      <c r="E2841" s="140" t="s">
        <v>19</v>
      </c>
      <c r="F2841" s="140" t="s">
        <v>173</v>
      </c>
      <c r="G2841" s="140" t="s">
        <v>21</v>
      </c>
      <c r="H2841" s="140" t="s">
        <v>134</v>
      </c>
      <c r="I2841" s="140" t="s">
        <v>21</v>
      </c>
      <c r="J2841" s="174"/>
    </row>
    <row r="2842" hidden="1" customHeight="1" spans="1:10">
      <c r="A2842" s="140" t="s">
        <v>521</v>
      </c>
      <c r="B2842" s="140" t="s">
        <v>398</v>
      </c>
      <c r="C2842" s="171">
        <v>45716</v>
      </c>
      <c r="D2842" s="172" t="s">
        <v>25</v>
      </c>
      <c r="E2842" s="140" t="s">
        <v>19</v>
      </c>
      <c r="F2842" s="140" t="s">
        <v>143</v>
      </c>
      <c r="G2842" s="140" t="s">
        <v>21</v>
      </c>
      <c r="H2842" s="140" t="s">
        <v>376</v>
      </c>
      <c r="I2842" s="140" t="s">
        <v>21</v>
      </c>
      <c r="J2842" s="174"/>
    </row>
    <row r="2843" hidden="1" customHeight="1" spans="1:10">
      <c r="A2843" s="140" t="s">
        <v>523</v>
      </c>
      <c r="B2843" s="140" t="s">
        <v>149</v>
      </c>
      <c r="C2843" s="171">
        <v>45689</v>
      </c>
      <c r="D2843" s="172" t="s">
        <v>12</v>
      </c>
      <c r="E2843" s="173" t="s">
        <v>13</v>
      </c>
      <c r="F2843" s="140" t="s">
        <v>14</v>
      </c>
      <c r="G2843" s="140" t="s">
        <v>14</v>
      </c>
      <c r="H2843" s="140" t="s">
        <v>14</v>
      </c>
      <c r="I2843" s="140" t="s">
        <v>14</v>
      </c>
      <c r="J2843" s="174"/>
    </row>
    <row r="2844" hidden="1" customHeight="1" spans="1:10">
      <c r="A2844" s="140" t="s">
        <v>523</v>
      </c>
      <c r="B2844" s="140" t="s">
        <v>149</v>
      </c>
      <c r="C2844" s="171">
        <v>45690</v>
      </c>
      <c r="D2844" s="172" t="s">
        <v>15</v>
      </c>
      <c r="E2844" s="173" t="s">
        <v>13</v>
      </c>
      <c r="F2844" s="140" t="s">
        <v>14</v>
      </c>
      <c r="G2844" s="140" t="s">
        <v>14</v>
      </c>
      <c r="H2844" s="140" t="s">
        <v>14</v>
      </c>
      <c r="I2844" s="140" t="s">
        <v>14</v>
      </c>
      <c r="J2844" s="174"/>
    </row>
    <row r="2845" hidden="1" customHeight="1" spans="1:10">
      <c r="A2845" s="140" t="s">
        <v>523</v>
      </c>
      <c r="B2845" s="140" t="s">
        <v>149</v>
      </c>
      <c r="C2845" s="171">
        <v>45691</v>
      </c>
      <c r="D2845" s="172" t="s">
        <v>16</v>
      </c>
      <c r="E2845" s="173" t="s">
        <v>13</v>
      </c>
      <c r="F2845" s="140" t="s">
        <v>14</v>
      </c>
      <c r="G2845" s="140" t="s">
        <v>14</v>
      </c>
      <c r="H2845" s="140" t="s">
        <v>14</v>
      </c>
      <c r="I2845" s="140" t="s">
        <v>14</v>
      </c>
      <c r="J2845" s="174"/>
    </row>
    <row r="2846" hidden="1" customHeight="1" spans="1:10">
      <c r="A2846" s="140" t="s">
        <v>523</v>
      </c>
      <c r="B2846" s="140" t="s">
        <v>149</v>
      </c>
      <c r="C2846" s="171">
        <v>45692</v>
      </c>
      <c r="D2846" s="172" t="s">
        <v>17</v>
      </c>
      <c r="E2846" s="173" t="s">
        <v>13</v>
      </c>
      <c r="F2846" s="140" t="s">
        <v>14</v>
      </c>
      <c r="G2846" s="140" t="s">
        <v>14</v>
      </c>
      <c r="H2846" s="140" t="s">
        <v>14</v>
      </c>
      <c r="I2846" s="140" t="s">
        <v>14</v>
      </c>
      <c r="J2846" s="174"/>
    </row>
    <row r="2847" hidden="1" customHeight="1" spans="1:10">
      <c r="A2847" s="140" t="s">
        <v>523</v>
      </c>
      <c r="B2847" s="140" t="s">
        <v>149</v>
      </c>
      <c r="C2847" s="171">
        <v>45693</v>
      </c>
      <c r="D2847" s="172" t="s">
        <v>18</v>
      </c>
      <c r="E2847" s="140" t="s">
        <v>19</v>
      </c>
      <c r="F2847" s="140" t="s">
        <v>131</v>
      </c>
      <c r="G2847" s="140" t="s">
        <v>21</v>
      </c>
      <c r="H2847" s="140" t="s">
        <v>184</v>
      </c>
      <c r="I2847" s="140" t="s">
        <v>21</v>
      </c>
      <c r="J2847" s="174"/>
    </row>
    <row r="2848" hidden="1" customHeight="1" spans="1:10">
      <c r="A2848" s="140" t="s">
        <v>523</v>
      </c>
      <c r="B2848" s="140" t="s">
        <v>149</v>
      </c>
      <c r="C2848" s="171">
        <v>45694</v>
      </c>
      <c r="D2848" s="172" t="s">
        <v>23</v>
      </c>
      <c r="E2848" s="140" t="s">
        <v>19</v>
      </c>
      <c r="F2848" s="140" t="s">
        <v>171</v>
      </c>
      <c r="G2848" s="140" t="s">
        <v>21</v>
      </c>
      <c r="H2848" s="140" t="s">
        <v>254</v>
      </c>
      <c r="I2848" s="140" t="s">
        <v>21</v>
      </c>
      <c r="J2848" s="174"/>
    </row>
    <row r="2849" hidden="1" customHeight="1" spans="1:10">
      <c r="A2849" s="140" t="s">
        <v>523</v>
      </c>
      <c r="B2849" s="140" t="s">
        <v>149</v>
      </c>
      <c r="C2849" s="171">
        <v>45695</v>
      </c>
      <c r="D2849" s="172" t="s">
        <v>25</v>
      </c>
      <c r="E2849" s="140" t="s">
        <v>19</v>
      </c>
      <c r="F2849" s="140" t="s">
        <v>137</v>
      </c>
      <c r="G2849" s="140" t="s">
        <v>21</v>
      </c>
      <c r="H2849" s="140" t="s">
        <v>161</v>
      </c>
      <c r="I2849" s="140" t="s">
        <v>21</v>
      </c>
      <c r="J2849" s="174"/>
    </row>
    <row r="2850" hidden="1" customHeight="1" spans="1:10">
      <c r="A2850" s="140" t="s">
        <v>523</v>
      </c>
      <c r="B2850" s="140" t="s">
        <v>149</v>
      </c>
      <c r="C2850" s="171">
        <v>45696</v>
      </c>
      <c r="D2850" s="172" t="s">
        <v>27</v>
      </c>
      <c r="E2850" s="140" t="s">
        <v>19</v>
      </c>
      <c r="F2850" s="140" t="s">
        <v>63</v>
      </c>
      <c r="G2850" s="140" t="s">
        <v>21</v>
      </c>
      <c r="H2850" s="140" t="s">
        <v>201</v>
      </c>
      <c r="I2850" s="140" t="s">
        <v>21</v>
      </c>
      <c r="J2850" s="174"/>
    </row>
    <row r="2851" hidden="1" customHeight="1" spans="1:10">
      <c r="A2851" s="140" t="s">
        <v>523</v>
      </c>
      <c r="B2851" s="140" t="s">
        <v>149</v>
      </c>
      <c r="C2851" s="171">
        <v>45697</v>
      </c>
      <c r="D2851" s="172" t="s">
        <v>15</v>
      </c>
      <c r="E2851" s="173" t="s">
        <v>13</v>
      </c>
      <c r="F2851" s="140" t="s">
        <v>14</v>
      </c>
      <c r="G2851" s="140" t="s">
        <v>14</v>
      </c>
      <c r="H2851" s="140" t="s">
        <v>14</v>
      </c>
      <c r="I2851" s="140" t="s">
        <v>14</v>
      </c>
      <c r="J2851" s="174"/>
    </row>
    <row r="2852" hidden="1" customHeight="1" spans="1:10">
      <c r="A2852" s="140" t="s">
        <v>523</v>
      </c>
      <c r="B2852" s="140" t="s">
        <v>149</v>
      </c>
      <c r="C2852" s="171">
        <v>45698</v>
      </c>
      <c r="D2852" s="172" t="s">
        <v>16</v>
      </c>
      <c r="E2852" s="140" t="s">
        <v>19</v>
      </c>
      <c r="F2852" s="140" t="s">
        <v>110</v>
      </c>
      <c r="G2852" s="140" t="s">
        <v>21</v>
      </c>
      <c r="H2852" s="140" t="s">
        <v>73</v>
      </c>
      <c r="I2852" s="140" t="s">
        <v>21</v>
      </c>
      <c r="J2852" s="174"/>
    </row>
    <row r="2853" hidden="1" customHeight="1" spans="1:10">
      <c r="A2853" s="140" t="s">
        <v>523</v>
      </c>
      <c r="B2853" s="140" t="s">
        <v>149</v>
      </c>
      <c r="C2853" s="171">
        <v>45699</v>
      </c>
      <c r="D2853" s="172" t="s">
        <v>17</v>
      </c>
      <c r="E2853" s="140" t="s">
        <v>19</v>
      </c>
      <c r="F2853" s="140" t="s">
        <v>131</v>
      </c>
      <c r="G2853" s="140" t="s">
        <v>21</v>
      </c>
      <c r="H2853" s="140" t="s">
        <v>66</v>
      </c>
      <c r="I2853" s="140" t="s">
        <v>21</v>
      </c>
      <c r="J2853" s="174"/>
    </row>
    <row r="2854" hidden="1" customHeight="1" spans="1:10">
      <c r="A2854" s="140" t="s">
        <v>523</v>
      </c>
      <c r="B2854" s="140" t="s">
        <v>149</v>
      </c>
      <c r="C2854" s="171">
        <v>45700</v>
      </c>
      <c r="D2854" s="172" t="s">
        <v>18</v>
      </c>
      <c r="E2854" s="140" t="s">
        <v>19</v>
      </c>
      <c r="F2854" s="140" t="s">
        <v>110</v>
      </c>
      <c r="G2854" s="140" t="s">
        <v>21</v>
      </c>
      <c r="H2854" s="140" t="s">
        <v>199</v>
      </c>
      <c r="I2854" s="140" t="s">
        <v>21</v>
      </c>
      <c r="J2854" s="174"/>
    </row>
    <row r="2855" hidden="1" customHeight="1" spans="1:10">
      <c r="A2855" s="140" t="s">
        <v>523</v>
      </c>
      <c r="B2855" s="140" t="s">
        <v>149</v>
      </c>
      <c r="C2855" s="171">
        <v>45701</v>
      </c>
      <c r="D2855" s="172" t="s">
        <v>23</v>
      </c>
      <c r="E2855" s="140" t="s">
        <v>19</v>
      </c>
      <c r="F2855" s="140" t="s">
        <v>94</v>
      </c>
      <c r="G2855" s="140" t="s">
        <v>21</v>
      </c>
      <c r="H2855" s="140" t="s">
        <v>73</v>
      </c>
      <c r="I2855" s="140" t="s">
        <v>21</v>
      </c>
      <c r="J2855" s="174"/>
    </row>
    <row r="2856" hidden="1" customHeight="1" spans="1:10">
      <c r="A2856" s="140" t="s">
        <v>523</v>
      </c>
      <c r="B2856" s="140" t="s">
        <v>149</v>
      </c>
      <c r="C2856" s="171">
        <v>45702</v>
      </c>
      <c r="D2856" s="172" t="s">
        <v>25</v>
      </c>
      <c r="E2856" s="140" t="s">
        <v>19</v>
      </c>
      <c r="F2856" s="140" t="s">
        <v>177</v>
      </c>
      <c r="G2856" s="140" t="s">
        <v>21</v>
      </c>
      <c r="H2856" s="140" t="s">
        <v>167</v>
      </c>
      <c r="I2856" s="140" t="s">
        <v>21</v>
      </c>
      <c r="J2856" s="174"/>
    </row>
    <row r="2857" hidden="1" customHeight="1" spans="1:10">
      <c r="A2857" s="140" t="s">
        <v>523</v>
      </c>
      <c r="B2857" s="140" t="s">
        <v>149</v>
      </c>
      <c r="C2857" s="171">
        <v>45703</v>
      </c>
      <c r="D2857" s="172" t="s">
        <v>27</v>
      </c>
      <c r="E2857" s="173" t="s">
        <v>13</v>
      </c>
      <c r="F2857" s="140" t="s">
        <v>14</v>
      </c>
      <c r="G2857" s="140" t="s">
        <v>14</v>
      </c>
      <c r="H2857" s="140" t="s">
        <v>14</v>
      </c>
      <c r="I2857" s="140" t="s">
        <v>14</v>
      </c>
      <c r="J2857" s="174"/>
    </row>
    <row r="2858" hidden="1" customHeight="1" spans="1:10">
      <c r="A2858" s="140" t="s">
        <v>523</v>
      </c>
      <c r="B2858" s="140" t="s">
        <v>149</v>
      </c>
      <c r="C2858" s="171">
        <v>45704</v>
      </c>
      <c r="D2858" s="172" t="s">
        <v>15</v>
      </c>
      <c r="E2858" s="173" t="s">
        <v>13</v>
      </c>
      <c r="F2858" s="140" t="s">
        <v>14</v>
      </c>
      <c r="G2858" s="140" t="s">
        <v>14</v>
      </c>
      <c r="H2858" s="140" t="s">
        <v>14</v>
      </c>
      <c r="I2858" s="140" t="s">
        <v>14</v>
      </c>
      <c r="J2858" s="174"/>
    </row>
    <row r="2859" hidden="1" customHeight="1" spans="1:10">
      <c r="A2859" s="140" t="s">
        <v>523</v>
      </c>
      <c r="B2859" s="140" t="s">
        <v>149</v>
      </c>
      <c r="C2859" s="171">
        <v>45705</v>
      </c>
      <c r="D2859" s="172" t="s">
        <v>16</v>
      </c>
      <c r="E2859" s="140" t="s">
        <v>19</v>
      </c>
      <c r="F2859" s="140" t="s">
        <v>135</v>
      </c>
      <c r="G2859" s="140" t="s">
        <v>21</v>
      </c>
      <c r="H2859" s="140" t="s">
        <v>31</v>
      </c>
      <c r="I2859" s="140" t="s">
        <v>21</v>
      </c>
      <c r="J2859" s="174"/>
    </row>
    <row r="2860" hidden="1" customHeight="1" spans="1:10">
      <c r="A2860" s="140" t="s">
        <v>523</v>
      </c>
      <c r="B2860" s="140" t="s">
        <v>149</v>
      </c>
      <c r="C2860" s="171">
        <v>45706</v>
      </c>
      <c r="D2860" s="172" t="s">
        <v>17</v>
      </c>
      <c r="E2860" s="140" t="s">
        <v>19</v>
      </c>
      <c r="F2860" s="140" t="s">
        <v>193</v>
      </c>
      <c r="G2860" s="140" t="s">
        <v>21</v>
      </c>
      <c r="H2860" s="140" t="s">
        <v>385</v>
      </c>
      <c r="I2860" s="140" t="s">
        <v>21</v>
      </c>
      <c r="J2860" s="174"/>
    </row>
    <row r="2861" hidden="1" customHeight="1" spans="1:10">
      <c r="A2861" s="140" t="s">
        <v>523</v>
      </c>
      <c r="B2861" s="140" t="s">
        <v>149</v>
      </c>
      <c r="C2861" s="171">
        <v>45707</v>
      </c>
      <c r="D2861" s="172" t="s">
        <v>18</v>
      </c>
      <c r="E2861" s="140" t="s">
        <v>19</v>
      </c>
      <c r="F2861" s="140" t="s">
        <v>40</v>
      </c>
      <c r="G2861" s="140" t="s">
        <v>21</v>
      </c>
      <c r="H2861" s="140" t="s">
        <v>437</v>
      </c>
      <c r="I2861" s="140" t="s">
        <v>21</v>
      </c>
      <c r="J2861" s="174"/>
    </row>
    <row r="2862" hidden="1" customHeight="1" spans="1:10">
      <c r="A2862" s="140" t="s">
        <v>523</v>
      </c>
      <c r="B2862" s="140" t="s">
        <v>149</v>
      </c>
      <c r="C2862" s="171">
        <v>45708</v>
      </c>
      <c r="D2862" s="172" t="s">
        <v>23</v>
      </c>
      <c r="E2862" s="140" t="s">
        <v>19</v>
      </c>
      <c r="F2862" s="140" t="s">
        <v>146</v>
      </c>
      <c r="G2862" s="140" t="s">
        <v>21</v>
      </c>
      <c r="H2862" s="140" t="s">
        <v>315</v>
      </c>
      <c r="I2862" s="140" t="s">
        <v>21</v>
      </c>
      <c r="J2862" s="174"/>
    </row>
    <row r="2863" hidden="1" customHeight="1" spans="1:10">
      <c r="A2863" s="140" t="s">
        <v>523</v>
      </c>
      <c r="B2863" s="140" t="s">
        <v>149</v>
      </c>
      <c r="C2863" s="171">
        <v>45709</v>
      </c>
      <c r="D2863" s="172" t="s">
        <v>25</v>
      </c>
      <c r="E2863" s="140" t="s">
        <v>19</v>
      </c>
      <c r="F2863" s="140" t="s">
        <v>146</v>
      </c>
      <c r="G2863" s="140" t="s">
        <v>21</v>
      </c>
      <c r="H2863" s="140" t="s">
        <v>66</v>
      </c>
      <c r="I2863" s="140" t="s">
        <v>21</v>
      </c>
      <c r="J2863" s="174"/>
    </row>
    <row r="2864" hidden="1" customHeight="1" spans="1:10">
      <c r="A2864" s="140" t="s">
        <v>523</v>
      </c>
      <c r="B2864" s="140" t="s">
        <v>149</v>
      </c>
      <c r="C2864" s="171">
        <v>45710</v>
      </c>
      <c r="D2864" s="172" t="s">
        <v>27</v>
      </c>
      <c r="E2864" s="173" t="s">
        <v>13</v>
      </c>
      <c r="F2864" s="140" t="s">
        <v>14</v>
      </c>
      <c r="G2864" s="140" t="s">
        <v>14</v>
      </c>
      <c r="H2864" s="140" t="s">
        <v>14</v>
      </c>
      <c r="I2864" s="140" t="s">
        <v>14</v>
      </c>
      <c r="J2864" s="174"/>
    </row>
    <row r="2865" hidden="1" customHeight="1" spans="1:10">
      <c r="A2865" s="140" t="s">
        <v>523</v>
      </c>
      <c r="B2865" s="140" t="s">
        <v>149</v>
      </c>
      <c r="C2865" s="171">
        <v>45711</v>
      </c>
      <c r="D2865" s="172" t="s">
        <v>15</v>
      </c>
      <c r="E2865" s="173" t="s">
        <v>13</v>
      </c>
      <c r="F2865" s="140" t="s">
        <v>14</v>
      </c>
      <c r="G2865" s="140" t="s">
        <v>14</v>
      </c>
      <c r="H2865" s="140" t="s">
        <v>14</v>
      </c>
      <c r="I2865" s="140" t="s">
        <v>14</v>
      </c>
      <c r="J2865" s="174"/>
    </row>
    <row r="2866" hidden="1" customHeight="1" spans="1:10">
      <c r="A2866" s="140" t="s">
        <v>523</v>
      </c>
      <c r="B2866" s="140" t="s">
        <v>149</v>
      </c>
      <c r="C2866" s="171">
        <v>45712</v>
      </c>
      <c r="D2866" s="172" t="s">
        <v>16</v>
      </c>
      <c r="E2866" s="140" t="s">
        <v>19</v>
      </c>
      <c r="F2866" s="140" t="s">
        <v>110</v>
      </c>
      <c r="G2866" s="140" t="s">
        <v>21</v>
      </c>
      <c r="H2866" s="140" t="s">
        <v>190</v>
      </c>
      <c r="I2866" s="140" t="s">
        <v>21</v>
      </c>
      <c r="J2866" s="174"/>
    </row>
    <row r="2867" hidden="1" customHeight="1" spans="1:10">
      <c r="A2867" s="140" t="s">
        <v>523</v>
      </c>
      <c r="B2867" s="140" t="s">
        <v>149</v>
      </c>
      <c r="C2867" s="171">
        <v>45713</v>
      </c>
      <c r="D2867" s="172" t="s">
        <v>17</v>
      </c>
      <c r="E2867" s="140" t="s">
        <v>19</v>
      </c>
      <c r="F2867" s="140" t="s">
        <v>110</v>
      </c>
      <c r="G2867" s="140" t="s">
        <v>21</v>
      </c>
      <c r="H2867" s="140" t="s">
        <v>37</v>
      </c>
      <c r="I2867" s="140" t="s">
        <v>21</v>
      </c>
      <c r="J2867" s="174"/>
    </row>
    <row r="2868" hidden="1" customHeight="1" spans="1:10">
      <c r="A2868" s="140" t="s">
        <v>523</v>
      </c>
      <c r="B2868" s="140" t="s">
        <v>149</v>
      </c>
      <c r="C2868" s="171">
        <v>45714</v>
      </c>
      <c r="D2868" s="172" t="s">
        <v>18</v>
      </c>
      <c r="E2868" s="140" t="s">
        <v>19</v>
      </c>
      <c r="F2868" s="140" t="s">
        <v>108</v>
      </c>
      <c r="G2868" s="140" t="s">
        <v>21</v>
      </c>
      <c r="H2868" s="140" t="s">
        <v>32</v>
      </c>
      <c r="I2868" s="140" t="s">
        <v>21</v>
      </c>
      <c r="J2868" s="174"/>
    </row>
    <row r="2869" hidden="1" customHeight="1" spans="1:10">
      <c r="A2869" s="140" t="s">
        <v>523</v>
      </c>
      <c r="B2869" s="140" t="s">
        <v>149</v>
      </c>
      <c r="C2869" s="171">
        <v>45715</v>
      </c>
      <c r="D2869" s="172" t="s">
        <v>23</v>
      </c>
      <c r="E2869" s="140" t="s">
        <v>19</v>
      </c>
      <c r="F2869" s="140" t="s">
        <v>51</v>
      </c>
      <c r="G2869" s="140" t="s">
        <v>21</v>
      </c>
      <c r="H2869" s="140" t="s">
        <v>254</v>
      </c>
      <c r="I2869" s="140" t="s">
        <v>21</v>
      </c>
      <c r="J2869" s="174"/>
    </row>
    <row r="2870" hidden="1" customHeight="1" spans="1:10">
      <c r="A2870" s="140" t="s">
        <v>523</v>
      </c>
      <c r="B2870" s="140" t="s">
        <v>149</v>
      </c>
      <c r="C2870" s="171">
        <v>45716</v>
      </c>
      <c r="D2870" s="172" t="s">
        <v>25</v>
      </c>
      <c r="E2870" s="140" t="s">
        <v>19</v>
      </c>
      <c r="F2870" s="140" t="s">
        <v>157</v>
      </c>
      <c r="G2870" s="140" t="s">
        <v>21</v>
      </c>
      <c r="H2870" s="140" t="s">
        <v>80</v>
      </c>
      <c r="I2870" s="140" t="s">
        <v>21</v>
      </c>
      <c r="J2870" s="174"/>
    </row>
    <row r="2871" hidden="1" customHeight="1" spans="1:10">
      <c r="A2871" s="140" t="s">
        <v>524</v>
      </c>
      <c r="B2871" s="140" t="s">
        <v>398</v>
      </c>
      <c r="C2871" s="171">
        <v>45689</v>
      </c>
      <c r="D2871" s="172" t="s">
        <v>12</v>
      </c>
      <c r="E2871" s="173" t="s">
        <v>13</v>
      </c>
      <c r="F2871" s="140" t="s">
        <v>14</v>
      </c>
      <c r="G2871" s="140" t="s">
        <v>14</v>
      </c>
      <c r="H2871" s="140" t="s">
        <v>14</v>
      </c>
      <c r="I2871" s="140" t="s">
        <v>14</v>
      </c>
      <c r="J2871" s="174"/>
    </row>
    <row r="2872" hidden="1" customHeight="1" spans="1:10">
      <c r="A2872" s="140" t="s">
        <v>524</v>
      </c>
      <c r="B2872" s="140" t="s">
        <v>398</v>
      </c>
      <c r="C2872" s="171">
        <v>45690</v>
      </c>
      <c r="D2872" s="172" t="s">
        <v>15</v>
      </c>
      <c r="E2872" s="173" t="s">
        <v>13</v>
      </c>
      <c r="F2872" s="140" t="s">
        <v>14</v>
      </c>
      <c r="G2872" s="140" t="s">
        <v>14</v>
      </c>
      <c r="H2872" s="140" t="s">
        <v>14</v>
      </c>
      <c r="I2872" s="140" t="s">
        <v>14</v>
      </c>
      <c r="J2872" s="174"/>
    </row>
    <row r="2873" hidden="1" customHeight="1" spans="1:10">
      <c r="A2873" s="140" t="s">
        <v>524</v>
      </c>
      <c r="B2873" s="140" t="s">
        <v>398</v>
      </c>
      <c r="C2873" s="171">
        <v>45691</v>
      </c>
      <c r="D2873" s="172" t="s">
        <v>16</v>
      </c>
      <c r="E2873" s="173" t="s">
        <v>13</v>
      </c>
      <c r="F2873" s="140" t="s">
        <v>14</v>
      </c>
      <c r="G2873" s="140" t="s">
        <v>14</v>
      </c>
      <c r="H2873" s="140" t="s">
        <v>14</v>
      </c>
      <c r="I2873" s="140" t="s">
        <v>14</v>
      </c>
      <c r="J2873" s="174"/>
    </row>
    <row r="2874" hidden="1" customHeight="1" spans="1:10">
      <c r="A2874" s="140" t="s">
        <v>524</v>
      </c>
      <c r="B2874" s="140" t="s">
        <v>398</v>
      </c>
      <c r="C2874" s="171">
        <v>45692</v>
      </c>
      <c r="D2874" s="172" t="s">
        <v>17</v>
      </c>
      <c r="E2874" s="173" t="s">
        <v>13</v>
      </c>
      <c r="F2874" s="140" t="s">
        <v>14</v>
      </c>
      <c r="G2874" s="140" t="s">
        <v>14</v>
      </c>
      <c r="H2874" s="140" t="s">
        <v>14</v>
      </c>
      <c r="I2874" s="140" t="s">
        <v>14</v>
      </c>
      <c r="J2874" s="174"/>
    </row>
    <row r="2875" hidden="1" customHeight="1" spans="1:10">
      <c r="A2875" s="140" t="s">
        <v>524</v>
      </c>
      <c r="B2875" s="140" t="s">
        <v>398</v>
      </c>
      <c r="C2875" s="171">
        <v>45693</v>
      </c>
      <c r="D2875" s="172" t="s">
        <v>18</v>
      </c>
      <c r="E2875" s="140" t="s">
        <v>19</v>
      </c>
      <c r="F2875" s="140" t="s">
        <v>154</v>
      </c>
      <c r="G2875" s="140" t="s">
        <v>21</v>
      </c>
      <c r="H2875" s="140" t="s">
        <v>167</v>
      </c>
      <c r="I2875" s="140" t="s">
        <v>21</v>
      </c>
      <c r="J2875" s="174"/>
    </row>
    <row r="2876" hidden="1" customHeight="1" spans="1:10">
      <c r="A2876" s="140" t="s">
        <v>524</v>
      </c>
      <c r="B2876" s="140" t="s">
        <v>398</v>
      </c>
      <c r="C2876" s="171">
        <v>45694</v>
      </c>
      <c r="D2876" s="172" t="s">
        <v>23</v>
      </c>
      <c r="E2876" s="140" t="s">
        <v>19</v>
      </c>
      <c r="F2876" s="140" t="s">
        <v>28</v>
      </c>
      <c r="G2876" s="140" t="s">
        <v>21</v>
      </c>
      <c r="H2876" s="140" t="s">
        <v>160</v>
      </c>
      <c r="I2876" s="140" t="s">
        <v>21</v>
      </c>
      <c r="J2876" s="174"/>
    </row>
    <row r="2877" hidden="1" customHeight="1" spans="1:10">
      <c r="A2877" s="140" t="s">
        <v>524</v>
      </c>
      <c r="B2877" s="140" t="s">
        <v>398</v>
      </c>
      <c r="C2877" s="171">
        <v>45695</v>
      </c>
      <c r="D2877" s="172" t="s">
        <v>25</v>
      </c>
      <c r="E2877" s="140" t="s">
        <v>19</v>
      </c>
      <c r="F2877" s="140" t="s">
        <v>154</v>
      </c>
      <c r="G2877" s="140" t="s">
        <v>21</v>
      </c>
      <c r="H2877" s="140" t="s">
        <v>189</v>
      </c>
      <c r="I2877" s="140" t="s">
        <v>21</v>
      </c>
      <c r="J2877" s="174"/>
    </row>
    <row r="2878" hidden="1" customHeight="1" spans="1:10">
      <c r="A2878" s="140" t="s">
        <v>524</v>
      </c>
      <c r="B2878" s="140" t="s">
        <v>398</v>
      </c>
      <c r="C2878" s="171">
        <v>45696</v>
      </c>
      <c r="D2878" s="172" t="s">
        <v>27</v>
      </c>
      <c r="E2878" s="140" t="s">
        <v>19</v>
      </c>
      <c r="F2878" s="140" t="s">
        <v>28</v>
      </c>
      <c r="G2878" s="140" t="s">
        <v>21</v>
      </c>
      <c r="H2878" s="140" t="s">
        <v>207</v>
      </c>
      <c r="I2878" s="140" t="s">
        <v>21</v>
      </c>
      <c r="J2878" s="174"/>
    </row>
    <row r="2879" hidden="1" customHeight="1" spans="1:10">
      <c r="A2879" s="140" t="s">
        <v>524</v>
      </c>
      <c r="B2879" s="140" t="s">
        <v>398</v>
      </c>
      <c r="C2879" s="171">
        <v>45697</v>
      </c>
      <c r="D2879" s="172" t="s">
        <v>15</v>
      </c>
      <c r="E2879" s="173" t="s">
        <v>13</v>
      </c>
      <c r="F2879" s="140" t="s">
        <v>14</v>
      </c>
      <c r="G2879" s="140" t="s">
        <v>14</v>
      </c>
      <c r="H2879" s="140" t="s">
        <v>14</v>
      </c>
      <c r="I2879" s="140" t="s">
        <v>14</v>
      </c>
      <c r="J2879" s="174"/>
    </row>
    <row r="2880" hidden="1" customHeight="1" spans="1:10">
      <c r="A2880" s="140" t="s">
        <v>524</v>
      </c>
      <c r="B2880" s="140" t="s">
        <v>398</v>
      </c>
      <c r="C2880" s="171">
        <v>45698</v>
      </c>
      <c r="D2880" s="172" t="s">
        <v>16</v>
      </c>
      <c r="E2880" s="140" t="s">
        <v>19</v>
      </c>
      <c r="F2880" s="140" t="s">
        <v>30</v>
      </c>
      <c r="G2880" s="140" t="s">
        <v>21</v>
      </c>
      <c r="H2880" s="140" t="s">
        <v>391</v>
      </c>
      <c r="I2880" s="140" t="s">
        <v>21</v>
      </c>
      <c r="J2880" s="174"/>
    </row>
    <row r="2881" hidden="1" customHeight="1" spans="1:10">
      <c r="A2881" s="140" t="s">
        <v>524</v>
      </c>
      <c r="B2881" s="140" t="s">
        <v>398</v>
      </c>
      <c r="C2881" s="171">
        <v>45699</v>
      </c>
      <c r="D2881" s="172" t="s">
        <v>17</v>
      </c>
      <c r="E2881" s="140" t="s">
        <v>19</v>
      </c>
      <c r="F2881" s="140" t="s">
        <v>28</v>
      </c>
      <c r="G2881" s="140" t="s">
        <v>21</v>
      </c>
      <c r="H2881" s="140" t="s">
        <v>75</v>
      </c>
      <c r="I2881" s="140" t="s">
        <v>21</v>
      </c>
      <c r="J2881" s="174"/>
    </row>
    <row r="2882" hidden="1" customHeight="1" spans="1:10">
      <c r="A2882" s="140" t="s">
        <v>524</v>
      </c>
      <c r="B2882" s="140" t="s">
        <v>398</v>
      </c>
      <c r="C2882" s="171">
        <v>45700</v>
      </c>
      <c r="D2882" s="172" t="s">
        <v>18</v>
      </c>
      <c r="E2882" s="140" t="s">
        <v>19</v>
      </c>
      <c r="F2882" s="140" t="s">
        <v>157</v>
      </c>
      <c r="G2882" s="140" t="s">
        <v>21</v>
      </c>
      <c r="H2882" s="140" t="s">
        <v>202</v>
      </c>
      <c r="I2882" s="140" t="s">
        <v>21</v>
      </c>
      <c r="J2882" s="174"/>
    </row>
    <row r="2883" hidden="1" customHeight="1" spans="1:10">
      <c r="A2883" s="140" t="s">
        <v>524</v>
      </c>
      <c r="B2883" s="140" t="s">
        <v>398</v>
      </c>
      <c r="C2883" s="171">
        <v>45701</v>
      </c>
      <c r="D2883" s="172" t="s">
        <v>23</v>
      </c>
      <c r="E2883" s="140" t="s">
        <v>19</v>
      </c>
      <c r="F2883" s="140" t="s">
        <v>28</v>
      </c>
      <c r="G2883" s="140" t="s">
        <v>21</v>
      </c>
      <c r="H2883" s="140" t="s">
        <v>116</v>
      </c>
      <c r="I2883" s="140" t="s">
        <v>21</v>
      </c>
      <c r="J2883" s="174"/>
    </row>
    <row r="2884" hidden="1" customHeight="1" spans="1:10">
      <c r="A2884" s="140" t="s">
        <v>524</v>
      </c>
      <c r="B2884" s="140" t="s">
        <v>398</v>
      </c>
      <c r="C2884" s="171">
        <v>45702</v>
      </c>
      <c r="D2884" s="172" t="s">
        <v>25</v>
      </c>
      <c r="E2884" s="140" t="s">
        <v>19</v>
      </c>
      <c r="F2884" s="140" t="s">
        <v>150</v>
      </c>
      <c r="G2884" s="140" t="s">
        <v>21</v>
      </c>
      <c r="H2884" s="140" t="s">
        <v>73</v>
      </c>
      <c r="I2884" s="140" t="s">
        <v>21</v>
      </c>
      <c r="J2884" s="174"/>
    </row>
    <row r="2885" hidden="1" customHeight="1" spans="1:10">
      <c r="A2885" s="140" t="s">
        <v>524</v>
      </c>
      <c r="B2885" s="140" t="s">
        <v>398</v>
      </c>
      <c r="C2885" s="171">
        <v>45703</v>
      </c>
      <c r="D2885" s="172" t="s">
        <v>27</v>
      </c>
      <c r="E2885" s="173" t="s">
        <v>13</v>
      </c>
      <c r="F2885" s="140" t="s">
        <v>14</v>
      </c>
      <c r="G2885" s="140" t="s">
        <v>14</v>
      </c>
      <c r="H2885" s="140" t="s">
        <v>14</v>
      </c>
      <c r="I2885" s="140" t="s">
        <v>14</v>
      </c>
      <c r="J2885" s="174"/>
    </row>
    <row r="2886" hidden="1" customHeight="1" spans="1:10">
      <c r="A2886" s="140" t="s">
        <v>524</v>
      </c>
      <c r="B2886" s="140" t="s">
        <v>398</v>
      </c>
      <c r="C2886" s="171">
        <v>45704</v>
      </c>
      <c r="D2886" s="172" t="s">
        <v>15</v>
      </c>
      <c r="E2886" s="173" t="s">
        <v>13</v>
      </c>
      <c r="F2886" s="140" t="s">
        <v>14</v>
      </c>
      <c r="G2886" s="140" t="s">
        <v>14</v>
      </c>
      <c r="H2886" s="140" t="s">
        <v>14</v>
      </c>
      <c r="I2886" s="140" t="s">
        <v>14</v>
      </c>
      <c r="J2886" s="174"/>
    </row>
    <row r="2887" hidden="1" customHeight="1" spans="1:10">
      <c r="A2887" s="140" t="s">
        <v>524</v>
      </c>
      <c r="B2887" s="140" t="s">
        <v>398</v>
      </c>
      <c r="C2887" s="171">
        <v>45705</v>
      </c>
      <c r="D2887" s="172" t="s">
        <v>16</v>
      </c>
      <c r="E2887" s="140" t="s">
        <v>19</v>
      </c>
      <c r="F2887" s="140" t="s">
        <v>94</v>
      </c>
      <c r="G2887" s="140" t="s">
        <v>21</v>
      </c>
      <c r="H2887" s="140" t="s">
        <v>41</v>
      </c>
      <c r="I2887" s="140" t="s">
        <v>21</v>
      </c>
      <c r="J2887" s="174"/>
    </row>
    <row r="2888" hidden="1" customHeight="1" spans="1:10">
      <c r="A2888" s="140" t="s">
        <v>524</v>
      </c>
      <c r="B2888" s="140" t="s">
        <v>398</v>
      </c>
      <c r="C2888" s="171">
        <v>45706</v>
      </c>
      <c r="D2888" s="172" t="s">
        <v>17</v>
      </c>
      <c r="E2888" s="140" t="s">
        <v>19</v>
      </c>
      <c r="F2888" s="140" t="s">
        <v>94</v>
      </c>
      <c r="G2888" s="140" t="s">
        <v>21</v>
      </c>
      <c r="H2888" s="140" t="s">
        <v>525</v>
      </c>
      <c r="I2888" s="140" t="s">
        <v>21</v>
      </c>
      <c r="J2888" s="174"/>
    </row>
    <row r="2889" hidden="1" customHeight="1" spans="1:10">
      <c r="A2889" s="140" t="s">
        <v>524</v>
      </c>
      <c r="B2889" s="140" t="s">
        <v>398</v>
      </c>
      <c r="C2889" s="171">
        <v>45707</v>
      </c>
      <c r="D2889" s="172" t="s">
        <v>18</v>
      </c>
      <c r="E2889" s="140" t="s">
        <v>19</v>
      </c>
      <c r="F2889" s="140" t="s">
        <v>94</v>
      </c>
      <c r="G2889" s="140" t="s">
        <v>21</v>
      </c>
      <c r="H2889" s="140" t="s">
        <v>168</v>
      </c>
      <c r="I2889" s="140" t="s">
        <v>21</v>
      </c>
      <c r="J2889" s="174"/>
    </row>
    <row r="2890" hidden="1" customHeight="1" spans="1:10">
      <c r="A2890" s="140" t="s">
        <v>524</v>
      </c>
      <c r="B2890" s="140" t="s">
        <v>398</v>
      </c>
      <c r="C2890" s="171">
        <v>45708</v>
      </c>
      <c r="D2890" s="172" t="s">
        <v>23</v>
      </c>
      <c r="E2890" s="140" t="s">
        <v>19</v>
      </c>
      <c r="F2890" s="140" t="s">
        <v>150</v>
      </c>
      <c r="G2890" s="140" t="s">
        <v>21</v>
      </c>
      <c r="H2890" s="140" t="s">
        <v>273</v>
      </c>
      <c r="I2890" s="140" t="s">
        <v>21</v>
      </c>
      <c r="J2890" s="174"/>
    </row>
    <row r="2891" hidden="1" customHeight="1" spans="1:10">
      <c r="A2891" s="140" t="s">
        <v>524</v>
      </c>
      <c r="B2891" s="140" t="s">
        <v>398</v>
      </c>
      <c r="C2891" s="171">
        <v>45709</v>
      </c>
      <c r="D2891" s="172" t="s">
        <v>25</v>
      </c>
      <c r="E2891" s="140" t="s">
        <v>19</v>
      </c>
      <c r="F2891" s="140" t="s">
        <v>188</v>
      </c>
      <c r="G2891" s="140" t="s">
        <v>21</v>
      </c>
      <c r="H2891" s="140" t="s">
        <v>351</v>
      </c>
      <c r="I2891" s="140" t="s">
        <v>21</v>
      </c>
      <c r="J2891" s="174"/>
    </row>
    <row r="2892" hidden="1" customHeight="1" spans="1:10">
      <c r="A2892" s="140" t="s">
        <v>524</v>
      </c>
      <c r="B2892" s="140" t="s">
        <v>398</v>
      </c>
      <c r="C2892" s="171">
        <v>45710</v>
      </c>
      <c r="D2892" s="172" t="s">
        <v>27</v>
      </c>
      <c r="E2892" s="173" t="s">
        <v>13</v>
      </c>
      <c r="F2892" s="140" t="s">
        <v>14</v>
      </c>
      <c r="G2892" s="140" t="s">
        <v>14</v>
      </c>
      <c r="H2892" s="140" t="s">
        <v>14</v>
      </c>
      <c r="I2892" s="140" t="s">
        <v>14</v>
      </c>
      <c r="J2892" s="174"/>
    </row>
    <row r="2893" hidden="1" customHeight="1" spans="1:10">
      <c r="A2893" s="140" t="s">
        <v>524</v>
      </c>
      <c r="B2893" s="140" t="s">
        <v>398</v>
      </c>
      <c r="C2893" s="171">
        <v>45711</v>
      </c>
      <c r="D2893" s="172" t="s">
        <v>15</v>
      </c>
      <c r="E2893" s="173" t="s">
        <v>13</v>
      </c>
      <c r="F2893" s="140" t="s">
        <v>14</v>
      </c>
      <c r="G2893" s="140" t="s">
        <v>14</v>
      </c>
      <c r="H2893" s="140" t="s">
        <v>14</v>
      </c>
      <c r="I2893" s="140" t="s">
        <v>14</v>
      </c>
      <c r="J2893" s="174"/>
    </row>
    <row r="2894" hidden="1" customHeight="1" spans="1:10">
      <c r="A2894" s="140" t="s">
        <v>524</v>
      </c>
      <c r="B2894" s="140" t="s">
        <v>398</v>
      </c>
      <c r="C2894" s="171">
        <v>45712</v>
      </c>
      <c r="D2894" s="172" t="s">
        <v>16</v>
      </c>
      <c r="E2894" s="140" t="s">
        <v>19</v>
      </c>
      <c r="F2894" s="140" t="s">
        <v>188</v>
      </c>
      <c r="G2894" s="140" t="s">
        <v>21</v>
      </c>
      <c r="H2894" s="140" t="s">
        <v>526</v>
      </c>
      <c r="I2894" s="140" t="s">
        <v>21</v>
      </c>
      <c r="J2894" s="174"/>
    </row>
    <row r="2895" hidden="1" customHeight="1" spans="1:10">
      <c r="A2895" s="140" t="s">
        <v>524</v>
      </c>
      <c r="B2895" s="140" t="s">
        <v>398</v>
      </c>
      <c r="C2895" s="171">
        <v>45713</v>
      </c>
      <c r="D2895" s="172" t="s">
        <v>17</v>
      </c>
      <c r="E2895" s="140" t="s">
        <v>19</v>
      </c>
      <c r="F2895" s="140" t="s">
        <v>195</v>
      </c>
      <c r="G2895" s="140" t="s">
        <v>21</v>
      </c>
      <c r="H2895" s="140" t="s">
        <v>371</v>
      </c>
      <c r="I2895" s="140" t="s">
        <v>21</v>
      </c>
      <c r="J2895" s="174"/>
    </row>
    <row r="2896" hidden="1" customHeight="1" spans="1:10">
      <c r="A2896" s="140" t="s">
        <v>524</v>
      </c>
      <c r="B2896" s="140" t="s">
        <v>398</v>
      </c>
      <c r="C2896" s="171">
        <v>45714</v>
      </c>
      <c r="D2896" s="172" t="s">
        <v>18</v>
      </c>
      <c r="E2896" s="140" t="s">
        <v>19</v>
      </c>
      <c r="F2896" s="140" t="s">
        <v>40</v>
      </c>
      <c r="G2896" s="140" t="s">
        <v>21</v>
      </c>
      <c r="H2896" s="140" t="s">
        <v>517</v>
      </c>
      <c r="I2896" s="140" t="s">
        <v>21</v>
      </c>
      <c r="J2896" s="174"/>
    </row>
    <row r="2897" hidden="1" customHeight="1" spans="1:10">
      <c r="A2897" s="140" t="s">
        <v>524</v>
      </c>
      <c r="B2897" s="140" t="s">
        <v>398</v>
      </c>
      <c r="C2897" s="171">
        <v>45715</v>
      </c>
      <c r="D2897" s="172" t="s">
        <v>23</v>
      </c>
      <c r="E2897" s="140" t="s">
        <v>19</v>
      </c>
      <c r="F2897" s="140" t="s">
        <v>40</v>
      </c>
      <c r="G2897" s="140" t="s">
        <v>21</v>
      </c>
      <c r="H2897" s="140" t="s">
        <v>375</v>
      </c>
      <c r="I2897" s="140" t="s">
        <v>21</v>
      </c>
      <c r="J2897" s="174"/>
    </row>
    <row r="2898" hidden="1" customHeight="1" spans="1:10">
      <c r="A2898" s="140" t="s">
        <v>524</v>
      </c>
      <c r="B2898" s="140" t="s">
        <v>398</v>
      </c>
      <c r="C2898" s="171">
        <v>45716</v>
      </c>
      <c r="D2898" s="172" t="s">
        <v>25</v>
      </c>
      <c r="E2898" s="140" t="s">
        <v>19</v>
      </c>
      <c r="F2898" s="140" t="s">
        <v>195</v>
      </c>
      <c r="G2898" s="140" t="s">
        <v>21</v>
      </c>
      <c r="H2898" s="140" t="s">
        <v>340</v>
      </c>
      <c r="I2898" s="140" t="s">
        <v>21</v>
      </c>
      <c r="J2898" s="174"/>
    </row>
    <row r="2899" hidden="1" customHeight="1" spans="1:10">
      <c r="A2899" s="140" t="s">
        <v>527</v>
      </c>
      <c r="B2899" s="140" t="s">
        <v>398</v>
      </c>
      <c r="C2899" s="171">
        <v>45689</v>
      </c>
      <c r="D2899" s="172" t="s">
        <v>12</v>
      </c>
      <c r="E2899" s="173" t="s">
        <v>13</v>
      </c>
      <c r="F2899" s="140" t="s">
        <v>14</v>
      </c>
      <c r="G2899" s="140" t="s">
        <v>14</v>
      </c>
      <c r="H2899" s="140" t="s">
        <v>14</v>
      </c>
      <c r="I2899" s="140" t="s">
        <v>14</v>
      </c>
      <c r="J2899" s="174"/>
    </row>
    <row r="2900" hidden="1" customHeight="1" spans="1:10">
      <c r="A2900" s="140" t="s">
        <v>527</v>
      </c>
      <c r="B2900" s="140" t="s">
        <v>398</v>
      </c>
      <c r="C2900" s="171">
        <v>45690</v>
      </c>
      <c r="D2900" s="172" t="s">
        <v>15</v>
      </c>
      <c r="E2900" s="173" t="s">
        <v>13</v>
      </c>
      <c r="F2900" s="140" t="s">
        <v>14</v>
      </c>
      <c r="G2900" s="140" t="s">
        <v>14</v>
      </c>
      <c r="H2900" s="140" t="s">
        <v>14</v>
      </c>
      <c r="I2900" s="140" t="s">
        <v>14</v>
      </c>
      <c r="J2900" s="174"/>
    </row>
    <row r="2901" hidden="1" customHeight="1" spans="1:10">
      <c r="A2901" s="140" t="s">
        <v>527</v>
      </c>
      <c r="B2901" s="140" t="s">
        <v>398</v>
      </c>
      <c r="C2901" s="171">
        <v>45691</v>
      </c>
      <c r="D2901" s="172" t="s">
        <v>16</v>
      </c>
      <c r="E2901" s="173" t="s">
        <v>13</v>
      </c>
      <c r="F2901" s="140" t="s">
        <v>14</v>
      </c>
      <c r="G2901" s="140" t="s">
        <v>14</v>
      </c>
      <c r="H2901" s="140" t="s">
        <v>14</v>
      </c>
      <c r="I2901" s="140" t="s">
        <v>14</v>
      </c>
      <c r="J2901" s="174"/>
    </row>
    <row r="2902" hidden="1" customHeight="1" spans="1:10">
      <c r="A2902" s="140" t="s">
        <v>527</v>
      </c>
      <c r="B2902" s="140" t="s">
        <v>398</v>
      </c>
      <c r="C2902" s="171">
        <v>45692</v>
      </c>
      <c r="D2902" s="172" t="s">
        <v>17</v>
      </c>
      <c r="E2902" s="173" t="s">
        <v>13</v>
      </c>
      <c r="F2902" s="140" t="s">
        <v>14</v>
      </c>
      <c r="G2902" s="140" t="s">
        <v>14</v>
      </c>
      <c r="H2902" s="140" t="s">
        <v>14</v>
      </c>
      <c r="I2902" s="140" t="s">
        <v>14</v>
      </c>
      <c r="J2902" s="174"/>
    </row>
    <row r="2903" hidden="1" customHeight="1" spans="1:10">
      <c r="A2903" s="140" t="s">
        <v>527</v>
      </c>
      <c r="B2903" s="140" t="s">
        <v>398</v>
      </c>
      <c r="C2903" s="171">
        <v>45693</v>
      </c>
      <c r="D2903" s="172" t="s">
        <v>18</v>
      </c>
      <c r="E2903" s="140" t="s">
        <v>19</v>
      </c>
      <c r="F2903" s="140" t="s">
        <v>139</v>
      </c>
      <c r="G2903" s="140" t="s">
        <v>21</v>
      </c>
      <c r="H2903" s="140" t="s">
        <v>201</v>
      </c>
      <c r="I2903" s="140" t="s">
        <v>21</v>
      </c>
      <c r="J2903" s="174"/>
    </row>
    <row r="2904" hidden="1" customHeight="1" spans="1:10">
      <c r="A2904" s="140" t="s">
        <v>527</v>
      </c>
      <c r="B2904" s="140" t="s">
        <v>398</v>
      </c>
      <c r="C2904" s="171">
        <v>45694</v>
      </c>
      <c r="D2904" s="172" t="s">
        <v>23</v>
      </c>
      <c r="E2904" s="140" t="s">
        <v>19</v>
      </c>
      <c r="F2904" s="140" t="s">
        <v>195</v>
      </c>
      <c r="G2904" s="140" t="s">
        <v>21</v>
      </c>
      <c r="H2904" s="140" t="s">
        <v>41</v>
      </c>
      <c r="I2904" s="140" t="s">
        <v>21</v>
      </c>
      <c r="J2904" s="174"/>
    </row>
    <row r="2905" hidden="1" customHeight="1" spans="1:10">
      <c r="A2905" s="140" t="s">
        <v>527</v>
      </c>
      <c r="B2905" s="140" t="s">
        <v>398</v>
      </c>
      <c r="C2905" s="171">
        <v>45695</v>
      </c>
      <c r="D2905" s="172" t="s">
        <v>25</v>
      </c>
      <c r="E2905" s="140" t="s">
        <v>19</v>
      </c>
      <c r="F2905" s="140" t="s">
        <v>108</v>
      </c>
      <c r="G2905" s="140" t="s">
        <v>21</v>
      </c>
      <c r="H2905" s="140" t="s">
        <v>239</v>
      </c>
      <c r="I2905" s="140" t="s">
        <v>21</v>
      </c>
      <c r="J2905" s="174"/>
    </row>
    <row r="2906" hidden="1" customHeight="1" spans="1:10">
      <c r="A2906" s="140" t="s">
        <v>527</v>
      </c>
      <c r="B2906" s="140" t="s">
        <v>398</v>
      </c>
      <c r="C2906" s="171">
        <v>45696</v>
      </c>
      <c r="D2906" s="172" t="s">
        <v>27</v>
      </c>
      <c r="E2906" s="140" t="s">
        <v>19</v>
      </c>
      <c r="F2906" s="140" t="s">
        <v>195</v>
      </c>
      <c r="G2906" s="140" t="s">
        <v>21</v>
      </c>
      <c r="H2906" s="140" t="s">
        <v>181</v>
      </c>
      <c r="I2906" s="140" t="s">
        <v>21</v>
      </c>
      <c r="J2906" s="174"/>
    </row>
    <row r="2907" hidden="1" customHeight="1" spans="1:10">
      <c r="A2907" s="140" t="s">
        <v>527</v>
      </c>
      <c r="B2907" s="140" t="s">
        <v>398</v>
      </c>
      <c r="C2907" s="171">
        <v>45697</v>
      </c>
      <c r="D2907" s="172" t="s">
        <v>15</v>
      </c>
      <c r="E2907" s="173" t="s">
        <v>13</v>
      </c>
      <c r="F2907" s="140" t="s">
        <v>14</v>
      </c>
      <c r="G2907" s="140" t="s">
        <v>14</v>
      </c>
      <c r="H2907" s="140" t="s">
        <v>14</v>
      </c>
      <c r="I2907" s="140" t="s">
        <v>14</v>
      </c>
      <c r="J2907" s="174"/>
    </row>
    <row r="2908" hidden="1" customHeight="1" spans="1:10">
      <c r="A2908" s="140" t="s">
        <v>527</v>
      </c>
      <c r="B2908" s="140" t="s">
        <v>398</v>
      </c>
      <c r="C2908" s="171">
        <v>45698</v>
      </c>
      <c r="D2908" s="172" t="s">
        <v>16</v>
      </c>
      <c r="E2908" s="140" t="s">
        <v>19</v>
      </c>
      <c r="F2908" s="140" t="s">
        <v>150</v>
      </c>
      <c r="G2908" s="140" t="s">
        <v>21</v>
      </c>
      <c r="H2908" s="140" t="s">
        <v>78</v>
      </c>
      <c r="I2908" s="140" t="s">
        <v>21</v>
      </c>
      <c r="J2908" s="174"/>
    </row>
    <row r="2909" hidden="1" customHeight="1" spans="1:10">
      <c r="A2909" s="140" t="s">
        <v>527</v>
      </c>
      <c r="B2909" s="140" t="s">
        <v>398</v>
      </c>
      <c r="C2909" s="171">
        <v>45699</v>
      </c>
      <c r="D2909" s="172" t="s">
        <v>17</v>
      </c>
      <c r="E2909" s="140" t="s">
        <v>19</v>
      </c>
      <c r="F2909" s="140" t="s">
        <v>110</v>
      </c>
      <c r="G2909" s="140" t="s">
        <v>21</v>
      </c>
      <c r="H2909" s="140" t="s">
        <v>75</v>
      </c>
      <c r="I2909" s="140" t="s">
        <v>21</v>
      </c>
      <c r="J2909" s="174"/>
    </row>
    <row r="2910" hidden="1" customHeight="1" spans="1:10">
      <c r="A2910" s="140" t="s">
        <v>527</v>
      </c>
      <c r="B2910" s="140" t="s">
        <v>398</v>
      </c>
      <c r="C2910" s="171">
        <v>45700</v>
      </c>
      <c r="D2910" s="172" t="s">
        <v>18</v>
      </c>
      <c r="E2910" s="140" t="s">
        <v>19</v>
      </c>
      <c r="F2910" s="140" t="s">
        <v>195</v>
      </c>
      <c r="G2910" s="140" t="s">
        <v>21</v>
      </c>
      <c r="H2910" s="140" t="s">
        <v>92</v>
      </c>
      <c r="I2910" s="140" t="s">
        <v>21</v>
      </c>
      <c r="J2910" s="174"/>
    </row>
    <row r="2911" hidden="1" customHeight="1" spans="1:10">
      <c r="A2911" s="140" t="s">
        <v>527</v>
      </c>
      <c r="B2911" s="140" t="s">
        <v>398</v>
      </c>
      <c r="C2911" s="171">
        <v>45701</v>
      </c>
      <c r="D2911" s="172" t="s">
        <v>23</v>
      </c>
      <c r="E2911" s="140" t="s">
        <v>19</v>
      </c>
      <c r="F2911" s="140" t="s">
        <v>108</v>
      </c>
      <c r="G2911" s="140" t="s">
        <v>21</v>
      </c>
      <c r="H2911" s="140" t="s">
        <v>163</v>
      </c>
      <c r="I2911" s="140" t="s">
        <v>21</v>
      </c>
      <c r="J2911" s="174"/>
    </row>
    <row r="2912" hidden="1" customHeight="1" spans="1:10">
      <c r="A2912" s="140" t="s">
        <v>527</v>
      </c>
      <c r="B2912" s="140" t="s">
        <v>398</v>
      </c>
      <c r="C2912" s="171">
        <v>45702</v>
      </c>
      <c r="D2912" s="172" t="s">
        <v>25</v>
      </c>
      <c r="E2912" s="140" t="s">
        <v>19</v>
      </c>
      <c r="F2912" s="140" t="s">
        <v>195</v>
      </c>
      <c r="G2912" s="140" t="s">
        <v>21</v>
      </c>
      <c r="H2912" s="140" t="s">
        <v>185</v>
      </c>
      <c r="I2912" s="140" t="s">
        <v>21</v>
      </c>
      <c r="J2912" s="174"/>
    </row>
    <row r="2913" hidden="1" customHeight="1" spans="1:10">
      <c r="A2913" s="140" t="s">
        <v>527</v>
      </c>
      <c r="B2913" s="140" t="s">
        <v>398</v>
      </c>
      <c r="C2913" s="171">
        <v>45703</v>
      </c>
      <c r="D2913" s="172" t="s">
        <v>27</v>
      </c>
      <c r="E2913" s="173" t="s">
        <v>13</v>
      </c>
      <c r="F2913" s="140" t="s">
        <v>14</v>
      </c>
      <c r="G2913" s="140" t="s">
        <v>14</v>
      </c>
      <c r="H2913" s="140" t="s">
        <v>14</v>
      </c>
      <c r="I2913" s="140" t="s">
        <v>14</v>
      </c>
      <c r="J2913" s="174"/>
    </row>
    <row r="2914" hidden="1" customHeight="1" spans="1:10">
      <c r="A2914" s="140" t="s">
        <v>527</v>
      </c>
      <c r="B2914" s="140" t="s">
        <v>398</v>
      </c>
      <c r="C2914" s="171">
        <v>45704</v>
      </c>
      <c r="D2914" s="172" t="s">
        <v>15</v>
      </c>
      <c r="E2914" s="173" t="s">
        <v>13</v>
      </c>
      <c r="F2914" s="140" t="s">
        <v>14</v>
      </c>
      <c r="G2914" s="140" t="s">
        <v>14</v>
      </c>
      <c r="H2914" s="140" t="s">
        <v>14</v>
      </c>
      <c r="I2914" s="140" t="s">
        <v>14</v>
      </c>
      <c r="J2914" s="174"/>
    </row>
    <row r="2915" hidden="1" customHeight="1" spans="1:10">
      <c r="A2915" s="140" t="s">
        <v>527</v>
      </c>
      <c r="B2915" s="140" t="s">
        <v>398</v>
      </c>
      <c r="C2915" s="171">
        <v>45705</v>
      </c>
      <c r="D2915" s="172" t="s">
        <v>16</v>
      </c>
      <c r="E2915" s="140" t="s">
        <v>19</v>
      </c>
      <c r="F2915" s="140" t="s">
        <v>154</v>
      </c>
      <c r="G2915" s="140" t="s">
        <v>21</v>
      </c>
      <c r="H2915" s="140" t="s">
        <v>95</v>
      </c>
      <c r="I2915" s="140" t="s">
        <v>21</v>
      </c>
      <c r="J2915" s="174"/>
    </row>
    <row r="2916" hidden="1" customHeight="1" spans="1:10">
      <c r="A2916" s="140" t="s">
        <v>527</v>
      </c>
      <c r="B2916" s="140" t="s">
        <v>398</v>
      </c>
      <c r="C2916" s="171">
        <v>45706</v>
      </c>
      <c r="D2916" s="172" t="s">
        <v>17</v>
      </c>
      <c r="E2916" s="140" t="s">
        <v>19</v>
      </c>
      <c r="F2916" s="140" t="s">
        <v>40</v>
      </c>
      <c r="G2916" s="140" t="s">
        <v>21</v>
      </c>
      <c r="H2916" s="140" t="s">
        <v>176</v>
      </c>
      <c r="I2916" s="140" t="s">
        <v>21</v>
      </c>
      <c r="J2916" s="174"/>
    </row>
    <row r="2917" hidden="1" customHeight="1" spans="1:10">
      <c r="A2917" s="140" t="s">
        <v>527</v>
      </c>
      <c r="B2917" s="140" t="s">
        <v>398</v>
      </c>
      <c r="C2917" s="171">
        <v>45707</v>
      </c>
      <c r="D2917" s="172" t="s">
        <v>18</v>
      </c>
      <c r="E2917" s="140" t="s">
        <v>19</v>
      </c>
      <c r="F2917" s="140" t="s">
        <v>193</v>
      </c>
      <c r="G2917" s="140" t="s">
        <v>21</v>
      </c>
      <c r="H2917" s="140" t="s">
        <v>332</v>
      </c>
      <c r="I2917" s="140" t="s">
        <v>21</v>
      </c>
      <c r="J2917" s="174"/>
    </row>
    <row r="2918" hidden="1" customHeight="1" spans="1:10">
      <c r="A2918" s="140" t="s">
        <v>527</v>
      </c>
      <c r="B2918" s="140" t="s">
        <v>398</v>
      </c>
      <c r="C2918" s="171">
        <v>45708</v>
      </c>
      <c r="D2918" s="172" t="s">
        <v>23</v>
      </c>
      <c r="E2918" s="140" t="s">
        <v>19</v>
      </c>
      <c r="F2918" s="140" t="s">
        <v>146</v>
      </c>
      <c r="G2918" s="140" t="s">
        <v>21</v>
      </c>
      <c r="H2918" s="140" t="s">
        <v>371</v>
      </c>
      <c r="I2918" s="140" t="s">
        <v>21</v>
      </c>
      <c r="J2918" s="174"/>
    </row>
    <row r="2919" hidden="1" customHeight="1" spans="1:10">
      <c r="A2919" s="140" t="s">
        <v>527</v>
      </c>
      <c r="B2919" s="140" t="s">
        <v>398</v>
      </c>
      <c r="C2919" s="171">
        <v>45709</v>
      </c>
      <c r="D2919" s="172" t="s">
        <v>25</v>
      </c>
      <c r="E2919" s="140" t="s">
        <v>19</v>
      </c>
      <c r="F2919" s="140" t="s">
        <v>195</v>
      </c>
      <c r="G2919" s="140" t="s">
        <v>21</v>
      </c>
      <c r="H2919" s="140" t="s">
        <v>517</v>
      </c>
      <c r="I2919" s="140" t="s">
        <v>21</v>
      </c>
      <c r="J2919" s="174"/>
    </row>
    <row r="2920" hidden="1" customHeight="1" spans="1:10">
      <c r="A2920" s="140" t="s">
        <v>527</v>
      </c>
      <c r="B2920" s="140" t="s">
        <v>398</v>
      </c>
      <c r="C2920" s="171">
        <v>45710</v>
      </c>
      <c r="D2920" s="172" t="s">
        <v>27</v>
      </c>
      <c r="E2920" s="173" t="s">
        <v>13</v>
      </c>
      <c r="F2920" s="140" t="s">
        <v>14</v>
      </c>
      <c r="G2920" s="140" t="s">
        <v>14</v>
      </c>
      <c r="H2920" s="140" t="s">
        <v>14</v>
      </c>
      <c r="I2920" s="140" t="s">
        <v>14</v>
      </c>
      <c r="J2920" s="174"/>
    </row>
    <row r="2921" hidden="1" customHeight="1" spans="1:10">
      <c r="A2921" s="140" t="s">
        <v>527</v>
      </c>
      <c r="B2921" s="140" t="s">
        <v>398</v>
      </c>
      <c r="C2921" s="171">
        <v>45711</v>
      </c>
      <c r="D2921" s="172" t="s">
        <v>15</v>
      </c>
      <c r="E2921" s="173" t="s">
        <v>13</v>
      </c>
      <c r="F2921" s="140" t="s">
        <v>14</v>
      </c>
      <c r="G2921" s="140" t="s">
        <v>14</v>
      </c>
      <c r="H2921" s="140" t="s">
        <v>14</v>
      </c>
      <c r="I2921" s="140" t="s">
        <v>14</v>
      </c>
      <c r="J2921" s="174"/>
    </row>
    <row r="2922" hidden="1" customHeight="1" spans="1:10">
      <c r="A2922" s="140" t="s">
        <v>527</v>
      </c>
      <c r="B2922" s="140" t="s">
        <v>398</v>
      </c>
      <c r="C2922" s="171">
        <v>45712</v>
      </c>
      <c r="D2922" s="172" t="s">
        <v>16</v>
      </c>
      <c r="E2922" s="140" t="s">
        <v>19</v>
      </c>
      <c r="F2922" s="140" t="s">
        <v>110</v>
      </c>
      <c r="G2922" s="140" t="s">
        <v>21</v>
      </c>
      <c r="H2922" s="140" t="s">
        <v>455</v>
      </c>
      <c r="I2922" s="140" t="s">
        <v>21</v>
      </c>
      <c r="J2922" s="174"/>
    </row>
    <row r="2923" hidden="1" customHeight="1" spans="1:10">
      <c r="A2923" s="140" t="s">
        <v>527</v>
      </c>
      <c r="B2923" s="140" t="s">
        <v>398</v>
      </c>
      <c r="C2923" s="171">
        <v>45713</v>
      </c>
      <c r="D2923" s="172" t="s">
        <v>17</v>
      </c>
      <c r="E2923" s="140" t="s">
        <v>19</v>
      </c>
      <c r="F2923" s="140" t="s">
        <v>108</v>
      </c>
      <c r="G2923" s="140" t="s">
        <v>21</v>
      </c>
      <c r="H2923" s="140" t="s">
        <v>482</v>
      </c>
      <c r="I2923" s="140" t="s">
        <v>21</v>
      </c>
      <c r="J2923" s="174"/>
    </row>
    <row r="2924" hidden="1" customHeight="1" spans="1:10">
      <c r="A2924" s="140" t="s">
        <v>527</v>
      </c>
      <c r="B2924" s="140" t="s">
        <v>398</v>
      </c>
      <c r="C2924" s="171">
        <v>45714</v>
      </c>
      <c r="D2924" s="172" t="s">
        <v>18</v>
      </c>
      <c r="E2924" s="140" t="s">
        <v>19</v>
      </c>
      <c r="F2924" s="140" t="s">
        <v>108</v>
      </c>
      <c r="G2924" s="140" t="s">
        <v>21</v>
      </c>
      <c r="H2924" s="140" t="s">
        <v>66</v>
      </c>
      <c r="I2924" s="140" t="s">
        <v>21</v>
      </c>
      <c r="J2924" s="174"/>
    </row>
    <row r="2925" hidden="1" customHeight="1" spans="1:10">
      <c r="A2925" s="140" t="s">
        <v>527</v>
      </c>
      <c r="B2925" s="140" t="s">
        <v>398</v>
      </c>
      <c r="C2925" s="171">
        <v>45715</v>
      </c>
      <c r="D2925" s="172" t="s">
        <v>23</v>
      </c>
      <c r="E2925" s="140" t="s">
        <v>19</v>
      </c>
      <c r="F2925" s="140" t="s">
        <v>40</v>
      </c>
      <c r="G2925" s="140" t="s">
        <v>21</v>
      </c>
      <c r="H2925" s="140" t="s">
        <v>95</v>
      </c>
      <c r="I2925" s="140" t="s">
        <v>21</v>
      </c>
      <c r="J2925" s="174"/>
    </row>
    <row r="2926" hidden="1" customHeight="1" spans="1:10">
      <c r="A2926" s="140" t="s">
        <v>527</v>
      </c>
      <c r="B2926" s="140" t="s">
        <v>398</v>
      </c>
      <c r="C2926" s="171">
        <v>45716</v>
      </c>
      <c r="D2926" s="172" t="s">
        <v>25</v>
      </c>
      <c r="E2926" s="140" t="s">
        <v>19</v>
      </c>
      <c r="F2926" s="140" t="s">
        <v>108</v>
      </c>
      <c r="G2926" s="140" t="s">
        <v>21</v>
      </c>
      <c r="H2926" s="140" t="s">
        <v>528</v>
      </c>
      <c r="I2926" s="140" t="s">
        <v>21</v>
      </c>
      <c r="J2926" s="174"/>
    </row>
    <row r="2927" hidden="1" customHeight="1" spans="1:10">
      <c r="A2927" s="140" t="s">
        <v>529</v>
      </c>
      <c r="B2927" s="140" t="s">
        <v>398</v>
      </c>
      <c r="C2927" s="171">
        <v>45689</v>
      </c>
      <c r="D2927" s="172" t="s">
        <v>12</v>
      </c>
      <c r="E2927" s="173" t="s">
        <v>13</v>
      </c>
      <c r="F2927" s="140" t="s">
        <v>14</v>
      </c>
      <c r="G2927" s="140" t="s">
        <v>14</v>
      </c>
      <c r="H2927" s="140" t="s">
        <v>14</v>
      </c>
      <c r="I2927" s="140" t="s">
        <v>14</v>
      </c>
      <c r="J2927" s="174"/>
    </row>
    <row r="2928" hidden="1" customHeight="1" spans="1:10">
      <c r="A2928" s="140" t="s">
        <v>529</v>
      </c>
      <c r="B2928" s="140" t="s">
        <v>398</v>
      </c>
      <c r="C2928" s="171">
        <v>45690</v>
      </c>
      <c r="D2928" s="172" t="s">
        <v>15</v>
      </c>
      <c r="E2928" s="173" t="s">
        <v>13</v>
      </c>
      <c r="F2928" s="140" t="s">
        <v>14</v>
      </c>
      <c r="G2928" s="140" t="s">
        <v>14</v>
      </c>
      <c r="H2928" s="140" t="s">
        <v>14</v>
      </c>
      <c r="I2928" s="140" t="s">
        <v>14</v>
      </c>
      <c r="J2928" s="174"/>
    </row>
    <row r="2929" hidden="1" customHeight="1" spans="1:10">
      <c r="A2929" s="140" t="s">
        <v>529</v>
      </c>
      <c r="B2929" s="140" t="s">
        <v>398</v>
      </c>
      <c r="C2929" s="171">
        <v>45691</v>
      </c>
      <c r="D2929" s="172" t="s">
        <v>16</v>
      </c>
      <c r="E2929" s="173" t="s">
        <v>13</v>
      </c>
      <c r="F2929" s="140" t="s">
        <v>14</v>
      </c>
      <c r="G2929" s="140" t="s">
        <v>14</v>
      </c>
      <c r="H2929" s="140" t="s">
        <v>14</v>
      </c>
      <c r="I2929" s="140" t="s">
        <v>14</v>
      </c>
      <c r="J2929" s="174"/>
    </row>
    <row r="2930" hidden="1" customHeight="1" spans="1:10">
      <c r="A2930" s="140" t="s">
        <v>529</v>
      </c>
      <c r="B2930" s="140" t="s">
        <v>398</v>
      </c>
      <c r="C2930" s="171">
        <v>45692</v>
      </c>
      <c r="D2930" s="172" t="s">
        <v>17</v>
      </c>
      <c r="E2930" s="173" t="s">
        <v>13</v>
      </c>
      <c r="F2930" s="140" t="s">
        <v>14</v>
      </c>
      <c r="G2930" s="140" t="s">
        <v>14</v>
      </c>
      <c r="H2930" s="140" t="s">
        <v>14</v>
      </c>
      <c r="I2930" s="140" t="s">
        <v>14</v>
      </c>
      <c r="J2930" s="174"/>
    </row>
    <row r="2931" hidden="1" customHeight="1" spans="1:10">
      <c r="A2931" s="140" t="s">
        <v>529</v>
      </c>
      <c r="B2931" s="140" t="s">
        <v>398</v>
      </c>
      <c r="C2931" s="171">
        <v>45693</v>
      </c>
      <c r="D2931" s="172" t="s">
        <v>18</v>
      </c>
      <c r="E2931" s="140" t="s">
        <v>19</v>
      </c>
      <c r="F2931" s="140" t="s">
        <v>458</v>
      </c>
      <c r="G2931" s="140" t="s">
        <v>21</v>
      </c>
      <c r="H2931" s="140" t="s">
        <v>385</v>
      </c>
      <c r="I2931" s="140" t="s">
        <v>21</v>
      </c>
      <c r="J2931" s="174"/>
    </row>
    <row r="2932" hidden="1" customHeight="1" spans="1:10">
      <c r="A2932" s="140" t="s">
        <v>529</v>
      </c>
      <c r="B2932" s="140" t="s">
        <v>398</v>
      </c>
      <c r="C2932" s="171">
        <v>45694</v>
      </c>
      <c r="D2932" s="172" t="s">
        <v>23</v>
      </c>
      <c r="E2932" s="140" t="s">
        <v>19</v>
      </c>
      <c r="F2932" s="140" t="s">
        <v>129</v>
      </c>
      <c r="G2932" s="140" t="s">
        <v>21</v>
      </c>
      <c r="H2932" s="140" t="s">
        <v>50</v>
      </c>
      <c r="I2932" s="140" t="s">
        <v>21</v>
      </c>
      <c r="J2932" s="174"/>
    </row>
    <row r="2933" hidden="1" customHeight="1" spans="1:10">
      <c r="A2933" s="140" t="s">
        <v>529</v>
      </c>
      <c r="B2933" s="140" t="s">
        <v>398</v>
      </c>
      <c r="C2933" s="171">
        <v>45695</v>
      </c>
      <c r="D2933" s="172" t="s">
        <v>25</v>
      </c>
      <c r="E2933" s="140" t="s">
        <v>19</v>
      </c>
      <c r="F2933" s="140" t="s">
        <v>183</v>
      </c>
      <c r="G2933" s="140" t="s">
        <v>21</v>
      </c>
      <c r="H2933" s="140" t="s">
        <v>235</v>
      </c>
      <c r="I2933" s="140" t="s">
        <v>21</v>
      </c>
      <c r="J2933" s="174"/>
    </row>
    <row r="2934" hidden="1" customHeight="1" spans="1:10">
      <c r="A2934" s="140" t="s">
        <v>529</v>
      </c>
      <c r="B2934" s="140" t="s">
        <v>398</v>
      </c>
      <c r="C2934" s="171">
        <v>45696</v>
      </c>
      <c r="D2934" s="172" t="s">
        <v>27</v>
      </c>
      <c r="E2934" s="140" t="s">
        <v>19</v>
      </c>
      <c r="F2934" s="140" t="s">
        <v>359</v>
      </c>
      <c r="G2934" s="140" t="s">
        <v>21</v>
      </c>
      <c r="H2934" s="140" t="s">
        <v>170</v>
      </c>
      <c r="I2934" s="140" t="s">
        <v>21</v>
      </c>
      <c r="J2934" s="174"/>
    </row>
    <row r="2935" hidden="1" customHeight="1" spans="1:10">
      <c r="A2935" s="140" t="s">
        <v>529</v>
      </c>
      <c r="B2935" s="140" t="s">
        <v>398</v>
      </c>
      <c r="C2935" s="171">
        <v>45697</v>
      </c>
      <c r="D2935" s="172" t="s">
        <v>15</v>
      </c>
      <c r="E2935" s="173" t="s">
        <v>13</v>
      </c>
      <c r="F2935" s="140" t="s">
        <v>14</v>
      </c>
      <c r="G2935" s="140" t="s">
        <v>14</v>
      </c>
      <c r="H2935" s="140" t="s">
        <v>14</v>
      </c>
      <c r="I2935" s="140" t="s">
        <v>14</v>
      </c>
      <c r="J2935" s="174"/>
    </row>
    <row r="2936" hidden="1" customHeight="1" spans="1:10">
      <c r="A2936" s="140" t="s">
        <v>529</v>
      </c>
      <c r="B2936" s="140" t="s">
        <v>398</v>
      </c>
      <c r="C2936" s="171">
        <v>45698</v>
      </c>
      <c r="D2936" s="172" t="s">
        <v>16</v>
      </c>
      <c r="E2936" s="140" t="s">
        <v>19</v>
      </c>
      <c r="F2936" s="140" t="s">
        <v>135</v>
      </c>
      <c r="G2936" s="140" t="s">
        <v>21</v>
      </c>
      <c r="H2936" s="140" t="s">
        <v>50</v>
      </c>
      <c r="I2936" s="140" t="s">
        <v>21</v>
      </c>
      <c r="J2936" s="174"/>
    </row>
    <row r="2937" hidden="1" customHeight="1" spans="1:10">
      <c r="A2937" s="140" t="s">
        <v>529</v>
      </c>
      <c r="B2937" s="140" t="s">
        <v>398</v>
      </c>
      <c r="C2937" s="171">
        <v>45699</v>
      </c>
      <c r="D2937" s="172" t="s">
        <v>17</v>
      </c>
      <c r="E2937" s="140" t="s">
        <v>19</v>
      </c>
      <c r="F2937" s="140" t="s">
        <v>322</v>
      </c>
      <c r="G2937" s="140" t="s">
        <v>21</v>
      </c>
      <c r="H2937" s="140" t="s">
        <v>167</v>
      </c>
      <c r="I2937" s="140" t="s">
        <v>21</v>
      </c>
      <c r="J2937" s="174"/>
    </row>
    <row r="2938" hidden="1" customHeight="1" spans="1:10">
      <c r="A2938" s="140" t="s">
        <v>529</v>
      </c>
      <c r="B2938" s="140" t="s">
        <v>398</v>
      </c>
      <c r="C2938" s="171">
        <v>45700</v>
      </c>
      <c r="D2938" s="172" t="s">
        <v>18</v>
      </c>
      <c r="E2938" s="140" t="s">
        <v>19</v>
      </c>
      <c r="F2938" s="140" t="s">
        <v>177</v>
      </c>
      <c r="G2938" s="140" t="s">
        <v>21</v>
      </c>
      <c r="H2938" s="140" t="s">
        <v>206</v>
      </c>
      <c r="I2938" s="140" t="s">
        <v>21</v>
      </c>
      <c r="J2938" s="174"/>
    </row>
    <row r="2939" hidden="1" customHeight="1" spans="1:10">
      <c r="A2939" s="140" t="s">
        <v>529</v>
      </c>
      <c r="B2939" s="140" t="s">
        <v>398</v>
      </c>
      <c r="C2939" s="171">
        <v>45701</v>
      </c>
      <c r="D2939" s="172" t="s">
        <v>23</v>
      </c>
      <c r="E2939" s="140" t="s">
        <v>19</v>
      </c>
      <c r="F2939" s="140" t="s">
        <v>173</v>
      </c>
      <c r="G2939" s="140" t="s">
        <v>21</v>
      </c>
      <c r="H2939" s="140" t="s">
        <v>50</v>
      </c>
      <c r="I2939" s="140" t="s">
        <v>21</v>
      </c>
      <c r="J2939" s="174"/>
    </row>
    <row r="2940" hidden="1" customHeight="1" spans="1:10">
      <c r="A2940" s="140" t="s">
        <v>529</v>
      </c>
      <c r="B2940" s="140" t="s">
        <v>398</v>
      </c>
      <c r="C2940" s="171">
        <v>45702</v>
      </c>
      <c r="D2940" s="172" t="s">
        <v>25</v>
      </c>
      <c r="E2940" s="140" t="s">
        <v>19</v>
      </c>
      <c r="F2940" s="140" t="s">
        <v>171</v>
      </c>
      <c r="G2940" s="140" t="s">
        <v>21</v>
      </c>
      <c r="H2940" s="140" t="s">
        <v>191</v>
      </c>
      <c r="I2940" s="140" t="s">
        <v>21</v>
      </c>
      <c r="J2940" s="174"/>
    </row>
    <row r="2941" hidden="1" customHeight="1" spans="1:10">
      <c r="A2941" s="140" t="s">
        <v>529</v>
      </c>
      <c r="B2941" s="140" t="s">
        <v>398</v>
      </c>
      <c r="C2941" s="171">
        <v>45703</v>
      </c>
      <c r="D2941" s="172" t="s">
        <v>27</v>
      </c>
      <c r="E2941" s="173" t="s">
        <v>13</v>
      </c>
      <c r="F2941" s="140" t="s">
        <v>14</v>
      </c>
      <c r="G2941" s="140" t="s">
        <v>14</v>
      </c>
      <c r="H2941" s="140" t="s">
        <v>14</v>
      </c>
      <c r="I2941" s="140" t="s">
        <v>14</v>
      </c>
      <c r="J2941" s="174"/>
    </row>
    <row r="2942" hidden="1" customHeight="1" spans="1:10">
      <c r="A2942" s="140" t="s">
        <v>529</v>
      </c>
      <c r="B2942" s="140" t="s">
        <v>398</v>
      </c>
      <c r="C2942" s="171">
        <v>45704</v>
      </c>
      <c r="D2942" s="172" t="s">
        <v>15</v>
      </c>
      <c r="E2942" s="173" t="s">
        <v>13</v>
      </c>
      <c r="F2942" s="140" t="s">
        <v>14</v>
      </c>
      <c r="G2942" s="140" t="s">
        <v>14</v>
      </c>
      <c r="H2942" s="140" t="s">
        <v>14</v>
      </c>
      <c r="I2942" s="140" t="s">
        <v>14</v>
      </c>
      <c r="J2942" s="175"/>
    </row>
    <row r="2943" hidden="1" customHeight="1" spans="1:10">
      <c r="A2943" s="140" t="s">
        <v>529</v>
      </c>
      <c r="B2943" s="140" t="s">
        <v>398</v>
      </c>
      <c r="C2943" s="171">
        <v>45705</v>
      </c>
      <c r="D2943" s="172" t="s">
        <v>16</v>
      </c>
      <c r="E2943" s="140" t="s">
        <v>19</v>
      </c>
      <c r="F2943" s="140" t="s">
        <v>177</v>
      </c>
      <c r="G2943" s="140" t="s">
        <v>21</v>
      </c>
      <c r="H2943" s="140" t="s">
        <v>73</v>
      </c>
      <c r="I2943" s="140" t="s">
        <v>21</v>
      </c>
      <c r="J2943" s="175"/>
    </row>
    <row r="2944" hidden="1" customHeight="1" spans="1:10">
      <c r="A2944" s="140" t="s">
        <v>529</v>
      </c>
      <c r="B2944" s="140" t="s">
        <v>398</v>
      </c>
      <c r="C2944" s="171">
        <v>45706</v>
      </c>
      <c r="D2944" s="172" t="s">
        <v>17</v>
      </c>
      <c r="E2944" s="140" t="s">
        <v>19</v>
      </c>
      <c r="F2944" s="140" t="s">
        <v>107</v>
      </c>
      <c r="G2944" s="140" t="s">
        <v>21</v>
      </c>
      <c r="H2944" s="140" t="s">
        <v>278</v>
      </c>
      <c r="I2944" s="140" t="s">
        <v>21</v>
      </c>
      <c r="J2944" s="175"/>
    </row>
    <row r="2945" hidden="1" customHeight="1" spans="1:10">
      <c r="A2945" s="140" t="s">
        <v>529</v>
      </c>
      <c r="B2945" s="140" t="s">
        <v>398</v>
      </c>
      <c r="C2945" s="171">
        <v>45707</v>
      </c>
      <c r="D2945" s="172" t="s">
        <v>18</v>
      </c>
      <c r="E2945" s="140" t="s">
        <v>19</v>
      </c>
      <c r="F2945" s="140" t="s">
        <v>171</v>
      </c>
      <c r="G2945" s="140" t="s">
        <v>21</v>
      </c>
      <c r="H2945" s="140" t="s">
        <v>235</v>
      </c>
      <c r="I2945" s="140" t="s">
        <v>21</v>
      </c>
      <c r="J2945" s="174"/>
    </row>
    <row r="2946" hidden="1" customHeight="1" spans="1:10">
      <c r="A2946" s="140" t="s">
        <v>529</v>
      </c>
      <c r="B2946" s="140" t="s">
        <v>398</v>
      </c>
      <c r="C2946" s="171">
        <v>45708</v>
      </c>
      <c r="D2946" s="172" t="s">
        <v>23</v>
      </c>
      <c r="E2946" s="140" t="s">
        <v>19</v>
      </c>
      <c r="F2946" s="140" t="s">
        <v>131</v>
      </c>
      <c r="G2946" s="140" t="s">
        <v>21</v>
      </c>
      <c r="H2946" s="140" t="s">
        <v>45</v>
      </c>
      <c r="I2946" s="140" t="s">
        <v>21</v>
      </c>
      <c r="J2946" s="174"/>
    </row>
    <row r="2947" hidden="1" customHeight="1" spans="1:10">
      <c r="A2947" s="140" t="s">
        <v>529</v>
      </c>
      <c r="B2947" s="140" t="s">
        <v>398</v>
      </c>
      <c r="C2947" s="171">
        <v>45709</v>
      </c>
      <c r="D2947" s="172" t="s">
        <v>25</v>
      </c>
      <c r="E2947" s="140" t="s">
        <v>19</v>
      </c>
      <c r="F2947" s="140" t="s">
        <v>131</v>
      </c>
      <c r="G2947" s="140" t="s">
        <v>21</v>
      </c>
      <c r="H2947" s="140" t="s">
        <v>232</v>
      </c>
      <c r="I2947" s="140" t="s">
        <v>21</v>
      </c>
      <c r="J2947" s="175"/>
    </row>
    <row r="2948" hidden="1" customHeight="1" spans="1:10">
      <c r="A2948" s="140" t="s">
        <v>529</v>
      </c>
      <c r="B2948" s="140" t="s">
        <v>398</v>
      </c>
      <c r="C2948" s="171">
        <v>45710</v>
      </c>
      <c r="D2948" s="172" t="s">
        <v>27</v>
      </c>
      <c r="E2948" s="173" t="s">
        <v>13</v>
      </c>
      <c r="F2948" s="140" t="s">
        <v>14</v>
      </c>
      <c r="G2948" s="140" t="s">
        <v>14</v>
      </c>
      <c r="H2948" s="140" t="s">
        <v>14</v>
      </c>
      <c r="I2948" s="140" t="s">
        <v>14</v>
      </c>
      <c r="J2948" s="174"/>
    </row>
    <row r="2949" hidden="1" customHeight="1" spans="1:10">
      <c r="A2949" s="140" t="s">
        <v>529</v>
      </c>
      <c r="B2949" s="140" t="s">
        <v>398</v>
      </c>
      <c r="C2949" s="171">
        <v>45711</v>
      </c>
      <c r="D2949" s="172" t="s">
        <v>15</v>
      </c>
      <c r="E2949" s="173" t="s">
        <v>13</v>
      </c>
      <c r="F2949" s="140" t="s">
        <v>14</v>
      </c>
      <c r="G2949" s="140" t="s">
        <v>14</v>
      </c>
      <c r="H2949" s="140" t="s">
        <v>14</v>
      </c>
      <c r="I2949" s="140" t="s">
        <v>14</v>
      </c>
      <c r="J2949" s="174"/>
    </row>
    <row r="2950" hidden="1" customHeight="1" spans="1:10">
      <c r="A2950" s="140" t="s">
        <v>529</v>
      </c>
      <c r="B2950" s="140" t="s">
        <v>398</v>
      </c>
      <c r="C2950" s="171">
        <v>45712</v>
      </c>
      <c r="D2950" s="172" t="s">
        <v>16</v>
      </c>
      <c r="E2950" s="140" t="s">
        <v>19</v>
      </c>
      <c r="F2950" s="140" t="s">
        <v>173</v>
      </c>
      <c r="G2950" s="140" t="s">
        <v>21</v>
      </c>
      <c r="H2950" s="140" t="s">
        <v>50</v>
      </c>
      <c r="I2950" s="140" t="s">
        <v>21</v>
      </c>
      <c r="J2950" s="174"/>
    </row>
    <row r="2951" hidden="1" customHeight="1" spans="1:10">
      <c r="A2951" s="140" t="s">
        <v>529</v>
      </c>
      <c r="B2951" s="140" t="s">
        <v>398</v>
      </c>
      <c r="C2951" s="171">
        <v>45713</v>
      </c>
      <c r="D2951" s="172" t="s">
        <v>17</v>
      </c>
      <c r="E2951" s="140" t="s">
        <v>19</v>
      </c>
      <c r="F2951" s="140" t="s">
        <v>177</v>
      </c>
      <c r="G2951" s="140" t="s">
        <v>21</v>
      </c>
      <c r="H2951" s="140" t="s">
        <v>474</v>
      </c>
      <c r="I2951" s="140" t="s">
        <v>21</v>
      </c>
      <c r="J2951" s="174"/>
    </row>
    <row r="2952" hidden="1" customHeight="1" spans="1:10">
      <c r="A2952" s="140" t="s">
        <v>529</v>
      </c>
      <c r="B2952" s="140" t="s">
        <v>398</v>
      </c>
      <c r="C2952" s="171">
        <v>45714</v>
      </c>
      <c r="D2952" s="172" t="s">
        <v>18</v>
      </c>
      <c r="E2952" s="140" t="s">
        <v>19</v>
      </c>
      <c r="F2952" s="140" t="s">
        <v>49</v>
      </c>
      <c r="G2952" s="140" t="s">
        <v>21</v>
      </c>
      <c r="H2952" s="140" t="s">
        <v>206</v>
      </c>
      <c r="I2952" s="140" t="s">
        <v>21</v>
      </c>
      <c r="J2952" s="174"/>
    </row>
    <row r="2953" hidden="1" customHeight="1" spans="1:10">
      <c r="A2953" s="140" t="s">
        <v>529</v>
      </c>
      <c r="B2953" s="140" t="s">
        <v>398</v>
      </c>
      <c r="C2953" s="171">
        <v>45715</v>
      </c>
      <c r="D2953" s="172" t="s">
        <v>23</v>
      </c>
      <c r="E2953" s="140" t="s">
        <v>19</v>
      </c>
      <c r="F2953" s="140" t="s">
        <v>359</v>
      </c>
      <c r="G2953" s="140" t="s">
        <v>21</v>
      </c>
      <c r="H2953" s="140" t="s">
        <v>45</v>
      </c>
      <c r="I2953" s="140" t="s">
        <v>21</v>
      </c>
      <c r="J2953" s="174"/>
    </row>
    <row r="2954" hidden="1" customHeight="1" spans="1:10">
      <c r="A2954" s="140" t="s">
        <v>529</v>
      </c>
      <c r="B2954" s="140" t="s">
        <v>398</v>
      </c>
      <c r="C2954" s="171">
        <v>45716</v>
      </c>
      <c r="D2954" s="172" t="s">
        <v>25</v>
      </c>
      <c r="E2954" s="140" t="s">
        <v>19</v>
      </c>
      <c r="F2954" s="140" t="s">
        <v>135</v>
      </c>
      <c r="G2954" s="140" t="s">
        <v>21</v>
      </c>
      <c r="H2954" s="140" t="s">
        <v>191</v>
      </c>
      <c r="I2954" s="140" t="s">
        <v>21</v>
      </c>
      <c r="J2954" s="174"/>
    </row>
    <row r="2955" hidden="1" customHeight="1" spans="1:10">
      <c r="A2955" s="140" t="s">
        <v>530</v>
      </c>
      <c r="B2955" s="140" t="s">
        <v>398</v>
      </c>
      <c r="C2955" s="171">
        <v>45689</v>
      </c>
      <c r="D2955" s="172" t="s">
        <v>12</v>
      </c>
      <c r="E2955" s="173" t="s">
        <v>13</v>
      </c>
      <c r="F2955" s="140" t="s">
        <v>14</v>
      </c>
      <c r="G2955" s="140" t="s">
        <v>14</v>
      </c>
      <c r="H2955" s="140" t="s">
        <v>14</v>
      </c>
      <c r="I2955" s="140" t="s">
        <v>14</v>
      </c>
      <c r="J2955" s="174"/>
    </row>
    <row r="2956" hidden="1" customHeight="1" spans="1:10">
      <c r="A2956" s="140" t="s">
        <v>530</v>
      </c>
      <c r="B2956" s="140" t="s">
        <v>398</v>
      </c>
      <c r="C2956" s="171">
        <v>45690</v>
      </c>
      <c r="D2956" s="172" t="s">
        <v>15</v>
      </c>
      <c r="E2956" s="173" t="s">
        <v>13</v>
      </c>
      <c r="F2956" s="140" t="s">
        <v>14</v>
      </c>
      <c r="G2956" s="140" t="s">
        <v>14</v>
      </c>
      <c r="H2956" s="140" t="s">
        <v>14</v>
      </c>
      <c r="I2956" s="140" t="s">
        <v>14</v>
      </c>
      <c r="J2956" s="174"/>
    </row>
    <row r="2957" hidden="1" customHeight="1" spans="1:10">
      <c r="A2957" s="140" t="s">
        <v>530</v>
      </c>
      <c r="B2957" s="140" t="s">
        <v>398</v>
      </c>
      <c r="C2957" s="171">
        <v>45691</v>
      </c>
      <c r="D2957" s="172" t="s">
        <v>16</v>
      </c>
      <c r="E2957" s="173" t="s">
        <v>13</v>
      </c>
      <c r="F2957" s="140" t="s">
        <v>14</v>
      </c>
      <c r="G2957" s="140" t="s">
        <v>14</v>
      </c>
      <c r="H2957" s="140" t="s">
        <v>14</v>
      </c>
      <c r="I2957" s="140" t="s">
        <v>14</v>
      </c>
      <c r="J2957" s="174"/>
    </row>
    <row r="2958" hidden="1" customHeight="1" spans="1:10">
      <c r="A2958" s="140" t="s">
        <v>530</v>
      </c>
      <c r="B2958" s="140" t="s">
        <v>398</v>
      </c>
      <c r="C2958" s="171">
        <v>45692</v>
      </c>
      <c r="D2958" s="172" t="s">
        <v>17</v>
      </c>
      <c r="E2958" s="173" t="s">
        <v>13</v>
      </c>
      <c r="F2958" s="140" t="s">
        <v>14</v>
      </c>
      <c r="G2958" s="140" t="s">
        <v>14</v>
      </c>
      <c r="H2958" s="140" t="s">
        <v>14</v>
      </c>
      <c r="I2958" s="140" t="s">
        <v>14</v>
      </c>
      <c r="J2958" s="174"/>
    </row>
    <row r="2959" hidden="1" customHeight="1" spans="1:10">
      <c r="A2959" s="140" t="s">
        <v>530</v>
      </c>
      <c r="B2959" s="140" t="s">
        <v>398</v>
      </c>
      <c r="C2959" s="171">
        <v>45693</v>
      </c>
      <c r="D2959" s="172" t="s">
        <v>18</v>
      </c>
      <c r="E2959" s="140" t="s">
        <v>19</v>
      </c>
      <c r="F2959" s="140" t="s">
        <v>195</v>
      </c>
      <c r="G2959" s="140" t="s">
        <v>21</v>
      </c>
      <c r="H2959" s="140" t="s">
        <v>167</v>
      </c>
      <c r="I2959" s="140" t="s">
        <v>21</v>
      </c>
      <c r="J2959" s="174"/>
    </row>
    <row r="2960" hidden="1" customHeight="1" spans="1:10">
      <c r="A2960" s="140" t="s">
        <v>530</v>
      </c>
      <c r="B2960" s="140" t="s">
        <v>398</v>
      </c>
      <c r="C2960" s="171">
        <v>45694</v>
      </c>
      <c r="D2960" s="172" t="s">
        <v>23</v>
      </c>
      <c r="E2960" s="140" t="s">
        <v>19</v>
      </c>
      <c r="F2960" s="140" t="s">
        <v>28</v>
      </c>
      <c r="G2960" s="140" t="s">
        <v>21</v>
      </c>
      <c r="H2960" s="140" t="s">
        <v>168</v>
      </c>
      <c r="I2960" s="140" t="s">
        <v>21</v>
      </c>
      <c r="J2960" s="174"/>
    </row>
    <row r="2961" hidden="1" customHeight="1" spans="1:10">
      <c r="A2961" s="140" t="s">
        <v>530</v>
      </c>
      <c r="B2961" s="140" t="s">
        <v>398</v>
      </c>
      <c r="C2961" s="171">
        <v>45695</v>
      </c>
      <c r="D2961" s="172" t="s">
        <v>25</v>
      </c>
      <c r="E2961" s="140" t="s">
        <v>19</v>
      </c>
      <c r="F2961" s="140" t="s">
        <v>30</v>
      </c>
      <c r="G2961" s="140" t="s">
        <v>21</v>
      </c>
      <c r="H2961" s="140" t="s">
        <v>178</v>
      </c>
      <c r="I2961" s="140" t="s">
        <v>21</v>
      </c>
      <c r="J2961" s="174"/>
    </row>
    <row r="2962" hidden="1" customHeight="1" spans="1:10">
      <c r="A2962" s="140" t="s">
        <v>530</v>
      </c>
      <c r="B2962" s="140" t="s">
        <v>398</v>
      </c>
      <c r="C2962" s="171">
        <v>45696</v>
      </c>
      <c r="D2962" s="172" t="s">
        <v>27</v>
      </c>
      <c r="E2962" s="140" t="s">
        <v>19</v>
      </c>
      <c r="F2962" s="140" t="s">
        <v>30</v>
      </c>
      <c r="G2962" s="140" t="s">
        <v>21</v>
      </c>
      <c r="H2962" s="140" t="s">
        <v>175</v>
      </c>
      <c r="I2962" s="140" t="s">
        <v>21</v>
      </c>
      <c r="J2962" s="174"/>
    </row>
    <row r="2963" hidden="1" customHeight="1" spans="1:10">
      <c r="A2963" s="140" t="s">
        <v>530</v>
      </c>
      <c r="B2963" s="140" t="s">
        <v>398</v>
      </c>
      <c r="C2963" s="171">
        <v>45697</v>
      </c>
      <c r="D2963" s="172" t="s">
        <v>15</v>
      </c>
      <c r="E2963" s="173" t="s">
        <v>13</v>
      </c>
      <c r="F2963" s="140" t="s">
        <v>14</v>
      </c>
      <c r="G2963" s="140" t="s">
        <v>14</v>
      </c>
      <c r="H2963" s="140" t="s">
        <v>14</v>
      </c>
      <c r="I2963" s="140" t="s">
        <v>14</v>
      </c>
      <c r="J2963" s="174"/>
    </row>
    <row r="2964" hidden="1" customHeight="1" spans="1:10">
      <c r="A2964" s="140" t="s">
        <v>530</v>
      </c>
      <c r="B2964" s="140" t="s">
        <v>398</v>
      </c>
      <c r="C2964" s="171">
        <v>45698</v>
      </c>
      <c r="D2964" s="172" t="s">
        <v>16</v>
      </c>
      <c r="E2964" s="140" t="s">
        <v>19</v>
      </c>
      <c r="F2964" s="140" t="s">
        <v>30</v>
      </c>
      <c r="G2964" s="140" t="s">
        <v>21</v>
      </c>
      <c r="H2964" s="140" t="s">
        <v>73</v>
      </c>
      <c r="I2964" s="140" t="s">
        <v>21</v>
      </c>
      <c r="J2964" s="174"/>
    </row>
    <row r="2965" hidden="1" customHeight="1" spans="1:10">
      <c r="A2965" s="140" t="s">
        <v>530</v>
      </c>
      <c r="B2965" s="140" t="s">
        <v>398</v>
      </c>
      <c r="C2965" s="171">
        <v>45699</v>
      </c>
      <c r="D2965" s="172" t="s">
        <v>17</v>
      </c>
      <c r="E2965" s="140" t="s">
        <v>19</v>
      </c>
      <c r="F2965" s="140" t="s">
        <v>30</v>
      </c>
      <c r="G2965" s="140" t="s">
        <v>21</v>
      </c>
      <c r="H2965" s="140" t="s">
        <v>408</v>
      </c>
      <c r="I2965" s="140" t="s">
        <v>21</v>
      </c>
      <c r="J2965" s="174"/>
    </row>
    <row r="2966" hidden="1" customHeight="1" spans="1:10">
      <c r="A2966" s="140" t="s">
        <v>530</v>
      </c>
      <c r="B2966" s="140" t="s">
        <v>398</v>
      </c>
      <c r="C2966" s="171">
        <v>45700</v>
      </c>
      <c r="D2966" s="172" t="s">
        <v>18</v>
      </c>
      <c r="E2966" s="140" t="s">
        <v>19</v>
      </c>
      <c r="F2966" s="140" t="s">
        <v>46</v>
      </c>
      <c r="G2966" s="140" t="s">
        <v>21</v>
      </c>
      <c r="H2966" s="140" t="s">
        <v>167</v>
      </c>
      <c r="I2966" s="140" t="s">
        <v>21</v>
      </c>
      <c r="J2966" s="174"/>
    </row>
    <row r="2967" hidden="1" customHeight="1" spans="1:10">
      <c r="A2967" s="140" t="s">
        <v>530</v>
      </c>
      <c r="B2967" s="140" t="s">
        <v>398</v>
      </c>
      <c r="C2967" s="171">
        <v>45701</v>
      </c>
      <c r="D2967" s="172" t="s">
        <v>23</v>
      </c>
      <c r="E2967" s="140" t="s">
        <v>19</v>
      </c>
      <c r="F2967" s="140" t="s">
        <v>36</v>
      </c>
      <c r="G2967" s="140" t="s">
        <v>21</v>
      </c>
      <c r="H2967" s="140" t="s">
        <v>168</v>
      </c>
      <c r="I2967" s="140" t="s">
        <v>21</v>
      </c>
      <c r="J2967" s="175"/>
    </row>
    <row r="2968" hidden="1" customHeight="1" spans="1:10">
      <c r="A2968" s="140" t="s">
        <v>530</v>
      </c>
      <c r="B2968" s="140" t="s">
        <v>398</v>
      </c>
      <c r="C2968" s="171">
        <v>45702</v>
      </c>
      <c r="D2968" s="172" t="s">
        <v>25</v>
      </c>
      <c r="E2968" s="140" t="s">
        <v>19</v>
      </c>
      <c r="F2968" s="140" t="s">
        <v>36</v>
      </c>
      <c r="G2968" s="140" t="s">
        <v>21</v>
      </c>
      <c r="H2968" s="140" t="s">
        <v>53</v>
      </c>
      <c r="I2968" s="140" t="s">
        <v>21</v>
      </c>
      <c r="J2968" s="175"/>
    </row>
    <row r="2969" hidden="1" customHeight="1" spans="1:10">
      <c r="A2969" s="140" t="s">
        <v>530</v>
      </c>
      <c r="B2969" s="140" t="s">
        <v>398</v>
      </c>
      <c r="C2969" s="171">
        <v>45703</v>
      </c>
      <c r="D2969" s="172" t="s">
        <v>27</v>
      </c>
      <c r="E2969" s="173" t="s">
        <v>13</v>
      </c>
      <c r="F2969" s="140" t="s">
        <v>14</v>
      </c>
      <c r="G2969" s="140" t="s">
        <v>14</v>
      </c>
      <c r="H2969" s="140" t="s">
        <v>14</v>
      </c>
      <c r="I2969" s="140" t="s">
        <v>14</v>
      </c>
      <c r="J2969" s="175"/>
    </row>
    <row r="2970" hidden="1" customHeight="1" spans="1:10">
      <c r="A2970" s="140" t="s">
        <v>530</v>
      </c>
      <c r="B2970" s="140" t="s">
        <v>398</v>
      </c>
      <c r="C2970" s="171">
        <v>45704</v>
      </c>
      <c r="D2970" s="172" t="s">
        <v>15</v>
      </c>
      <c r="E2970" s="173" t="s">
        <v>13</v>
      </c>
      <c r="F2970" s="140" t="s">
        <v>14</v>
      </c>
      <c r="G2970" s="140" t="s">
        <v>14</v>
      </c>
      <c r="H2970" s="140" t="s">
        <v>14</v>
      </c>
      <c r="I2970" s="140" t="s">
        <v>14</v>
      </c>
      <c r="J2970" s="175"/>
    </row>
    <row r="2971" hidden="1" customHeight="1" spans="1:10">
      <c r="A2971" s="140" t="s">
        <v>530</v>
      </c>
      <c r="B2971" s="140" t="s">
        <v>398</v>
      </c>
      <c r="C2971" s="171">
        <v>45705</v>
      </c>
      <c r="D2971" s="172" t="s">
        <v>16</v>
      </c>
      <c r="E2971" s="140" t="s">
        <v>19</v>
      </c>
      <c r="F2971" s="140" t="s">
        <v>51</v>
      </c>
      <c r="G2971" s="140" t="s">
        <v>21</v>
      </c>
      <c r="H2971" s="140" t="s">
        <v>78</v>
      </c>
      <c r="I2971" s="140" t="s">
        <v>21</v>
      </c>
      <c r="J2971" s="175"/>
    </row>
    <row r="2972" hidden="1" customHeight="1" spans="1:10">
      <c r="A2972" s="140" t="s">
        <v>530</v>
      </c>
      <c r="B2972" s="140" t="s">
        <v>398</v>
      </c>
      <c r="C2972" s="171">
        <v>45706</v>
      </c>
      <c r="D2972" s="172" t="s">
        <v>17</v>
      </c>
      <c r="E2972" s="140" t="s">
        <v>19</v>
      </c>
      <c r="F2972" s="140" t="s">
        <v>20</v>
      </c>
      <c r="G2972" s="140" t="s">
        <v>21</v>
      </c>
      <c r="H2972" s="140" t="s">
        <v>53</v>
      </c>
      <c r="I2972" s="140" t="s">
        <v>21</v>
      </c>
      <c r="J2972" s="174"/>
    </row>
    <row r="2973" hidden="1" customHeight="1" spans="1:10">
      <c r="A2973" s="140" t="s">
        <v>530</v>
      </c>
      <c r="B2973" s="140" t="s">
        <v>398</v>
      </c>
      <c r="C2973" s="171">
        <v>45707</v>
      </c>
      <c r="D2973" s="172" t="s">
        <v>18</v>
      </c>
      <c r="E2973" s="140" t="s">
        <v>19</v>
      </c>
      <c r="F2973" s="140" t="s">
        <v>51</v>
      </c>
      <c r="G2973" s="140" t="s">
        <v>21</v>
      </c>
      <c r="H2973" s="140" t="s">
        <v>174</v>
      </c>
      <c r="I2973" s="140" t="s">
        <v>21</v>
      </c>
      <c r="J2973" s="174"/>
    </row>
    <row r="2974" hidden="1" customHeight="1" spans="1:10">
      <c r="A2974" s="140" t="s">
        <v>530</v>
      </c>
      <c r="B2974" s="140" t="s">
        <v>398</v>
      </c>
      <c r="C2974" s="171">
        <v>45708</v>
      </c>
      <c r="D2974" s="172" t="s">
        <v>23</v>
      </c>
      <c r="E2974" s="140" t="s">
        <v>19</v>
      </c>
      <c r="F2974" s="140" t="s">
        <v>20</v>
      </c>
      <c r="G2974" s="140" t="s">
        <v>21</v>
      </c>
      <c r="H2974" s="140" t="s">
        <v>45</v>
      </c>
      <c r="I2974" s="140" t="s">
        <v>21</v>
      </c>
      <c r="J2974" s="175"/>
    </row>
    <row r="2975" hidden="1" customHeight="1" spans="1:10">
      <c r="A2975" s="140" t="s">
        <v>530</v>
      </c>
      <c r="B2975" s="140" t="s">
        <v>398</v>
      </c>
      <c r="C2975" s="171">
        <v>45709</v>
      </c>
      <c r="D2975" s="172" t="s">
        <v>25</v>
      </c>
      <c r="E2975" s="140" t="s">
        <v>19</v>
      </c>
      <c r="F2975" s="140" t="s">
        <v>51</v>
      </c>
      <c r="G2975" s="140" t="s">
        <v>21</v>
      </c>
      <c r="H2975" s="140" t="s">
        <v>191</v>
      </c>
      <c r="I2975" s="140" t="s">
        <v>21</v>
      </c>
      <c r="J2975" s="175"/>
    </row>
    <row r="2976" hidden="1" customHeight="1" spans="1:10">
      <c r="A2976" s="140" t="s">
        <v>530</v>
      </c>
      <c r="B2976" s="140" t="s">
        <v>398</v>
      </c>
      <c r="C2976" s="171">
        <v>45710</v>
      </c>
      <c r="D2976" s="172" t="s">
        <v>27</v>
      </c>
      <c r="E2976" s="173" t="s">
        <v>13</v>
      </c>
      <c r="F2976" s="140" t="s">
        <v>14</v>
      </c>
      <c r="G2976" s="140" t="s">
        <v>14</v>
      </c>
      <c r="H2976" s="140" t="s">
        <v>14</v>
      </c>
      <c r="I2976" s="140" t="s">
        <v>14</v>
      </c>
      <c r="J2976" s="175"/>
    </row>
    <row r="2977" hidden="1" customHeight="1" spans="1:10">
      <c r="A2977" s="140" t="s">
        <v>530</v>
      </c>
      <c r="B2977" s="140" t="s">
        <v>398</v>
      </c>
      <c r="C2977" s="171">
        <v>45711</v>
      </c>
      <c r="D2977" s="172" t="s">
        <v>15</v>
      </c>
      <c r="E2977" s="173" t="s">
        <v>13</v>
      </c>
      <c r="F2977" s="140" t="s">
        <v>14</v>
      </c>
      <c r="G2977" s="140" t="s">
        <v>14</v>
      </c>
      <c r="H2977" s="140" t="s">
        <v>14</v>
      </c>
      <c r="I2977" s="140" t="s">
        <v>14</v>
      </c>
      <c r="J2977" s="174"/>
    </row>
    <row r="2978" hidden="1" customHeight="1" spans="1:10">
      <c r="A2978" s="140" t="s">
        <v>530</v>
      </c>
      <c r="B2978" s="140" t="s">
        <v>398</v>
      </c>
      <c r="C2978" s="171">
        <v>45712</v>
      </c>
      <c r="D2978" s="172" t="s">
        <v>16</v>
      </c>
      <c r="E2978" s="140" t="s">
        <v>19</v>
      </c>
      <c r="F2978" s="140" t="s">
        <v>51</v>
      </c>
      <c r="G2978" s="140" t="s">
        <v>21</v>
      </c>
      <c r="H2978" s="140" t="s">
        <v>168</v>
      </c>
      <c r="I2978" s="140" t="s">
        <v>21</v>
      </c>
      <c r="J2978" s="174"/>
    </row>
    <row r="2979" hidden="1" customHeight="1" spans="1:10">
      <c r="A2979" s="140" t="s">
        <v>530</v>
      </c>
      <c r="B2979" s="140" t="s">
        <v>398</v>
      </c>
      <c r="C2979" s="171">
        <v>45713</v>
      </c>
      <c r="D2979" s="172" t="s">
        <v>17</v>
      </c>
      <c r="E2979" s="140" t="s">
        <v>19</v>
      </c>
      <c r="F2979" s="140" t="s">
        <v>33</v>
      </c>
      <c r="G2979" s="140" t="s">
        <v>21</v>
      </c>
      <c r="H2979" s="140" t="s">
        <v>66</v>
      </c>
      <c r="I2979" s="140" t="s">
        <v>21</v>
      </c>
      <c r="J2979" s="174"/>
    </row>
    <row r="2980" hidden="1" customHeight="1" spans="1:10">
      <c r="A2980" s="140" t="s">
        <v>530</v>
      </c>
      <c r="B2980" s="140" t="s">
        <v>398</v>
      </c>
      <c r="C2980" s="171">
        <v>45714</v>
      </c>
      <c r="D2980" s="172" t="s">
        <v>18</v>
      </c>
      <c r="E2980" s="140" t="s">
        <v>19</v>
      </c>
      <c r="F2980" s="140" t="s">
        <v>20</v>
      </c>
      <c r="G2980" s="140" t="s">
        <v>21</v>
      </c>
      <c r="H2980" s="140" t="s">
        <v>205</v>
      </c>
      <c r="I2980" s="140" t="s">
        <v>21</v>
      </c>
      <c r="J2980" s="174"/>
    </row>
    <row r="2981" hidden="1" customHeight="1" spans="1:10">
      <c r="A2981" s="140" t="s">
        <v>530</v>
      </c>
      <c r="B2981" s="140" t="s">
        <v>398</v>
      </c>
      <c r="C2981" s="171">
        <v>45715</v>
      </c>
      <c r="D2981" s="172" t="s">
        <v>23</v>
      </c>
      <c r="E2981" s="140" t="s">
        <v>19</v>
      </c>
      <c r="F2981" s="140" t="s">
        <v>20</v>
      </c>
      <c r="G2981" s="140" t="s">
        <v>21</v>
      </c>
      <c r="H2981" s="140" t="s">
        <v>45</v>
      </c>
      <c r="I2981" s="140" t="s">
        <v>21</v>
      </c>
      <c r="J2981" s="174"/>
    </row>
    <row r="2982" hidden="1" customHeight="1" spans="1:10">
      <c r="A2982" s="140" t="s">
        <v>530</v>
      </c>
      <c r="B2982" s="140" t="s">
        <v>398</v>
      </c>
      <c r="C2982" s="171">
        <v>45716</v>
      </c>
      <c r="D2982" s="172" t="s">
        <v>25</v>
      </c>
      <c r="E2982" s="140" t="s">
        <v>19</v>
      </c>
      <c r="F2982" s="140" t="s">
        <v>157</v>
      </c>
      <c r="G2982" s="140" t="s">
        <v>21</v>
      </c>
      <c r="H2982" s="140" t="s">
        <v>175</v>
      </c>
      <c r="I2982" s="140" t="s">
        <v>21</v>
      </c>
      <c r="J2982" s="174"/>
    </row>
    <row r="2983" hidden="1" customHeight="1" spans="1:10">
      <c r="A2983" s="140" t="s">
        <v>531</v>
      </c>
      <c r="B2983" s="140" t="s">
        <v>398</v>
      </c>
      <c r="C2983" s="171">
        <v>45689</v>
      </c>
      <c r="D2983" s="172" t="s">
        <v>12</v>
      </c>
      <c r="E2983" s="173" t="s">
        <v>13</v>
      </c>
      <c r="F2983" s="140" t="s">
        <v>14</v>
      </c>
      <c r="G2983" s="140" t="s">
        <v>14</v>
      </c>
      <c r="H2983" s="140" t="s">
        <v>14</v>
      </c>
      <c r="I2983" s="140" t="s">
        <v>14</v>
      </c>
      <c r="J2983" s="174"/>
    </row>
    <row r="2984" hidden="1" customHeight="1" spans="1:10">
      <c r="A2984" s="140" t="s">
        <v>531</v>
      </c>
      <c r="B2984" s="140" t="s">
        <v>398</v>
      </c>
      <c r="C2984" s="171">
        <v>45690</v>
      </c>
      <c r="D2984" s="172" t="s">
        <v>15</v>
      </c>
      <c r="E2984" s="173" t="s">
        <v>13</v>
      </c>
      <c r="F2984" s="140" t="s">
        <v>14</v>
      </c>
      <c r="G2984" s="140" t="s">
        <v>14</v>
      </c>
      <c r="H2984" s="140" t="s">
        <v>14</v>
      </c>
      <c r="I2984" s="140" t="s">
        <v>14</v>
      </c>
      <c r="J2984" s="174"/>
    </row>
    <row r="2985" hidden="1" customHeight="1" spans="1:10">
      <c r="A2985" s="140" t="s">
        <v>531</v>
      </c>
      <c r="B2985" s="140" t="s">
        <v>398</v>
      </c>
      <c r="C2985" s="171">
        <v>45691</v>
      </c>
      <c r="D2985" s="172" t="s">
        <v>16</v>
      </c>
      <c r="E2985" s="173" t="s">
        <v>13</v>
      </c>
      <c r="F2985" s="140" t="s">
        <v>14</v>
      </c>
      <c r="G2985" s="140" t="s">
        <v>14</v>
      </c>
      <c r="H2985" s="140" t="s">
        <v>14</v>
      </c>
      <c r="I2985" s="140" t="s">
        <v>14</v>
      </c>
      <c r="J2985" s="174"/>
    </row>
    <row r="2986" hidden="1" customHeight="1" spans="1:10">
      <c r="A2986" s="140" t="s">
        <v>531</v>
      </c>
      <c r="B2986" s="140" t="s">
        <v>398</v>
      </c>
      <c r="C2986" s="171">
        <v>45692</v>
      </c>
      <c r="D2986" s="172" t="s">
        <v>17</v>
      </c>
      <c r="E2986" s="173" t="s">
        <v>13</v>
      </c>
      <c r="F2986" s="140" t="s">
        <v>14</v>
      </c>
      <c r="G2986" s="140" t="s">
        <v>14</v>
      </c>
      <c r="H2986" s="140" t="s">
        <v>14</v>
      </c>
      <c r="I2986" s="140" t="s">
        <v>14</v>
      </c>
      <c r="J2986" s="174"/>
    </row>
    <row r="2987" hidden="1" customHeight="1" spans="1:10">
      <c r="A2987" s="140" t="s">
        <v>531</v>
      </c>
      <c r="B2987" s="140" t="s">
        <v>398</v>
      </c>
      <c r="C2987" s="171">
        <v>45693</v>
      </c>
      <c r="D2987" s="172" t="s">
        <v>18</v>
      </c>
      <c r="E2987" s="140" t="s">
        <v>19</v>
      </c>
      <c r="F2987" s="140" t="s">
        <v>98</v>
      </c>
      <c r="G2987" s="140" t="s">
        <v>21</v>
      </c>
      <c r="H2987" s="140" t="s">
        <v>206</v>
      </c>
      <c r="I2987" s="140" t="s">
        <v>21</v>
      </c>
      <c r="J2987" s="174"/>
    </row>
    <row r="2988" hidden="1" customHeight="1" spans="1:10">
      <c r="A2988" s="140" t="s">
        <v>531</v>
      </c>
      <c r="B2988" s="140" t="s">
        <v>398</v>
      </c>
      <c r="C2988" s="171">
        <v>45694</v>
      </c>
      <c r="D2988" s="172" t="s">
        <v>23</v>
      </c>
      <c r="E2988" s="140" t="s">
        <v>19</v>
      </c>
      <c r="F2988" s="140" t="s">
        <v>110</v>
      </c>
      <c r="G2988" s="140" t="s">
        <v>21</v>
      </c>
      <c r="H2988" s="140" t="s">
        <v>45</v>
      </c>
      <c r="I2988" s="140" t="s">
        <v>21</v>
      </c>
      <c r="J2988" s="174"/>
    </row>
    <row r="2989" hidden="1" customHeight="1" spans="1:10">
      <c r="A2989" s="140" t="s">
        <v>531</v>
      </c>
      <c r="B2989" s="140" t="s">
        <v>398</v>
      </c>
      <c r="C2989" s="171">
        <v>45695</v>
      </c>
      <c r="D2989" s="172" t="s">
        <v>25</v>
      </c>
      <c r="E2989" s="140" t="s">
        <v>19</v>
      </c>
      <c r="F2989" s="140" t="s">
        <v>177</v>
      </c>
      <c r="G2989" s="140" t="s">
        <v>21</v>
      </c>
      <c r="H2989" s="140" t="s">
        <v>175</v>
      </c>
      <c r="I2989" s="140" t="s">
        <v>21</v>
      </c>
      <c r="J2989" s="174"/>
    </row>
    <row r="2990" hidden="1" customHeight="1" spans="1:10">
      <c r="A2990" s="140" t="s">
        <v>531</v>
      </c>
      <c r="B2990" s="140" t="s">
        <v>398</v>
      </c>
      <c r="C2990" s="171">
        <v>45696</v>
      </c>
      <c r="D2990" s="172" t="s">
        <v>27</v>
      </c>
      <c r="E2990" s="140" t="s">
        <v>19</v>
      </c>
      <c r="F2990" s="140" t="s">
        <v>135</v>
      </c>
      <c r="G2990" s="140" t="s">
        <v>21</v>
      </c>
      <c r="H2990" s="140" t="s">
        <v>53</v>
      </c>
      <c r="I2990" s="140" t="s">
        <v>21</v>
      </c>
      <c r="J2990" s="174"/>
    </row>
    <row r="2991" hidden="1" customHeight="1" spans="1:10">
      <c r="A2991" s="140" t="s">
        <v>531</v>
      </c>
      <c r="B2991" s="140" t="s">
        <v>398</v>
      </c>
      <c r="C2991" s="171">
        <v>45697</v>
      </c>
      <c r="D2991" s="172" t="s">
        <v>15</v>
      </c>
      <c r="E2991" s="173" t="s">
        <v>13</v>
      </c>
      <c r="F2991" s="140" t="s">
        <v>14</v>
      </c>
      <c r="G2991" s="140" t="s">
        <v>14</v>
      </c>
      <c r="H2991" s="140" t="s">
        <v>14</v>
      </c>
      <c r="I2991" s="140" t="s">
        <v>14</v>
      </c>
      <c r="J2991" s="174"/>
    </row>
    <row r="2992" hidden="1" customHeight="1" spans="1:10">
      <c r="A2992" s="140" t="s">
        <v>531</v>
      </c>
      <c r="B2992" s="140" t="s">
        <v>398</v>
      </c>
      <c r="C2992" s="171">
        <v>45698</v>
      </c>
      <c r="D2992" s="172" t="s">
        <v>16</v>
      </c>
      <c r="E2992" s="140" t="s">
        <v>19</v>
      </c>
      <c r="F2992" s="140" t="s">
        <v>117</v>
      </c>
      <c r="G2992" s="140" t="s">
        <v>21</v>
      </c>
      <c r="H2992" s="140" t="s">
        <v>73</v>
      </c>
      <c r="I2992" s="140" t="s">
        <v>21</v>
      </c>
      <c r="J2992" s="174"/>
    </row>
    <row r="2993" hidden="1" customHeight="1" spans="1:10">
      <c r="A2993" s="140" t="s">
        <v>531</v>
      </c>
      <c r="B2993" s="140" t="s">
        <v>398</v>
      </c>
      <c r="C2993" s="171">
        <v>45699</v>
      </c>
      <c r="D2993" s="172" t="s">
        <v>17</v>
      </c>
      <c r="E2993" s="140" t="s">
        <v>19</v>
      </c>
      <c r="F2993" s="140" t="s">
        <v>94</v>
      </c>
      <c r="G2993" s="140" t="s">
        <v>21</v>
      </c>
      <c r="H2993" s="140" t="s">
        <v>205</v>
      </c>
      <c r="I2993" s="140" t="s">
        <v>21</v>
      </c>
      <c r="J2993" s="174"/>
    </row>
    <row r="2994" hidden="1" customHeight="1" spans="1:10">
      <c r="A2994" s="140" t="s">
        <v>531</v>
      </c>
      <c r="B2994" s="140" t="s">
        <v>398</v>
      </c>
      <c r="C2994" s="171">
        <v>45700</v>
      </c>
      <c r="D2994" s="172" t="s">
        <v>18</v>
      </c>
      <c r="E2994" s="140" t="s">
        <v>19</v>
      </c>
      <c r="F2994" s="140" t="s">
        <v>188</v>
      </c>
      <c r="G2994" s="140" t="s">
        <v>21</v>
      </c>
      <c r="H2994" s="140" t="s">
        <v>53</v>
      </c>
      <c r="I2994" s="140" t="s">
        <v>21</v>
      </c>
      <c r="J2994" s="174"/>
    </row>
    <row r="2995" hidden="1" customHeight="1" spans="1:10">
      <c r="A2995" s="140" t="s">
        <v>531</v>
      </c>
      <c r="B2995" s="140" t="s">
        <v>398</v>
      </c>
      <c r="C2995" s="171">
        <v>45701</v>
      </c>
      <c r="D2995" s="172" t="s">
        <v>23</v>
      </c>
      <c r="E2995" s="140" t="s">
        <v>19</v>
      </c>
      <c r="F2995" s="140" t="s">
        <v>98</v>
      </c>
      <c r="G2995" s="140" t="s">
        <v>21</v>
      </c>
      <c r="H2995" s="140" t="s">
        <v>50</v>
      </c>
      <c r="I2995" s="140" t="s">
        <v>21</v>
      </c>
      <c r="J2995" s="174"/>
    </row>
    <row r="2996" hidden="1" customHeight="1" spans="1:10">
      <c r="A2996" s="140" t="s">
        <v>531</v>
      </c>
      <c r="B2996" s="140" t="s">
        <v>398</v>
      </c>
      <c r="C2996" s="171">
        <v>45702</v>
      </c>
      <c r="D2996" s="172" t="s">
        <v>25</v>
      </c>
      <c r="E2996" s="140" t="s">
        <v>19</v>
      </c>
      <c r="F2996" s="140" t="s">
        <v>117</v>
      </c>
      <c r="G2996" s="140" t="s">
        <v>21</v>
      </c>
      <c r="H2996" s="140" t="s">
        <v>191</v>
      </c>
      <c r="I2996" s="140" t="s">
        <v>21</v>
      </c>
      <c r="J2996" s="174"/>
    </row>
    <row r="2997" hidden="1" customHeight="1" spans="1:10">
      <c r="A2997" s="140" t="s">
        <v>531</v>
      </c>
      <c r="B2997" s="140" t="s">
        <v>398</v>
      </c>
      <c r="C2997" s="171">
        <v>45703</v>
      </c>
      <c r="D2997" s="172" t="s">
        <v>27</v>
      </c>
      <c r="E2997" s="173" t="s">
        <v>13</v>
      </c>
      <c r="F2997" s="140" t="s">
        <v>14</v>
      </c>
      <c r="G2997" s="140" t="s">
        <v>14</v>
      </c>
      <c r="H2997" s="140" t="s">
        <v>14</v>
      </c>
      <c r="I2997" s="140" t="s">
        <v>14</v>
      </c>
      <c r="J2997" s="174"/>
    </row>
    <row r="2998" hidden="1" customHeight="1" spans="1:10">
      <c r="A2998" s="140" t="s">
        <v>531</v>
      </c>
      <c r="B2998" s="140" t="s">
        <v>398</v>
      </c>
      <c r="C2998" s="171">
        <v>45704</v>
      </c>
      <c r="D2998" s="172" t="s">
        <v>15</v>
      </c>
      <c r="E2998" s="173" t="s">
        <v>13</v>
      </c>
      <c r="F2998" s="140" t="s">
        <v>14</v>
      </c>
      <c r="G2998" s="140" t="s">
        <v>14</v>
      </c>
      <c r="H2998" s="140" t="s">
        <v>14</v>
      </c>
      <c r="I2998" s="140" t="s">
        <v>14</v>
      </c>
      <c r="J2998" s="174"/>
    </row>
    <row r="2999" hidden="1" customHeight="1" spans="1:10">
      <c r="A2999" s="140" t="s">
        <v>531</v>
      </c>
      <c r="B2999" s="140" t="s">
        <v>398</v>
      </c>
      <c r="C2999" s="171">
        <v>45705</v>
      </c>
      <c r="D2999" s="172" t="s">
        <v>16</v>
      </c>
      <c r="E2999" s="140" t="s">
        <v>19</v>
      </c>
      <c r="F2999" s="140" t="s">
        <v>98</v>
      </c>
      <c r="G2999" s="140" t="s">
        <v>21</v>
      </c>
      <c r="H2999" s="140" t="s">
        <v>45</v>
      </c>
      <c r="I2999" s="140" t="s">
        <v>21</v>
      </c>
      <c r="J2999" s="174"/>
    </row>
    <row r="3000" hidden="1" customHeight="1" spans="1:10">
      <c r="A3000" s="140" t="s">
        <v>531</v>
      </c>
      <c r="B3000" s="140" t="s">
        <v>398</v>
      </c>
      <c r="C3000" s="171">
        <v>45706</v>
      </c>
      <c r="D3000" s="172" t="s">
        <v>17</v>
      </c>
      <c r="E3000" s="140" t="s">
        <v>19</v>
      </c>
      <c r="F3000" s="140" t="s">
        <v>177</v>
      </c>
      <c r="G3000" s="140" t="s">
        <v>21</v>
      </c>
      <c r="H3000" s="140" t="s">
        <v>205</v>
      </c>
      <c r="I3000" s="140" t="s">
        <v>21</v>
      </c>
      <c r="J3000" s="174"/>
    </row>
    <row r="3001" hidden="1" customHeight="1" spans="1:10">
      <c r="A3001" s="140" t="s">
        <v>531</v>
      </c>
      <c r="B3001" s="140" t="s">
        <v>398</v>
      </c>
      <c r="C3001" s="171">
        <v>45707</v>
      </c>
      <c r="D3001" s="172" t="s">
        <v>18</v>
      </c>
      <c r="E3001" s="140" t="s">
        <v>19</v>
      </c>
      <c r="F3001" s="140" t="s">
        <v>94</v>
      </c>
      <c r="G3001" s="140" t="s">
        <v>21</v>
      </c>
      <c r="H3001" s="140" t="s">
        <v>178</v>
      </c>
      <c r="I3001" s="140" t="s">
        <v>21</v>
      </c>
      <c r="J3001" s="174"/>
    </row>
    <row r="3002" hidden="1" customHeight="1" spans="1:10">
      <c r="A3002" s="140" t="s">
        <v>531</v>
      </c>
      <c r="B3002" s="140" t="s">
        <v>398</v>
      </c>
      <c r="C3002" s="171">
        <v>45708</v>
      </c>
      <c r="D3002" s="172" t="s">
        <v>23</v>
      </c>
      <c r="E3002" s="140" t="s">
        <v>19</v>
      </c>
      <c r="F3002" s="140" t="s">
        <v>129</v>
      </c>
      <c r="G3002" s="140" t="s">
        <v>21</v>
      </c>
      <c r="H3002" s="140" t="s">
        <v>45</v>
      </c>
      <c r="I3002" s="140" t="s">
        <v>21</v>
      </c>
      <c r="J3002" s="174"/>
    </row>
    <row r="3003" hidden="1" customHeight="1" spans="1:10">
      <c r="A3003" s="140" t="s">
        <v>531</v>
      </c>
      <c r="B3003" s="140" t="s">
        <v>398</v>
      </c>
      <c r="C3003" s="171">
        <v>45709</v>
      </c>
      <c r="D3003" s="172" t="s">
        <v>25</v>
      </c>
      <c r="E3003" s="140" t="s">
        <v>19</v>
      </c>
      <c r="F3003" s="140" t="s">
        <v>173</v>
      </c>
      <c r="G3003" s="140" t="s">
        <v>21</v>
      </c>
      <c r="H3003" s="140" t="s">
        <v>151</v>
      </c>
      <c r="I3003" s="140" t="s">
        <v>21</v>
      </c>
      <c r="J3003" s="174"/>
    </row>
    <row r="3004" hidden="1" customHeight="1" spans="1:10">
      <c r="A3004" s="140" t="s">
        <v>531</v>
      </c>
      <c r="B3004" s="140" t="s">
        <v>398</v>
      </c>
      <c r="C3004" s="171">
        <v>45710</v>
      </c>
      <c r="D3004" s="172" t="s">
        <v>27</v>
      </c>
      <c r="E3004" s="173" t="s">
        <v>13</v>
      </c>
      <c r="F3004" s="140" t="s">
        <v>14</v>
      </c>
      <c r="G3004" s="140" t="s">
        <v>14</v>
      </c>
      <c r="H3004" s="140" t="s">
        <v>14</v>
      </c>
      <c r="I3004" s="140" t="s">
        <v>14</v>
      </c>
      <c r="J3004" s="174"/>
    </row>
    <row r="3005" hidden="1" customHeight="1" spans="1:10">
      <c r="A3005" s="140" t="s">
        <v>531</v>
      </c>
      <c r="B3005" s="140" t="s">
        <v>398</v>
      </c>
      <c r="C3005" s="171">
        <v>45711</v>
      </c>
      <c r="D3005" s="172" t="s">
        <v>15</v>
      </c>
      <c r="E3005" s="173" t="s">
        <v>13</v>
      </c>
      <c r="F3005" s="140" t="s">
        <v>14</v>
      </c>
      <c r="G3005" s="140" t="s">
        <v>14</v>
      </c>
      <c r="H3005" s="140" t="s">
        <v>14</v>
      </c>
      <c r="I3005" s="140" t="s">
        <v>14</v>
      </c>
      <c r="J3005" s="174"/>
    </row>
    <row r="3006" hidden="1" customHeight="1" spans="1:10">
      <c r="A3006" s="140" t="s">
        <v>531</v>
      </c>
      <c r="B3006" s="140" t="s">
        <v>398</v>
      </c>
      <c r="C3006" s="171">
        <v>45712</v>
      </c>
      <c r="D3006" s="172" t="s">
        <v>16</v>
      </c>
      <c r="E3006" s="140" t="s">
        <v>19</v>
      </c>
      <c r="F3006" s="140" t="s">
        <v>195</v>
      </c>
      <c r="G3006" s="140" t="s">
        <v>21</v>
      </c>
      <c r="H3006" s="140" t="s">
        <v>78</v>
      </c>
      <c r="I3006" s="140" t="s">
        <v>21</v>
      </c>
      <c r="J3006" s="174"/>
    </row>
    <row r="3007" hidden="1" customHeight="1" spans="1:10">
      <c r="A3007" s="140" t="s">
        <v>531</v>
      </c>
      <c r="B3007" s="140" t="s">
        <v>398</v>
      </c>
      <c r="C3007" s="171">
        <v>45713</v>
      </c>
      <c r="D3007" s="172" t="s">
        <v>17</v>
      </c>
      <c r="E3007" s="140" t="s">
        <v>19</v>
      </c>
      <c r="F3007" s="140" t="s">
        <v>107</v>
      </c>
      <c r="G3007" s="140" t="s">
        <v>21</v>
      </c>
      <c r="H3007" s="140" t="s">
        <v>170</v>
      </c>
      <c r="I3007" s="140" t="s">
        <v>21</v>
      </c>
      <c r="J3007" s="174"/>
    </row>
    <row r="3008" hidden="1" customHeight="1" spans="1:10">
      <c r="A3008" s="140" t="s">
        <v>531</v>
      </c>
      <c r="B3008" s="140" t="s">
        <v>398</v>
      </c>
      <c r="C3008" s="171">
        <v>45714</v>
      </c>
      <c r="D3008" s="172" t="s">
        <v>18</v>
      </c>
      <c r="E3008" s="140" t="s">
        <v>19</v>
      </c>
      <c r="F3008" s="140" t="s">
        <v>143</v>
      </c>
      <c r="G3008" s="140" t="s">
        <v>21</v>
      </c>
      <c r="H3008" s="140" t="s">
        <v>170</v>
      </c>
      <c r="I3008" s="140" t="s">
        <v>21</v>
      </c>
      <c r="J3008" s="174"/>
    </row>
    <row r="3009" hidden="1" customHeight="1" spans="1:10">
      <c r="A3009" s="140" t="s">
        <v>531</v>
      </c>
      <c r="B3009" s="140" t="s">
        <v>398</v>
      </c>
      <c r="C3009" s="171">
        <v>45715</v>
      </c>
      <c r="D3009" s="172" t="s">
        <v>23</v>
      </c>
      <c r="E3009" s="140" t="s">
        <v>19</v>
      </c>
      <c r="F3009" s="140" t="s">
        <v>28</v>
      </c>
      <c r="G3009" s="140" t="s">
        <v>21</v>
      </c>
      <c r="H3009" s="140" t="s">
        <v>45</v>
      </c>
      <c r="I3009" s="140" t="s">
        <v>21</v>
      </c>
      <c r="J3009" s="174"/>
    </row>
    <row r="3010" hidden="1" customHeight="1" spans="1:10">
      <c r="A3010" s="140" t="s">
        <v>531</v>
      </c>
      <c r="B3010" s="140" t="s">
        <v>398</v>
      </c>
      <c r="C3010" s="171">
        <v>45716</v>
      </c>
      <c r="D3010" s="172" t="s">
        <v>25</v>
      </c>
      <c r="E3010" s="140" t="s">
        <v>19</v>
      </c>
      <c r="F3010" s="140" t="s">
        <v>359</v>
      </c>
      <c r="G3010" s="140" t="s">
        <v>21</v>
      </c>
      <c r="H3010" s="140" t="s">
        <v>212</v>
      </c>
      <c r="I3010" s="140" t="s">
        <v>21</v>
      </c>
      <c r="J3010" s="174"/>
    </row>
    <row r="3011" hidden="1" customHeight="1" spans="1:10">
      <c r="A3011" s="140" t="s">
        <v>532</v>
      </c>
      <c r="B3011" s="140" t="s">
        <v>424</v>
      </c>
      <c r="C3011" s="171">
        <v>45689</v>
      </c>
      <c r="D3011" s="172" t="s">
        <v>12</v>
      </c>
      <c r="E3011" s="173" t="s">
        <v>13</v>
      </c>
      <c r="F3011" s="140" t="s">
        <v>14</v>
      </c>
      <c r="G3011" s="140" t="s">
        <v>14</v>
      </c>
      <c r="H3011" s="140" t="s">
        <v>14</v>
      </c>
      <c r="I3011" s="140" t="s">
        <v>14</v>
      </c>
      <c r="J3011" s="174"/>
    </row>
    <row r="3012" hidden="1" customHeight="1" spans="1:10">
      <c r="A3012" s="140" t="s">
        <v>532</v>
      </c>
      <c r="B3012" s="140" t="s">
        <v>424</v>
      </c>
      <c r="C3012" s="171">
        <v>45690</v>
      </c>
      <c r="D3012" s="172" t="s">
        <v>15</v>
      </c>
      <c r="E3012" s="173" t="s">
        <v>13</v>
      </c>
      <c r="F3012" s="140" t="s">
        <v>14</v>
      </c>
      <c r="G3012" s="140" t="s">
        <v>14</v>
      </c>
      <c r="H3012" s="140" t="s">
        <v>14</v>
      </c>
      <c r="I3012" s="140" t="s">
        <v>14</v>
      </c>
      <c r="J3012" s="174"/>
    </row>
    <row r="3013" hidden="1" customHeight="1" spans="1:10">
      <c r="A3013" s="140" t="s">
        <v>532</v>
      </c>
      <c r="B3013" s="140" t="s">
        <v>424</v>
      </c>
      <c r="C3013" s="171">
        <v>45691</v>
      </c>
      <c r="D3013" s="172" t="s">
        <v>16</v>
      </c>
      <c r="E3013" s="173" t="s">
        <v>13</v>
      </c>
      <c r="F3013" s="140" t="s">
        <v>14</v>
      </c>
      <c r="G3013" s="140" t="s">
        <v>14</v>
      </c>
      <c r="H3013" s="140" t="s">
        <v>14</v>
      </c>
      <c r="I3013" s="140" t="s">
        <v>14</v>
      </c>
      <c r="J3013" s="174"/>
    </row>
    <row r="3014" hidden="1" customHeight="1" spans="1:10">
      <c r="A3014" s="140" t="s">
        <v>532</v>
      </c>
      <c r="B3014" s="140" t="s">
        <v>424</v>
      </c>
      <c r="C3014" s="171">
        <v>45692</v>
      </c>
      <c r="D3014" s="172" t="s">
        <v>17</v>
      </c>
      <c r="E3014" s="173" t="s">
        <v>13</v>
      </c>
      <c r="F3014" s="140" t="s">
        <v>14</v>
      </c>
      <c r="G3014" s="140" t="s">
        <v>14</v>
      </c>
      <c r="H3014" s="140" t="s">
        <v>14</v>
      </c>
      <c r="I3014" s="140" t="s">
        <v>14</v>
      </c>
      <c r="J3014" s="174"/>
    </row>
    <row r="3015" hidden="1" customHeight="1" spans="1:10">
      <c r="A3015" s="140" t="s">
        <v>532</v>
      </c>
      <c r="B3015" s="140" t="s">
        <v>424</v>
      </c>
      <c r="C3015" s="171">
        <v>45693</v>
      </c>
      <c r="D3015" s="172" t="s">
        <v>18</v>
      </c>
      <c r="E3015" s="140" t="s">
        <v>19</v>
      </c>
      <c r="F3015" s="140" t="s">
        <v>133</v>
      </c>
      <c r="G3015" s="140" t="s">
        <v>21</v>
      </c>
      <c r="H3015" s="140" t="s">
        <v>210</v>
      </c>
      <c r="I3015" s="140" t="s">
        <v>21</v>
      </c>
      <c r="J3015" s="174"/>
    </row>
    <row r="3016" hidden="1" customHeight="1" spans="1:10">
      <c r="A3016" s="140" t="s">
        <v>532</v>
      </c>
      <c r="B3016" s="140" t="s">
        <v>424</v>
      </c>
      <c r="C3016" s="171">
        <v>45694</v>
      </c>
      <c r="D3016" s="172" t="s">
        <v>23</v>
      </c>
      <c r="E3016" s="140" t="s">
        <v>19</v>
      </c>
      <c r="F3016" s="140" t="s">
        <v>533</v>
      </c>
      <c r="G3016" s="140" t="s">
        <v>21</v>
      </c>
      <c r="H3016" s="140" t="s">
        <v>273</v>
      </c>
      <c r="I3016" s="140" t="s">
        <v>21</v>
      </c>
      <c r="J3016" s="174"/>
    </row>
    <row r="3017" customHeight="1" spans="1:10">
      <c r="A3017" s="140" t="s">
        <v>532</v>
      </c>
      <c r="B3017" s="140" t="s">
        <v>424</v>
      </c>
      <c r="C3017" s="171">
        <v>45695</v>
      </c>
      <c r="D3017" s="172" t="s">
        <v>25</v>
      </c>
      <c r="E3017" s="140" t="s">
        <v>19</v>
      </c>
      <c r="F3017" s="140" t="s">
        <v>177</v>
      </c>
      <c r="G3017" s="140" t="s">
        <v>21</v>
      </c>
      <c r="H3017" s="140" t="s">
        <v>14</v>
      </c>
      <c r="I3017" s="176" t="s">
        <v>68</v>
      </c>
      <c r="J3017" s="174" t="s">
        <v>69</v>
      </c>
    </row>
    <row r="3018" hidden="1" customHeight="1" spans="1:10">
      <c r="A3018" s="140" t="s">
        <v>532</v>
      </c>
      <c r="B3018" s="140" t="s">
        <v>424</v>
      </c>
      <c r="C3018" s="171">
        <v>45696</v>
      </c>
      <c r="D3018" s="172" t="s">
        <v>27</v>
      </c>
      <c r="E3018" s="140" t="s">
        <v>19</v>
      </c>
      <c r="F3018" s="140" t="s">
        <v>40</v>
      </c>
      <c r="G3018" s="140" t="s">
        <v>21</v>
      </c>
      <c r="H3018" s="140" t="s">
        <v>200</v>
      </c>
      <c r="I3018" s="140" t="s">
        <v>21</v>
      </c>
      <c r="J3018" s="174"/>
    </row>
    <row r="3019" hidden="1" customHeight="1" spans="1:10">
      <c r="A3019" s="140" t="s">
        <v>532</v>
      </c>
      <c r="B3019" s="140" t="s">
        <v>424</v>
      </c>
      <c r="C3019" s="171">
        <v>45697</v>
      </c>
      <c r="D3019" s="172" t="s">
        <v>15</v>
      </c>
      <c r="E3019" s="173" t="s">
        <v>13</v>
      </c>
      <c r="F3019" s="140" t="s">
        <v>14</v>
      </c>
      <c r="G3019" s="140" t="s">
        <v>14</v>
      </c>
      <c r="H3019" s="140" t="s">
        <v>14</v>
      </c>
      <c r="I3019" s="140" t="s">
        <v>14</v>
      </c>
      <c r="J3019" s="174"/>
    </row>
    <row r="3020" hidden="1" customHeight="1" spans="1:10">
      <c r="A3020" s="140" t="s">
        <v>532</v>
      </c>
      <c r="B3020" s="140" t="s">
        <v>424</v>
      </c>
      <c r="C3020" s="171">
        <v>45698</v>
      </c>
      <c r="D3020" s="172" t="s">
        <v>16</v>
      </c>
      <c r="E3020" s="140" t="s">
        <v>19</v>
      </c>
      <c r="F3020" s="140" t="s">
        <v>49</v>
      </c>
      <c r="G3020" s="140" t="s">
        <v>21</v>
      </c>
      <c r="H3020" s="140" t="s">
        <v>73</v>
      </c>
      <c r="I3020" s="140" t="s">
        <v>21</v>
      </c>
      <c r="J3020" s="174"/>
    </row>
    <row r="3021" hidden="1" customHeight="1" spans="1:10">
      <c r="A3021" s="140" t="s">
        <v>532</v>
      </c>
      <c r="B3021" s="140" t="s">
        <v>424</v>
      </c>
      <c r="C3021" s="171">
        <v>45699</v>
      </c>
      <c r="D3021" s="172" t="s">
        <v>17</v>
      </c>
      <c r="E3021" s="140" t="s">
        <v>19</v>
      </c>
      <c r="F3021" s="140" t="s">
        <v>110</v>
      </c>
      <c r="G3021" s="140" t="s">
        <v>21</v>
      </c>
      <c r="H3021" s="140" t="s">
        <v>206</v>
      </c>
      <c r="I3021" s="140" t="s">
        <v>21</v>
      </c>
      <c r="J3021" s="174"/>
    </row>
    <row r="3022" hidden="1" customHeight="1" spans="1:10">
      <c r="A3022" s="140" t="s">
        <v>532</v>
      </c>
      <c r="B3022" s="140" t="s">
        <v>424</v>
      </c>
      <c r="C3022" s="171">
        <v>45700</v>
      </c>
      <c r="D3022" s="172" t="s">
        <v>18</v>
      </c>
      <c r="E3022" s="140" t="s">
        <v>19</v>
      </c>
      <c r="F3022" s="140" t="s">
        <v>223</v>
      </c>
      <c r="G3022" s="140" t="s">
        <v>21</v>
      </c>
      <c r="H3022" s="140" t="s">
        <v>175</v>
      </c>
      <c r="I3022" s="140" t="s">
        <v>21</v>
      </c>
      <c r="J3022" s="174"/>
    </row>
    <row r="3023" hidden="1" customHeight="1" spans="1:10">
      <c r="A3023" s="140" t="s">
        <v>532</v>
      </c>
      <c r="B3023" s="140" t="s">
        <v>424</v>
      </c>
      <c r="C3023" s="171">
        <v>45701</v>
      </c>
      <c r="D3023" s="172" t="s">
        <v>23</v>
      </c>
      <c r="E3023" s="140" t="s">
        <v>19</v>
      </c>
      <c r="F3023" s="140" t="s">
        <v>534</v>
      </c>
      <c r="G3023" s="140" t="s">
        <v>21</v>
      </c>
      <c r="H3023" s="140" t="s">
        <v>73</v>
      </c>
      <c r="I3023" s="140" t="s">
        <v>21</v>
      </c>
      <c r="J3023" s="174"/>
    </row>
    <row r="3024" hidden="1" customHeight="1" spans="1:10">
      <c r="A3024" s="140" t="s">
        <v>532</v>
      </c>
      <c r="B3024" s="140" t="s">
        <v>424</v>
      </c>
      <c r="C3024" s="171">
        <v>45702</v>
      </c>
      <c r="D3024" s="172" t="s">
        <v>25</v>
      </c>
      <c r="E3024" s="140" t="s">
        <v>19</v>
      </c>
      <c r="F3024" s="140" t="s">
        <v>535</v>
      </c>
      <c r="G3024" s="140" t="s">
        <v>21</v>
      </c>
      <c r="H3024" s="140" t="s">
        <v>206</v>
      </c>
      <c r="I3024" s="140" t="s">
        <v>21</v>
      </c>
      <c r="J3024" s="174"/>
    </row>
    <row r="3025" hidden="1" customHeight="1" spans="1:10">
      <c r="A3025" s="140" t="s">
        <v>532</v>
      </c>
      <c r="B3025" s="140" t="s">
        <v>424</v>
      </c>
      <c r="C3025" s="171">
        <v>45703</v>
      </c>
      <c r="D3025" s="172" t="s">
        <v>27</v>
      </c>
      <c r="E3025" s="173" t="s">
        <v>13</v>
      </c>
      <c r="F3025" s="140" t="s">
        <v>98</v>
      </c>
      <c r="G3025" s="140" t="s">
        <v>21</v>
      </c>
      <c r="H3025" s="140" t="s">
        <v>14</v>
      </c>
      <c r="I3025" s="140" t="s">
        <v>14</v>
      </c>
      <c r="J3025" s="174"/>
    </row>
    <row r="3026" hidden="1" customHeight="1" spans="1:10">
      <c r="A3026" s="140" t="s">
        <v>532</v>
      </c>
      <c r="B3026" s="140" t="s">
        <v>424</v>
      </c>
      <c r="C3026" s="171">
        <v>45704</v>
      </c>
      <c r="D3026" s="172" t="s">
        <v>15</v>
      </c>
      <c r="E3026" s="173" t="s">
        <v>13</v>
      </c>
      <c r="F3026" s="140" t="s">
        <v>14</v>
      </c>
      <c r="G3026" s="140" t="s">
        <v>14</v>
      </c>
      <c r="H3026" s="140" t="s">
        <v>14</v>
      </c>
      <c r="I3026" s="140" t="s">
        <v>14</v>
      </c>
      <c r="J3026" s="174"/>
    </row>
    <row r="3027" hidden="1" customHeight="1" spans="1:10">
      <c r="A3027" s="140" t="s">
        <v>532</v>
      </c>
      <c r="B3027" s="140" t="s">
        <v>424</v>
      </c>
      <c r="C3027" s="171">
        <v>45705</v>
      </c>
      <c r="D3027" s="172" t="s">
        <v>16</v>
      </c>
      <c r="E3027" s="140" t="s">
        <v>19</v>
      </c>
      <c r="F3027" s="140" t="s">
        <v>536</v>
      </c>
      <c r="G3027" s="140" t="s">
        <v>21</v>
      </c>
      <c r="H3027" s="140" t="s">
        <v>45</v>
      </c>
      <c r="I3027" s="140" t="s">
        <v>21</v>
      </c>
      <c r="J3027" s="174"/>
    </row>
    <row r="3028" hidden="1" customHeight="1" spans="1:10">
      <c r="A3028" s="140" t="s">
        <v>532</v>
      </c>
      <c r="B3028" s="140" t="s">
        <v>424</v>
      </c>
      <c r="C3028" s="171">
        <v>45706</v>
      </c>
      <c r="D3028" s="172" t="s">
        <v>17</v>
      </c>
      <c r="E3028" s="140" t="s">
        <v>19</v>
      </c>
      <c r="F3028" s="140" t="s">
        <v>146</v>
      </c>
      <c r="G3028" s="140" t="s">
        <v>21</v>
      </c>
      <c r="H3028" s="140" t="s">
        <v>537</v>
      </c>
      <c r="I3028" s="140" t="s">
        <v>21</v>
      </c>
      <c r="J3028" s="174"/>
    </row>
    <row r="3029" customHeight="1" spans="1:10">
      <c r="A3029" s="140" t="s">
        <v>532</v>
      </c>
      <c r="B3029" s="140" t="s">
        <v>424</v>
      </c>
      <c r="C3029" s="171">
        <v>45707</v>
      </c>
      <c r="D3029" s="172" t="s">
        <v>18</v>
      </c>
      <c r="E3029" s="140" t="s">
        <v>19</v>
      </c>
      <c r="F3029" s="140" t="s">
        <v>14</v>
      </c>
      <c r="G3029" s="176" t="s">
        <v>68</v>
      </c>
      <c r="H3029" s="140" t="s">
        <v>87</v>
      </c>
      <c r="I3029" s="140" t="s">
        <v>21</v>
      </c>
      <c r="J3029" s="174" t="s">
        <v>538</v>
      </c>
    </row>
    <row r="3030" customHeight="1" spans="1:10">
      <c r="A3030" s="140" t="s">
        <v>532</v>
      </c>
      <c r="B3030" s="140" t="s">
        <v>424</v>
      </c>
      <c r="C3030" s="171">
        <v>45708</v>
      </c>
      <c r="D3030" s="172" t="s">
        <v>23</v>
      </c>
      <c r="E3030" s="140" t="s">
        <v>19</v>
      </c>
      <c r="F3030" s="140" t="s">
        <v>14</v>
      </c>
      <c r="G3030" s="176" t="s">
        <v>68</v>
      </c>
      <c r="H3030" s="140" t="s">
        <v>123</v>
      </c>
      <c r="I3030" s="140" t="s">
        <v>21</v>
      </c>
      <c r="J3030" s="174" t="s">
        <v>538</v>
      </c>
    </row>
    <row r="3031" customHeight="1" spans="1:10">
      <c r="A3031" s="140" t="s">
        <v>532</v>
      </c>
      <c r="B3031" s="140" t="s">
        <v>424</v>
      </c>
      <c r="C3031" s="171">
        <v>45709</v>
      </c>
      <c r="D3031" s="172" t="s">
        <v>25</v>
      </c>
      <c r="E3031" s="140" t="s">
        <v>19</v>
      </c>
      <c r="F3031" s="140" t="s">
        <v>14</v>
      </c>
      <c r="G3031" s="176" t="s">
        <v>68</v>
      </c>
      <c r="H3031" s="140" t="s">
        <v>123</v>
      </c>
      <c r="I3031" s="140" t="s">
        <v>21</v>
      </c>
      <c r="J3031" s="174" t="s">
        <v>69</v>
      </c>
    </row>
    <row r="3032" hidden="1" customHeight="1" spans="1:10">
      <c r="A3032" s="140" t="s">
        <v>532</v>
      </c>
      <c r="B3032" s="140" t="s">
        <v>424</v>
      </c>
      <c r="C3032" s="171">
        <v>45710</v>
      </c>
      <c r="D3032" s="172" t="s">
        <v>27</v>
      </c>
      <c r="E3032" s="173" t="s">
        <v>13</v>
      </c>
      <c r="F3032" s="140" t="s">
        <v>539</v>
      </c>
      <c r="G3032" s="140" t="s">
        <v>21</v>
      </c>
      <c r="H3032" s="140" t="s">
        <v>53</v>
      </c>
      <c r="I3032" s="140" t="s">
        <v>21</v>
      </c>
      <c r="J3032" s="174"/>
    </row>
    <row r="3033" hidden="1" customHeight="1" spans="1:10">
      <c r="A3033" s="140" t="s">
        <v>532</v>
      </c>
      <c r="B3033" s="140" t="s">
        <v>424</v>
      </c>
      <c r="C3033" s="171">
        <v>45711</v>
      </c>
      <c r="D3033" s="172" t="s">
        <v>15</v>
      </c>
      <c r="E3033" s="173" t="s">
        <v>13</v>
      </c>
      <c r="F3033" s="140" t="s">
        <v>14</v>
      </c>
      <c r="G3033" s="140" t="s">
        <v>14</v>
      </c>
      <c r="H3033" s="140" t="s">
        <v>14</v>
      </c>
      <c r="I3033" s="140" t="s">
        <v>14</v>
      </c>
      <c r="J3033" s="174"/>
    </row>
    <row r="3034" hidden="1" customHeight="1" spans="1:10">
      <c r="A3034" s="140" t="s">
        <v>532</v>
      </c>
      <c r="B3034" s="140" t="s">
        <v>424</v>
      </c>
      <c r="C3034" s="171">
        <v>45712</v>
      </c>
      <c r="D3034" s="172" t="s">
        <v>16</v>
      </c>
      <c r="E3034" s="140" t="s">
        <v>19</v>
      </c>
      <c r="F3034" s="140" t="s">
        <v>540</v>
      </c>
      <c r="G3034" s="140" t="s">
        <v>21</v>
      </c>
      <c r="H3034" s="140" t="s">
        <v>168</v>
      </c>
      <c r="I3034" s="140" t="s">
        <v>21</v>
      </c>
      <c r="J3034" s="174"/>
    </row>
    <row r="3035" customHeight="1" spans="1:10">
      <c r="A3035" s="140" t="s">
        <v>532</v>
      </c>
      <c r="B3035" s="140" t="s">
        <v>424</v>
      </c>
      <c r="C3035" s="171">
        <v>45713</v>
      </c>
      <c r="D3035" s="172" t="s">
        <v>17</v>
      </c>
      <c r="E3035" s="140" t="s">
        <v>19</v>
      </c>
      <c r="F3035" s="140" t="s">
        <v>14</v>
      </c>
      <c r="G3035" s="176" t="s">
        <v>68</v>
      </c>
      <c r="H3035" s="140" t="s">
        <v>174</v>
      </c>
      <c r="I3035" s="140" t="s">
        <v>21</v>
      </c>
      <c r="J3035" s="174" t="s">
        <v>69</v>
      </c>
    </row>
    <row r="3036" hidden="1" customHeight="1" spans="1:10">
      <c r="A3036" s="140" t="s">
        <v>532</v>
      </c>
      <c r="B3036" s="140" t="s">
        <v>424</v>
      </c>
      <c r="C3036" s="171">
        <v>45714</v>
      </c>
      <c r="D3036" s="172" t="s">
        <v>18</v>
      </c>
      <c r="E3036" s="140" t="s">
        <v>19</v>
      </c>
      <c r="F3036" s="140" t="s">
        <v>133</v>
      </c>
      <c r="G3036" s="140" t="s">
        <v>21</v>
      </c>
      <c r="H3036" s="140" t="s">
        <v>122</v>
      </c>
      <c r="I3036" s="140" t="s">
        <v>21</v>
      </c>
      <c r="J3036" s="174"/>
    </row>
    <row r="3037" hidden="1" customHeight="1" spans="1:10">
      <c r="A3037" s="140" t="s">
        <v>532</v>
      </c>
      <c r="B3037" s="140" t="s">
        <v>424</v>
      </c>
      <c r="C3037" s="171">
        <v>45715</v>
      </c>
      <c r="D3037" s="172" t="s">
        <v>23</v>
      </c>
      <c r="E3037" s="140" t="s">
        <v>19</v>
      </c>
      <c r="F3037" s="140" t="s">
        <v>98</v>
      </c>
      <c r="G3037" s="140" t="s">
        <v>21</v>
      </c>
      <c r="H3037" s="140" t="s">
        <v>73</v>
      </c>
      <c r="I3037" s="140" t="s">
        <v>21</v>
      </c>
      <c r="J3037" s="174"/>
    </row>
    <row r="3038" hidden="1" customHeight="1" spans="1:10">
      <c r="A3038" s="140" t="s">
        <v>532</v>
      </c>
      <c r="B3038" s="140" t="s">
        <v>424</v>
      </c>
      <c r="C3038" s="171">
        <v>45716</v>
      </c>
      <c r="D3038" s="172" t="s">
        <v>25</v>
      </c>
      <c r="E3038" s="140" t="s">
        <v>19</v>
      </c>
      <c r="F3038" s="140" t="s">
        <v>143</v>
      </c>
      <c r="G3038" s="140" t="s">
        <v>21</v>
      </c>
      <c r="H3038" s="140" t="s">
        <v>53</v>
      </c>
      <c r="I3038" s="140" t="s">
        <v>21</v>
      </c>
      <c r="J3038" s="174"/>
    </row>
    <row r="3039" hidden="1" customHeight="1" spans="1:10">
      <c r="A3039" s="140" t="s">
        <v>541</v>
      </c>
      <c r="B3039" s="140" t="s">
        <v>424</v>
      </c>
      <c r="C3039" s="171">
        <v>45689</v>
      </c>
      <c r="D3039" s="172" t="s">
        <v>12</v>
      </c>
      <c r="E3039" s="173" t="s">
        <v>13</v>
      </c>
      <c r="F3039" s="140" t="s">
        <v>14</v>
      </c>
      <c r="G3039" s="140" t="s">
        <v>14</v>
      </c>
      <c r="H3039" s="140" t="s">
        <v>14</v>
      </c>
      <c r="I3039" s="140" t="s">
        <v>14</v>
      </c>
      <c r="J3039" s="174"/>
    </row>
    <row r="3040" hidden="1" customHeight="1" spans="1:10">
      <c r="A3040" s="140" t="s">
        <v>541</v>
      </c>
      <c r="B3040" s="140" t="s">
        <v>424</v>
      </c>
      <c r="C3040" s="171">
        <v>45690</v>
      </c>
      <c r="D3040" s="172" t="s">
        <v>15</v>
      </c>
      <c r="E3040" s="173" t="s">
        <v>13</v>
      </c>
      <c r="F3040" s="140" t="s">
        <v>14</v>
      </c>
      <c r="G3040" s="140" t="s">
        <v>14</v>
      </c>
      <c r="H3040" s="140" t="s">
        <v>14</v>
      </c>
      <c r="I3040" s="140" t="s">
        <v>14</v>
      </c>
      <c r="J3040" s="174"/>
    </row>
    <row r="3041" hidden="1" customHeight="1" spans="1:10">
      <c r="A3041" s="140" t="s">
        <v>541</v>
      </c>
      <c r="B3041" s="140" t="s">
        <v>424</v>
      </c>
      <c r="C3041" s="171">
        <v>45691</v>
      </c>
      <c r="D3041" s="172" t="s">
        <v>16</v>
      </c>
      <c r="E3041" s="173" t="s">
        <v>13</v>
      </c>
      <c r="F3041" s="140" t="s">
        <v>14</v>
      </c>
      <c r="G3041" s="140" t="s">
        <v>14</v>
      </c>
      <c r="H3041" s="140" t="s">
        <v>14</v>
      </c>
      <c r="I3041" s="140" t="s">
        <v>14</v>
      </c>
      <c r="J3041" s="174"/>
    </row>
    <row r="3042" hidden="1" customHeight="1" spans="1:10">
      <c r="A3042" s="140" t="s">
        <v>541</v>
      </c>
      <c r="B3042" s="140" t="s">
        <v>424</v>
      </c>
      <c r="C3042" s="171">
        <v>45692</v>
      </c>
      <c r="D3042" s="172" t="s">
        <v>17</v>
      </c>
      <c r="E3042" s="173" t="s">
        <v>13</v>
      </c>
      <c r="F3042" s="140" t="s">
        <v>14</v>
      </c>
      <c r="G3042" s="140" t="s">
        <v>14</v>
      </c>
      <c r="H3042" s="140" t="s">
        <v>14</v>
      </c>
      <c r="I3042" s="140" t="s">
        <v>14</v>
      </c>
      <c r="J3042" s="174"/>
    </row>
    <row r="3043" hidden="1" customHeight="1" spans="1:10">
      <c r="A3043" s="140" t="s">
        <v>541</v>
      </c>
      <c r="B3043" s="140" t="s">
        <v>424</v>
      </c>
      <c r="C3043" s="171">
        <v>45693</v>
      </c>
      <c r="D3043" s="172" t="s">
        <v>18</v>
      </c>
      <c r="E3043" s="140" t="s">
        <v>19</v>
      </c>
      <c r="F3043" s="140" t="s">
        <v>139</v>
      </c>
      <c r="G3043" s="140" t="s">
        <v>21</v>
      </c>
      <c r="H3043" s="140" t="s">
        <v>96</v>
      </c>
      <c r="I3043" s="140" t="s">
        <v>21</v>
      </c>
      <c r="J3043" s="174"/>
    </row>
    <row r="3044" hidden="1" customHeight="1" spans="1:10">
      <c r="A3044" s="140" t="s">
        <v>541</v>
      </c>
      <c r="B3044" s="140" t="s">
        <v>424</v>
      </c>
      <c r="C3044" s="171">
        <v>45694</v>
      </c>
      <c r="D3044" s="172" t="s">
        <v>23</v>
      </c>
      <c r="E3044" s="140" t="s">
        <v>19</v>
      </c>
      <c r="F3044" s="140" t="s">
        <v>143</v>
      </c>
      <c r="G3044" s="140" t="s">
        <v>21</v>
      </c>
      <c r="H3044" s="140" t="s">
        <v>315</v>
      </c>
      <c r="I3044" s="140" t="s">
        <v>21</v>
      </c>
      <c r="J3044" s="174"/>
    </row>
    <row r="3045" hidden="1" customHeight="1" spans="1:10">
      <c r="A3045" s="140" t="s">
        <v>541</v>
      </c>
      <c r="B3045" s="140" t="s">
        <v>424</v>
      </c>
      <c r="C3045" s="171">
        <v>45695</v>
      </c>
      <c r="D3045" s="172" t="s">
        <v>25</v>
      </c>
      <c r="E3045" s="140" t="s">
        <v>19</v>
      </c>
      <c r="F3045" s="140" t="s">
        <v>379</v>
      </c>
      <c r="G3045" s="140" t="s">
        <v>21</v>
      </c>
      <c r="H3045" s="140" t="s">
        <v>245</v>
      </c>
      <c r="I3045" s="140" t="s">
        <v>21</v>
      </c>
      <c r="J3045" s="174"/>
    </row>
    <row r="3046" hidden="1" customHeight="1" spans="1:10">
      <c r="A3046" s="140" t="s">
        <v>541</v>
      </c>
      <c r="B3046" s="140" t="s">
        <v>424</v>
      </c>
      <c r="C3046" s="171">
        <v>45696</v>
      </c>
      <c r="D3046" s="172" t="s">
        <v>27</v>
      </c>
      <c r="E3046" s="140" t="s">
        <v>19</v>
      </c>
      <c r="F3046" s="140" t="s">
        <v>108</v>
      </c>
      <c r="G3046" s="140" t="s">
        <v>21</v>
      </c>
      <c r="H3046" s="140" t="s">
        <v>235</v>
      </c>
      <c r="I3046" s="140" t="s">
        <v>21</v>
      </c>
      <c r="J3046" s="174"/>
    </row>
    <row r="3047" hidden="1" customHeight="1" spans="1:10">
      <c r="A3047" s="140" t="s">
        <v>541</v>
      </c>
      <c r="B3047" s="140" t="s">
        <v>424</v>
      </c>
      <c r="C3047" s="171">
        <v>45697</v>
      </c>
      <c r="D3047" s="172" t="s">
        <v>15</v>
      </c>
      <c r="E3047" s="173" t="s">
        <v>13</v>
      </c>
      <c r="F3047" s="140" t="s">
        <v>14</v>
      </c>
      <c r="G3047" s="140" t="s">
        <v>14</v>
      </c>
      <c r="H3047" s="140" t="s">
        <v>14</v>
      </c>
      <c r="I3047" s="140" t="s">
        <v>14</v>
      </c>
      <c r="J3047" s="174"/>
    </row>
    <row r="3048" hidden="1" customHeight="1" spans="1:10">
      <c r="A3048" s="140" t="s">
        <v>541</v>
      </c>
      <c r="B3048" s="140" t="s">
        <v>424</v>
      </c>
      <c r="C3048" s="171">
        <v>45698</v>
      </c>
      <c r="D3048" s="172" t="s">
        <v>16</v>
      </c>
      <c r="E3048" s="140" t="s">
        <v>19</v>
      </c>
      <c r="F3048" s="140" t="s">
        <v>33</v>
      </c>
      <c r="G3048" s="140" t="s">
        <v>21</v>
      </c>
      <c r="H3048" s="140" t="s">
        <v>78</v>
      </c>
      <c r="I3048" s="140" t="s">
        <v>21</v>
      </c>
      <c r="J3048" s="174"/>
    </row>
    <row r="3049" hidden="1" customHeight="1" spans="1:10">
      <c r="A3049" s="140" t="s">
        <v>541</v>
      </c>
      <c r="B3049" s="140" t="s">
        <v>424</v>
      </c>
      <c r="C3049" s="171">
        <v>45699</v>
      </c>
      <c r="D3049" s="172" t="s">
        <v>17</v>
      </c>
      <c r="E3049" s="140" t="s">
        <v>19</v>
      </c>
      <c r="F3049" s="140" t="s">
        <v>137</v>
      </c>
      <c r="G3049" s="140" t="s">
        <v>21</v>
      </c>
      <c r="H3049" s="140" t="s">
        <v>385</v>
      </c>
      <c r="I3049" s="140" t="s">
        <v>21</v>
      </c>
      <c r="J3049" s="174"/>
    </row>
    <row r="3050" hidden="1" customHeight="1" spans="1:10">
      <c r="A3050" s="140" t="s">
        <v>541</v>
      </c>
      <c r="B3050" s="140" t="s">
        <v>424</v>
      </c>
      <c r="C3050" s="171">
        <v>45700</v>
      </c>
      <c r="D3050" s="172" t="s">
        <v>18</v>
      </c>
      <c r="E3050" s="140" t="s">
        <v>19</v>
      </c>
      <c r="F3050" s="140" t="s">
        <v>49</v>
      </c>
      <c r="G3050" s="140" t="s">
        <v>21</v>
      </c>
      <c r="H3050" s="140" t="s">
        <v>174</v>
      </c>
      <c r="I3050" s="140" t="s">
        <v>21</v>
      </c>
      <c r="J3050" s="174"/>
    </row>
    <row r="3051" hidden="1" customHeight="1" spans="1:10">
      <c r="A3051" s="140" t="s">
        <v>541</v>
      </c>
      <c r="B3051" s="140" t="s">
        <v>424</v>
      </c>
      <c r="C3051" s="171">
        <v>45701</v>
      </c>
      <c r="D3051" s="172" t="s">
        <v>23</v>
      </c>
      <c r="E3051" s="140" t="s">
        <v>19</v>
      </c>
      <c r="F3051" s="140" t="s">
        <v>139</v>
      </c>
      <c r="G3051" s="140" t="s">
        <v>21</v>
      </c>
      <c r="H3051" s="140" t="s">
        <v>496</v>
      </c>
      <c r="I3051" s="140" t="s">
        <v>21</v>
      </c>
      <c r="J3051" s="174"/>
    </row>
    <row r="3052" hidden="1" customHeight="1" spans="1:10">
      <c r="A3052" s="140" t="s">
        <v>541</v>
      </c>
      <c r="B3052" s="140" t="s">
        <v>424</v>
      </c>
      <c r="C3052" s="171">
        <v>45702</v>
      </c>
      <c r="D3052" s="172" t="s">
        <v>25</v>
      </c>
      <c r="E3052" s="140" t="s">
        <v>19</v>
      </c>
      <c r="F3052" s="140" t="s">
        <v>150</v>
      </c>
      <c r="G3052" s="140" t="s">
        <v>21</v>
      </c>
      <c r="H3052" s="140" t="s">
        <v>215</v>
      </c>
      <c r="I3052" s="140" t="s">
        <v>21</v>
      </c>
      <c r="J3052" s="174"/>
    </row>
    <row r="3053" hidden="1" customHeight="1" spans="1:10">
      <c r="A3053" s="140" t="s">
        <v>541</v>
      </c>
      <c r="B3053" s="140" t="s">
        <v>424</v>
      </c>
      <c r="C3053" s="171">
        <v>45703</v>
      </c>
      <c r="D3053" s="172" t="s">
        <v>27</v>
      </c>
      <c r="E3053" s="173" t="s">
        <v>13</v>
      </c>
      <c r="F3053" s="140" t="s">
        <v>14</v>
      </c>
      <c r="G3053" s="140" t="s">
        <v>14</v>
      </c>
      <c r="H3053" s="140" t="s">
        <v>14</v>
      </c>
      <c r="I3053" s="140" t="s">
        <v>14</v>
      </c>
      <c r="J3053" s="174"/>
    </row>
    <row r="3054" hidden="1" customHeight="1" spans="1:10">
      <c r="A3054" s="140" t="s">
        <v>541</v>
      </c>
      <c r="B3054" s="140" t="s">
        <v>424</v>
      </c>
      <c r="C3054" s="171">
        <v>45704</v>
      </c>
      <c r="D3054" s="172" t="s">
        <v>15</v>
      </c>
      <c r="E3054" s="173" t="s">
        <v>13</v>
      </c>
      <c r="F3054" s="140" t="s">
        <v>14</v>
      </c>
      <c r="G3054" s="140" t="s">
        <v>14</v>
      </c>
      <c r="H3054" s="140" t="s">
        <v>14</v>
      </c>
      <c r="I3054" s="140" t="s">
        <v>14</v>
      </c>
      <c r="J3054" s="174"/>
    </row>
    <row r="3055" hidden="1" customHeight="1" spans="1:10">
      <c r="A3055" s="140" t="s">
        <v>541</v>
      </c>
      <c r="B3055" s="140" t="s">
        <v>424</v>
      </c>
      <c r="C3055" s="171">
        <v>45705</v>
      </c>
      <c r="D3055" s="172" t="s">
        <v>16</v>
      </c>
      <c r="E3055" s="140" t="s">
        <v>19</v>
      </c>
      <c r="F3055" s="140" t="s">
        <v>143</v>
      </c>
      <c r="G3055" s="140" t="s">
        <v>21</v>
      </c>
      <c r="H3055" s="140" t="s">
        <v>160</v>
      </c>
      <c r="I3055" s="140" t="s">
        <v>21</v>
      </c>
      <c r="J3055" s="174"/>
    </row>
    <row r="3056" hidden="1" customHeight="1" spans="1:10">
      <c r="A3056" s="140" t="s">
        <v>541</v>
      </c>
      <c r="B3056" s="140" t="s">
        <v>424</v>
      </c>
      <c r="C3056" s="171">
        <v>45706</v>
      </c>
      <c r="D3056" s="172" t="s">
        <v>17</v>
      </c>
      <c r="E3056" s="140" t="s">
        <v>19</v>
      </c>
      <c r="F3056" s="140" t="s">
        <v>108</v>
      </c>
      <c r="G3056" s="140" t="s">
        <v>21</v>
      </c>
      <c r="H3056" s="140" t="s">
        <v>54</v>
      </c>
      <c r="I3056" s="140" t="s">
        <v>21</v>
      </c>
      <c r="J3056" s="174"/>
    </row>
    <row r="3057" hidden="1" customHeight="1" spans="1:10">
      <c r="A3057" s="140" t="s">
        <v>541</v>
      </c>
      <c r="B3057" s="140" t="s">
        <v>424</v>
      </c>
      <c r="C3057" s="171">
        <v>45707</v>
      </c>
      <c r="D3057" s="172" t="s">
        <v>18</v>
      </c>
      <c r="E3057" s="140" t="s">
        <v>19</v>
      </c>
      <c r="F3057" s="140" t="s">
        <v>40</v>
      </c>
      <c r="G3057" s="140" t="s">
        <v>21</v>
      </c>
      <c r="H3057" s="140" t="s">
        <v>339</v>
      </c>
      <c r="I3057" s="140" t="s">
        <v>21</v>
      </c>
      <c r="J3057" s="174"/>
    </row>
    <row r="3058" hidden="1" customHeight="1" spans="1:10">
      <c r="A3058" s="140" t="s">
        <v>541</v>
      </c>
      <c r="B3058" s="140" t="s">
        <v>424</v>
      </c>
      <c r="C3058" s="171">
        <v>45708</v>
      </c>
      <c r="D3058" s="172" t="s">
        <v>23</v>
      </c>
      <c r="E3058" s="140" t="s">
        <v>19</v>
      </c>
      <c r="F3058" s="140" t="s">
        <v>150</v>
      </c>
      <c r="G3058" s="140" t="s">
        <v>21</v>
      </c>
      <c r="H3058" s="140" t="s">
        <v>421</v>
      </c>
      <c r="I3058" s="140" t="s">
        <v>21</v>
      </c>
      <c r="J3058" s="174"/>
    </row>
    <row r="3059" customHeight="1" spans="1:10">
      <c r="A3059" s="140" t="s">
        <v>541</v>
      </c>
      <c r="B3059" s="140" t="s">
        <v>424</v>
      </c>
      <c r="C3059" s="171">
        <v>45709</v>
      </c>
      <c r="D3059" s="172" t="s">
        <v>25</v>
      </c>
      <c r="E3059" s="140" t="s">
        <v>19</v>
      </c>
      <c r="F3059" s="140" t="s">
        <v>14</v>
      </c>
      <c r="G3059" s="176" t="s">
        <v>68</v>
      </c>
      <c r="H3059" s="140" t="s">
        <v>14</v>
      </c>
      <c r="I3059" s="176" t="s">
        <v>68</v>
      </c>
      <c r="J3059" s="174" t="s">
        <v>234</v>
      </c>
    </row>
    <row r="3060" hidden="1" customHeight="1" spans="1:10">
      <c r="A3060" s="140" t="s">
        <v>541</v>
      </c>
      <c r="B3060" s="140" t="s">
        <v>424</v>
      </c>
      <c r="C3060" s="171">
        <v>45710</v>
      </c>
      <c r="D3060" s="172" t="s">
        <v>27</v>
      </c>
      <c r="E3060" s="173" t="s">
        <v>13</v>
      </c>
      <c r="F3060" s="140" t="s">
        <v>14</v>
      </c>
      <c r="G3060" s="140" t="s">
        <v>14</v>
      </c>
      <c r="H3060" s="140" t="s">
        <v>14</v>
      </c>
      <c r="I3060" s="140" t="s">
        <v>14</v>
      </c>
      <c r="J3060" s="174"/>
    </row>
    <row r="3061" hidden="1" customHeight="1" spans="1:10">
      <c r="A3061" s="140" t="s">
        <v>541</v>
      </c>
      <c r="B3061" s="140" t="s">
        <v>424</v>
      </c>
      <c r="C3061" s="171">
        <v>45711</v>
      </c>
      <c r="D3061" s="172" t="s">
        <v>15</v>
      </c>
      <c r="E3061" s="173" t="s">
        <v>13</v>
      </c>
      <c r="F3061" s="140" t="s">
        <v>14</v>
      </c>
      <c r="G3061" s="140" t="s">
        <v>14</v>
      </c>
      <c r="H3061" s="140" t="s">
        <v>14</v>
      </c>
      <c r="I3061" s="140" t="s">
        <v>14</v>
      </c>
      <c r="J3061" s="174"/>
    </row>
    <row r="3062" hidden="1" customHeight="1" spans="1:10">
      <c r="A3062" s="140" t="s">
        <v>541</v>
      </c>
      <c r="B3062" s="140" t="s">
        <v>424</v>
      </c>
      <c r="C3062" s="171">
        <v>45712</v>
      </c>
      <c r="D3062" s="172" t="s">
        <v>16</v>
      </c>
      <c r="E3062" s="140" t="s">
        <v>19</v>
      </c>
      <c r="F3062" s="140" t="s">
        <v>20</v>
      </c>
      <c r="G3062" s="140" t="s">
        <v>21</v>
      </c>
      <c r="H3062" s="140" t="s">
        <v>78</v>
      </c>
      <c r="I3062" s="140" t="s">
        <v>21</v>
      </c>
      <c r="J3062" s="174"/>
    </row>
    <row r="3063" hidden="1" customHeight="1" spans="1:10">
      <c r="A3063" s="140" t="s">
        <v>541</v>
      </c>
      <c r="B3063" s="140" t="s">
        <v>424</v>
      </c>
      <c r="C3063" s="171">
        <v>45713</v>
      </c>
      <c r="D3063" s="172" t="s">
        <v>17</v>
      </c>
      <c r="E3063" s="140" t="s">
        <v>19</v>
      </c>
      <c r="F3063" s="140" t="s">
        <v>139</v>
      </c>
      <c r="G3063" s="140" t="s">
        <v>21</v>
      </c>
      <c r="H3063" s="140" t="s">
        <v>122</v>
      </c>
      <c r="I3063" s="140" t="s">
        <v>21</v>
      </c>
      <c r="J3063" s="174"/>
    </row>
    <row r="3064" hidden="1" customHeight="1" spans="1:10">
      <c r="A3064" s="140" t="s">
        <v>541</v>
      </c>
      <c r="B3064" s="140" t="s">
        <v>424</v>
      </c>
      <c r="C3064" s="171">
        <v>45714</v>
      </c>
      <c r="D3064" s="172" t="s">
        <v>18</v>
      </c>
      <c r="E3064" s="140" t="s">
        <v>19</v>
      </c>
      <c r="F3064" s="140" t="s">
        <v>139</v>
      </c>
      <c r="G3064" s="140" t="s">
        <v>21</v>
      </c>
      <c r="H3064" s="140" t="s">
        <v>122</v>
      </c>
      <c r="I3064" s="140" t="s">
        <v>21</v>
      </c>
      <c r="J3064" s="174"/>
    </row>
    <row r="3065" hidden="1" customHeight="1" spans="1:10">
      <c r="A3065" s="140" t="s">
        <v>541</v>
      </c>
      <c r="B3065" s="140" t="s">
        <v>424</v>
      </c>
      <c r="C3065" s="171">
        <v>45715</v>
      </c>
      <c r="D3065" s="172" t="s">
        <v>23</v>
      </c>
      <c r="E3065" s="140" t="s">
        <v>19</v>
      </c>
      <c r="F3065" s="140" t="s">
        <v>154</v>
      </c>
      <c r="G3065" s="140" t="s">
        <v>21</v>
      </c>
      <c r="H3065" s="140" t="s">
        <v>78</v>
      </c>
      <c r="I3065" s="140" t="s">
        <v>21</v>
      </c>
      <c r="J3065" s="174"/>
    </row>
    <row r="3066" hidden="1" customHeight="1" spans="1:10">
      <c r="A3066" s="140" t="s">
        <v>541</v>
      </c>
      <c r="B3066" s="140" t="s">
        <v>424</v>
      </c>
      <c r="C3066" s="171">
        <v>45716</v>
      </c>
      <c r="D3066" s="172" t="s">
        <v>25</v>
      </c>
      <c r="E3066" s="140" t="s">
        <v>19</v>
      </c>
      <c r="F3066" s="140" t="s">
        <v>193</v>
      </c>
      <c r="G3066" s="140" t="s">
        <v>21</v>
      </c>
      <c r="H3066" s="140" t="s">
        <v>260</v>
      </c>
      <c r="I3066" s="140" t="s">
        <v>21</v>
      </c>
      <c r="J3066" s="174"/>
    </row>
    <row r="3067" hidden="1" customHeight="1" spans="1:10">
      <c r="A3067" s="140" t="s">
        <v>542</v>
      </c>
      <c r="B3067" s="140" t="s">
        <v>424</v>
      </c>
      <c r="C3067" s="171">
        <v>45689</v>
      </c>
      <c r="D3067" s="172" t="s">
        <v>12</v>
      </c>
      <c r="E3067" s="173" t="s">
        <v>13</v>
      </c>
      <c r="F3067" s="140" t="s">
        <v>14</v>
      </c>
      <c r="G3067" s="140" t="s">
        <v>14</v>
      </c>
      <c r="H3067" s="140" t="s">
        <v>14</v>
      </c>
      <c r="I3067" s="140" t="s">
        <v>14</v>
      </c>
      <c r="J3067" s="174"/>
    </row>
    <row r="3068" hidden="1" customHeight="1" spans="1:10">
      <c r="A3068" s="140" t="s">
        <v>542</v>
      </c>
      <c r="B3068" s="140" t="s">
        <v>424</v>
      </c>
      <c r="C3068" s="171">
        <v>45690</v>
      </c>
      <c r="D3068" s="172" t="s">
        <v>15</v>
      </c>
      <c r="E3068" s="173" t="s">
        <v>13</v>
      </c>
      <c r="F3068" s="140" t="s">
        <v>14</v>
      </c>
      <c r="G3068" s="140" t="s">
        <v>14</v>
      </c>
      <c r="H3068" s="140" t="s">
        <v>14</v>
      </c>
      <c r="I3068" s="140" t="s">
        <v>14</v>
      </c>
      <c r="J3068" s="174"/>
    </row>
    <row r="3069" hidden="1" customHeight="1" spans="1:10">
      <c r="A3069" s="140" t="s">
        <v>542</v>
      </c>
      <c r="B3069" s="140" t="s">
        <v>424</v>
      </c>
      <c r="C3069" s="171">
        <v>45691</v>
      </c>
      <c r="D3069" s="172" t="s">
        <v>16</v>
      </c>
      <c r="E3069" s="173" t="s">
        <v>13</v>
      </c>
      <c r="F3069" s="140" t="s">
        <v>14</v>
      </c>
      <c r="G3069" s="140" t="s">
        <v>14</v>
      </c>
      <c r="H3069" s="140" t="s">
        <v>14</v>
      </c>
      <c r="I3069" s="140" t="s">
        <v>14</v>
      </c>
      <c r="J3069" s="174"/>
    </row>
    <row r="3070" hidden="1" customHeight="1" spans="1:10">
      <c r="A3070" s="140" t="s">
        <v>542</v>
      </c>
      <c r="B3070" s="140" t="s">
        <v>424</v>
      </c>
      <c r="C3070" s="171">
        <v>45692</v>
      </c>
      <c r="D3070" s="172" t="s">
        <v>17</v>
      </c>
      <c r="E3070" s="173" t="s">
        <v>13</v>
      </c>
      <c r="F3070" s="140" t="s">
        <v>14</v>
      </c>
      <c r="G3070" s="140" t="s">
        <v>14</v>
      </c>
      <c r="H3070" s="140" t="s">
        <v>14</v>
      </c>
      <c r="I3070" s="140" t="s">
        <v>14</v>
      </c>
      <c r="J3070" s="174"/>
    </row>
    <row r="3071" hidden="1" customHeight="1" spans="1:10">
      <c r="A3071" s="140" t="s">
        <v>542</v>
      </c>
      <c r="B3071" s="140" t="s">
        <v>424</v>
      </c>
      <c r="C3071" s="171">
        <v>45693</v>
      </c>
      <c r="D3071" s="172" t="s">
        <v>18</v>
      </c>
      <c r="E3071" s="140" t="s">
        <v>19</v>
      </c>
      <c r="F3071" s="140" t="s">
        <v>98</v>
      </c>
      <c r="G3071" s="140" t="s">
        <v>21</v>
      </c>
      <c r="H3071" s="140" t="s">
        <v>178</v>
      </c>
      <c r="I3071" s="140" t="s">
        <v>21</v>
      </c>
      <c r="J3071" s="174"/>
    </row>
    <row r="3072" hidden="1" customHeight="1" spans="1:10">
      <c r="A3072" s="140" t="s">
        <v>542</v>
      </c>
      <c r="B3072" s="140" t="s">
        <v>424</v>
      </c>
      <c r="C3072" s="171">
        <v>45694</v>
      </c>
      <c r="D3072" s="172" t="s">
        <v>23</v>
      </c>
      <c r="E3072" s="140" t="s">
        <v>19</v>
      </c>
      <c r="F3072" s="140" t="s">
        <v>177</v>
      </c>
      <c r="G3072" s="140" t="s">
        <v>21</v>
      </c>
      <c r="H3072" s="140" t="s">
        <v>78</v>
      </c>
      <c r="I3072" s="140" t="s">
        <v>21</v>
      </c>
      <c r="J3072" s="174"/>
    </row>
    <row r="3073" hidden="1" customHeight="1" spans="1:10">
      <c r="A3073" s="140" t="s">
        <v>542</v>
      </c>
      <c r="B3073" s="140" t="s">
        <v>424</v>
      </c>
      <c r="C3073" s="171">
        <v>45695</v>
      </c>
      <c r="D3073" s="172" t="s">
        <v>25</v>
      </c>
      <c r="E3073" s="140" t="s">
        <v>19</v>
      </c>
      <c r="F3073" s="140" t="s">
        <v>133</v>
      </c>
      <c r="G3073" s="140" t="s">
        <v>21</v>
      </c>
      <c r="H3073" s="140" t="s">
        <v>245</v>
      </c>
      <c r="I3073" s="140" t="s">
        <v>21</v>
      </c>
      <c r="J3073" s="174"/>
    </row>
    <row r="3074" hidden="1" customHeight="1" spans="1:10">
      <c r="A3074" s="140" t="s">
        <v>542</v>
      </c>
      <c r="B3074" s="140" t="s">
        <v>424</v>
      </c>
      <c r="C3074" s="171">
        <v>45696</v>
      </c>
      <c r="D3074" s="172" t="s">
        <v>27</v>
      </c>
      <c r="E3074" s="140" t="s">
        <v>19</v>
      </c>
      <c r="F3074" s="140" t="s">
        <v>107</v>
      </c>
      <c r="G3074" s="140" t="s">
        <v>21</v>
      </c>
      <c r="H3074" s="140" t="s">
        <v>42</v>
      </c>
      <c r="I3074" s="140" t="s">
        <v>21</v>
      </c>
      <c r="J3074" s="174"/>
    </row>
    <row r="3075" hidden="1" customHeight="1" spans="1:10">
      <c r="A3075" s="140" t="s">
        <v>542</v>
      </c>
      <c r="B3075" s="140" t="s">
        <v>424</v>
      </c>
      <c r="C3075" s="171">
        <v>45697</v>
      </c>
      <c r="D3075" s="172" t="s">
        <v>15</v>
      </c>
      <c r="E3075" s="173" t="s">
        <v>13</v>
      </c>
      <c r="F3075" s="140" t="s">
        <v>14</v>
      </c>
      <c r="G3075" s="140" t="s">
        <v>14</v>
      </c>
      <c r="H3075" s="140" t="s">
        <v>14</v>
      </c>
      <c r="I3075" s="140" t="s">
        <v>14</v>
      </c>
      <c r="J3075" s="174"/>
    </row>
    <row r="3076" hidden="1" customHeight="1" spans="1:10">
      <c r="A3076" s="140" t="s">
        <v>542</v>
      </c>
      <c r="B3076" s="140" t="s">
        <v>424</v>
      </c>
      <c r="C3076" s="171">
        <v>45698</v>
      </c>
      <c r="D3076" s="172" t="s">
        <v>16</v>
      </c>
      <c r="E3076" s="140" t="s">
        <v>19</v>
      </c>
      <c r="F3076" s="140" t="s">
        <v>379</v>
      </c>
      <c r="G3076" s="140" t="s">
        <v>21</v>
      </c>
      <c r="H3076" s="140" t="s">
        <v>73</v>
      </c>
      <c r="I3076" s="140" t="s">
        <v>21</v>
      </c>
      <c r="J3076" s="174"/>
    </row>
    <row r="3077" hidden="1" customHeight="1" spans="1:10">
      <c r="A3077" s="140" t="s">
        <v>542</v>
      </c>
      <c r="B3077" s="140" t="s">
        <v>424</v>
      </c>
      <c r="C3077" s="171">
        <v>45699</v>
      </c>
      <c r="D3077" s="172" t="s">
        <v>17</v>
      </c>
      <c r="E3077" s="140" t="s">
        <v>19</v>
      </c>
      <c r="F3077" s="140" t="s">
        <v>379</v>
      </c>
      <c r="G3077" s="140" t="s">
        <v>21</v>
      </c>
      <c r="H3077" s="140" t="s">
        <v>184</v>
      </c>
      <c r="I3077" s="140" t="s">
        <v>21</v>
      </c>
      <c r="J3077" s="174"/>
    </row>
    <row r="3078" hidden="1" customHeight="1" spans="1:10">
      <c r="A3078" s="140" t="s">
        <v>542</v>
      </c>
      <c r="B3078" s="140" t="s">
        <v>424</v>
      </c>
      <c r="C3078" s="171">
        <v>45700</v>
      </c>
      <c r="D3078" s="172" t="s">
        <v>18</v>
      </c>
      <c r="E3078" s="140" t="s">
        <v>19</v>
      </c>
      <c r="F3078" s="140" t="s">
        <v>129</v>
      </c>
      <c r="G3078" s="140" t="s">
        <v>21</v>
      </c>
      <c r="H3078" s="140" t="s">
        <v>159</v>
      </c>
      <c r="I3078" s="140" t="s">
        <v>21</v>
      </c>
      <c r="J3078" s="174"/>
    </row>
    <row r="3079" hidden="1" customHeight="1" spans="1:10">
      <c r="A3079" s="140" t="s">
        <v>542</v>
      </c>
      <c r="B3079" s="140" t="s">
        <v>424</v>
      </c>
      <c r="C3079" s="171">
        <v>45701</v>
      </c>
      <c r="D3079" s="172" t="s">
        <v>23</v>
      </c>
      <c r="E3079" s="140" t="s">
        <v>19</v>
      </c>
      <c r="F3079" s="140" t="s">
        <v>131</v>
      </c>
      <c r="G3079" s="140" t="s">
        <v>21</v>
      </c>
      <c r="H3079" s="140" t="s">
        <v>41</v>
      </c>
      <c r="I3079" s="140" t="s">
        <v>21</v>
      </c>
      <c r="J3079" s="174"/>
    </row>
    <row r="3080" hidden="1" customHeight="1" spans="1:10">
      <c r="A3080" s="140" t="s">
        <v>542</v>
      </c>
      <c r="B3080" s="140" t="s">
        <v>424</v>
      </c>
      <c r="C3080" s="171">
        <v>45702</v>
      </c>
      <c r="D3080" s="172" t="s">
        <v>25</v>
      </c>
      <c r="E3080" s="140" t="s">
        <v>19</v>
      </c>
      <c r="F3080" s="140" t="s">
        <v>107</v>
      </c>
      <c r="G3080" s="140" t="s">
        <v>21</v>
      </c>
      <c r="H3080" s="140" t="s">
        <v>235</v>
      </c>
      <c r="I3080" s="140" t="s">
        <v>21</v>
      </c>
      <c r="J3080" s="174"/>
    </row>
    <row r="3081" hidden="1" customHeight="1" spans="1:10">
      <c r="A3081" s="140" t="s">
        <v>542</v>
      </c>
      <c r="B3081" s="140" t="s">
        <v>424</v>
      </c>
      <c r="C3081" s="171">
        <v>45703</v>
      </c>
      <c r="D3081" s="172" t="s">
        <v>27</v>
      </c>
      <c r="E3081" s="173" t="s">
        <v>13</v>
      </c>
      <c r="F3081" s="140" t="s">
        <v>14</v>
      </c>
      <c r="G3081" s="140" t="s">
        <v>14</v>
      </c>
      <c r="H3081" s="140" t="s">
        <v>14</v>
      </c>
      <c r="I3081" s="140" t="s">
        <v>14</v>
      </c>
      <c r="J3081" s="174"/>
    </row>
    <row r="3082" hidden="1" customHeight="1" spans="1:10">
      <c r="A3082" s="140" t="s">
        <v>542</v>
      </c>
      <c r="B3082" s="140" t="s">
        <v>424</v>
      </c>
      <c r="C3082" s="171">
        <v>45704</v>
      </c>
      <c r="D3082" s="172" t="s">
        <v>15</v>
      </c>
      <c r="E3082" s="173" t="s">
        <v>13</v>
      </c>
      <c r="F3082" s="140" t="s">
        <v>14</v>
      </c>
      <c r="G3082" s="140" t="s">
        <v>14</v>
      </c>
      <c r="H3082" s="140" t="s">
        <v>14</v>
      </c>
      <c r="I3082" s="140" t="s">
        <v>14</v>
      </c>
      <c r="J3082" s="174"/>
    </row>
    <row r="3083" customHeight="1" spans="1:10">
      <c r="A3083" s="140" t="s">
        <v>542</v>
      </c>
      <c r="B3083" s="140" t="s">
        <v>424</v>
      </c>
      <c r="C3083" s="171">
        <v>45705</v>
      </c>
      <c r="D3083" s="172" t="s">
        <v>16</v>
      </c>
      <c r="E3083" s="140" t="s">
        <v>19</v>
      </c>
      <c r="F3083" s="140" t="s">
        <v>14</v>
      </c>
      <c r="G3083" s="176" t="s">
        <v>68</v>
      </c>
      <c r="H3083" s="140" t="s">
        <v>116</v>
      </c>
      <c r="I3083" s="140" t="s">
        <v>21</v>
      </c>
      <c r="J3083" s="174" t="s">
        <v>136</v>
      </c>
    </row>
    <row r="3084" hidden="1" customHeight="1" spans="1:10">
      <c r="A3084" s="140" t="s">
        <v>542</v>
      </c>
      <c r="B3084" s="140" t="s">
        <v>424</v>
      </c>
      <c r="C3084" s="171">
        <v>45706</v>
      </c>
      <c r="D3084" s="172" t="s">
        <v>17</v>
      </c>
      <c r="E3084" s="140" t="s">
        <v>19</v>
      </c>
      <c r="F3084" s="140" t="s">
        <v>49</v>
      </c>
      <c r="G3084" s="140" t="s">
        <v>21</v>
      </c>
      <c r="H3084" s="140" t="s">
        <v>52</v>
      </c>
      <c r="I3084" s="140" t="s">
        <v>21</v>
      </c>
      <c r="J3084" s="174"/>
    </row>
    <row r="3085" hidden="1" customHeight="1" spans="1:10">
      <c r="A3085" s="140" t="s">
        <v>542</v>
      </c>
      <c r="B3085" s="140" t="s">
        <v>424</v>
      </c>
      <c r="C3085" s="171">
        <v>45707</v>
      </c>
      <c r="D3085" s="172" t="s">
        <v>18</v>
      </c>
      <c r="E3085" s="140" t="s">
        <v>19</v>
      </c>
      <c r="F3085" s="140" t="s">
        <v>135</v>
      </c>
      <c r="G3085" s="140" t="s">
        <v>21</v>
      </c>
      <c r="H3085" s="140" t="s">
        <v>89</v>
      </c>
      <c r="I3085" s="140" t="s">
        <v>21</v>
      </c>
      <c r="J3085" s="174"/>
    </row>
    <row r="3086" hidden="1" customHeight="1" spans="1:10">
      <c r="A3086" s="140" t="s">
        <v>542</v>
      </c>
      <c r="B3086" s="140" t="s">
        <v>424</v>
      </c>
      <c r="C3086" s="171">
        <v>45708</v>
      </c>
      <c r="D3086" s="172" t="s">
        <v>23</v>
      </c>
      <c r="E3086" s="140" t="s">
        <v>19</v>
      </c>
      <c r="F3086" s="140" t="s">
        <v>137</v>
      </c>
      <c r="G3086" s="140" t="s">
        <v>21</v>
      </c>
      <c r="H3086" s="140" t="s">
        <v>123</v>
      </c>
      <c r="I3086" s="140" t="s">
        <v>21</v>
      </c>
      <c r="J3086" s="174"/>
    </row>
    <row r="3087" hidden="1" customHeight="1" spans="1:10">
      <c r="A3087" s="140" t="s">
        <v>542</v>
      </c>
      <c r="B3087" s="140" t="s">
        <v>424</v>
      </c>
      <c r="C3087" s="171">
        <v>45709</v>
      </c>
      <c r="D3087" s="172" t="s">
        <v>25</v>
      </c>
      <c r="E3087" s="140" t="s">
        <v>19</v>
      </c>
      <c r="F3087" s="140" t="s">
        <v>143</v>
      </c>
      <c r="G3087" s="140" t="s">
        <v>21</v>
      </c>
      <c r="H3087" s="140" t="s">
        <v>207</v>
      </c>
      <c r="I3087" s="140" t="s">
        <v>21</v>
      </c>
      <c r="J3087" s="174"/>
    </row>
    <row r="3088" hidden="1" customHeight="1" spans="1:10">
      <c r="A3088" s="140" t="s">
        <v>542</v>
      </c>
      <c r="B3088" s="140" t="s">
        <v>424</v>
      </c>
      <c r="C3088" s="171">
        <v>45710</v>
      </c>
      <c r="D3088" s="172" t="s">
        <v>27</v>
      </c>
      <c r="E3088" s="173" t="s">
        <v>13</v>
      </c>
      <c r="F3088" s="140" t="s">
        <v>14</v>
      </c>
      <c r="G3088" s="140" t="s">
        <v>14</v>
      </c>
      <c r="H3088" s="140" t="s">
        <v>14</v>
      </c>
      <c r="I3088" s="140" t="s">
        <v>14</v>
      </c>
      <c r="J3088" s="174"/>
    </row>
    <row r="3089" hidden="1" customHeight="1" spans="1:10">
      <c r="A3089" s="140" t="s">
        <v>542</v>
      </c>
      <c r="B3089" s="140" t="s">
        <v>424</v>
      </c>
      <c r="C3089" s="171">
        <v>45711</v>
      </c>
      <c r="D3089" s="172" t="s">
        <v>15</v>
      </c>
      <c r="E3089" s="173" t="s">
        <v>13</v>
      </c>
      <c r="F3089" s="140" t="s">
        <v>14</v>
      </c>
      <c r="G3089" s="140" t="s">
        <v>14</v>
      </c>
      <c r="H3089" s="140" t="s">
        <v>14</v>
      </c>
      <c r="I3089" s="140" t="s">
        <v>14</v>
      </c>
      <c r="J3089" s="174"/>
    </row>
    <row r="3090" hidden="1" customHeight="1" spans="1:10">
      <c r="A3090" s="140" t="s">
        <v>542</v>
      </c>
      <c r="B3090" s="140" t="s">
        <v>424</v>
      </c>
      <c r="C3090" s="171">
        <v>45712</v>
      </c>
      <c r="D3090" s="172" t="s">
        <v>16</v>
      </c>
      <c r="E3090" s="140" t="s">
        <v>19</v>
      </c>
      <c r="F3090" s="140" t="s">
        <v>49</v>
      </c>
      <c r="G3090" s="140" t="s">
        <v>21</v>
      </c>
      <c r="H3090" s="140" t="s">
        <v>78</v>
      </c>
      <c r="I3090" s="140" t="s">
        <v>21</v>
      </c>
      <c r="J3090" s="174"/>
    </row>
    <row r="3091" hidden="1" customHeight="1" spans="1:10">
      <c r="A3091" s="140" t="s">
        <v>542</v>
      </c>
      <c r="B3091" s="140" t="s">
        <v>424</v>
      </c>
      <c r="C3091" s="171">
        <v>45713</v>
      </c>
      <c r="D3091" s="172" t="s">
        <v>17</v>
      </c>
      <c r="E3091" s="140" t="s">
        <v>19</v>
      </c>
      <c r="F3091" s="140" t="s">
        <v>49</v>
      </c>
      <c r="G3091" s="140" t="s">
        <v>21</v>
      </c>
      <c r="H3091" s="140" t="s">
        <v>122</v>
      </c>
      <c r="I3091" s="140" t="s">
        <v>21</v>
      </c>
      <c r="J3091" s="174"/>
    </row>
    <row r="3092" hidden="1" customHeight="1" spans="1:10">
      <c r="A3092" s="140" t="s">
        <v>542</v>
      </c>
      <c r="B3092" s="140" t="s">
        <v>424</v>
      </c>
      <c r="C3092" s="171">
        <v>45714</v>
      </c>
      <c r="D3092" s="172" t="s">
        <v>18</v>
      </c>
      <c r="E3092" s="140" t="s">
        <v>19</v>
      </c>
      <c r="F3092" s="140" t="s">
        <v>107</v>
      </c>
      <c r="G3092" s="140" t="s">
        <v>21</v>
      </c>
      <c r="H3092" s="140" t="s">
        <v>215</v>
      </c>
      <c r="I3092" s="140" t="s">
        <v>21</v>
      </c>
      <c r="J3092" s="174"/>
    </row>
    <row r="3093" hidden="1" customHeight="1" spans="1:10">
      <c r="A3093" s="140" t="s">
        <v>542</v>
      </c>
      <c r="B3093" s="140" t="s">
        <v>424</v>
      </c>
      <c r="C3093" s="171">
        <v>45715</v>
      </c>
      <c r="D3093" s="172" t="s">
        <v>23</v>
      </c>
      <c r="E3093" s="140" t="s">
        <v>19</v>
      </c>
      <c r="F3093" s="140" t="s">
        <v>177</v>
      </c>
      <c r="G3093" s="140" t="s">
        <v>21</v>
      </c>
      <c r="H3093" s="140" t="s">
        <v>382</v>
      </c>
      <c r="I3093" s="140" t="s">
        <v>21</v>
      </c>
      <c r="J3093" s="174"/>
    </row>
    <row r="3094" hidden="1" customHeight="1" spans="1:10">
      <c r="A3094" s="140" t="s">
        <v>542</v>
      </c>
      <c r="B3094" s="140" t="s">
        <v>424</v>
      </c>
      <c r="C3094" s="171">
        <v>45716</v>
      </c>
      <c r="D3094" s="172" t="s">
        <v>25</v>
      </c>
      <c r="E3094" s="140" t="s">
        <v>19</v>
      </c>
      <c r="F3094" s="140" t="s">
        <v>129</v>
      </c>
      <c r="G3094" s="140" t="s">
        <v>21</v>
      </c>
      <c r="H3094" s="140" t="s">
        <v>65</v>
      </c>
      <c r="I3094" s="140" t="s">
        <v>21</v>
      </c>
      <c r="J3094" s="174"/>
    </row>
    <row r="3095" hidden="1" customHeight="1" spans="1:10">
      <c r="A3095" s="140" t="s">
        <v>543</v>
      </c>
      <c r="B3095" s="140" t="s">
        <v>318</v>
      </c>
      <c r="C3095" s="171">
        <v>45689</v>
      </c>
      <c r="D3095" s="172" t="s">
        <v>12</v>
      </c>
      <c r="E3095" s="173" t="s">
        <v>13</v>
      </c>
      <c r="F3095" s="140" t="s">
        <v>14</v>
      </c>
      <c r="G3095" s="140" t="s">
        <v>14</v>
      </c>
      <c r="H3095" s="140" t="s">
        <v>14</v>
      </c>
      <c r="I3095" s="140" t="s">
        <v>14</v>
      </c>
      <c r="J3095" s="174"/>
    </row>
    <row r="3096" hidden="1" customHeight="1" spans="1:10">
      <c r="A3096" s="140" t="s">
        <v>543</v>
      </c>
      <c r="B3096" s="140" t="s">
        <v>318</v>
      </c>
      <c r="C3096" s="171">
        <v>45690</v>
      </c>
      <c r="D3096" s="172" t="s">
        <v>15</v>
      </c>
      <c r="E3096" s="173" t="s">
        <v>13</v>
      </c>
      <c r="F3096" s="140" t="s">
        <v>14</v>
      </c>
      <c r="G3096" s="140" t="s">
        <v>14</v>
      </c>
      <c r="H3096" s="140" t="s">
        <v>14</v>
      </c>
      <c r="I3096" s="140" t="s">
        <v>14</v>
      </c>
      <c r="J3096" s="174"/>
    </row>
    <row r="3097" hidden="1" customHeight="1" spans="1:10">
      <c r="A3097" s="140" t="s">
        <v>543</v>
      </c>
      <c r="B3097" s="140" t="s">
        <v>318</v>
      </c>
      <c r="C3097" s="171">
        <v>45691</v>
      </c>
      <c r="D3097" s="172" t="s">
        <v>16</v>
      </c>
      <c r="E3097" s="173" t="s">
        <v>13</v>
      </c>
      <c r="F3097" s="140" t="s">
        <v>14</v>
      </c>
      <c r="G3097" s="140" t="s">
        <v>14</v>
      </c>
      <c r="H3097" s="140" t="s">
        <v>14</v>
      </c>
      <c r="I3097" s="140" t="s">
        <v>14</v>
      </c>
      <c r="J3097" s="174"/>
    </row>
    <row r="3098" hidden="1" customHeight="1" spans="1:10">
      <c r="A3098" s="140" t="s">
        <v>543</v>
      </c>
      <c r="B3098" s="140" t="s">
        <v>318</v>
      </c>
      <c r="C3098" s="171">
        <v>45692</v>
      </c>
      <c r="D3098" s="172" t="s">
        <v>17</v>
      </c>
      <c r="E3098" s="173" t="s">
        <v>13</v>
      </c>
      <c r="F3098" s="140" t="s">
        <v>14</v>
      </c>
      <c r="G3098" s="140" t="s">
        <v>14</v>
      </c>
      <c r="H3098" s="140" t="s">
        <v>14</v>
      </c>
      <c r="I3098" s="140" t="s">
        <v>14</v>
      </c>
      <c r="J3098" s="174"/>
    </row>
    <row r="3099" hidden="1" customHeight="1" spans="1:10">
      <c r="A3099" s="140" t="s">
        <v>543</v>
      </c>
      <c r="B3099" s="140" t="s">
        <v>318</v>
      </c>
      <c r="C3099" s="171">
        <v>45693</v>
      </c>
      <c r="D3099" s="172" t="s">
        <v>18</v>
      </c>
      <c r="E3099" s="140" t="s">
        <v>19</v>
      </c>
      <c r="F3099" s="140" t="s">
        <v>193</v>
      </c>
      <c r="G3099" s="140" t="s">
        <v>21</v>
      </c>
      <c r="H3099" s="140" t="s">
        <v>265</v>
      </c>
      <c r="I3099" s="140" t="s">
        <v>21</v>
      </c>
      <c r="J3099" s="174"/>
    </row>
    <row r="3100" hidden="1" customHeight="1" spans="1:10">
      <c r="A3100" s="140" t="s">
        <v>543</v>
      </c>
      <c r="B3100" s="140" t="s">
        <v>318</v>
      </c>
      <c r="C3100" s="171">
        <v>45694</v>
      </c>
      <c r="D3100" s="172" t="s">
        <v>23</v>
      </c>
      <c r="E3100" s="140" t="s">
        <v>19</v>
      </c>
      <c r="F3100" s="140" t="s">
        <v>108</v>
      </c>
      <c r="G3100" s="140" t="s">
        <v>21</v>
      </c>
      <c r="H3100" s="140" t="s">
        <v>41</v>
      </c>
      <c r="I3100" s="140" t="s">
        <v>21</v>
      </c>
      <c r="J3100" s="174"/>
    </row>
    <row r="3101" hidden="1" customHeight="1" spans="1:10">
      <c r="A3101" s="140" t="s">
        <v>543</v>
      </c>
      <c r="B3101" s="140" t="s">
        <v>318</v>
      </c>
      <c r="C3101" s="171">
        <v>45695</v>
      </c>
      <c r="D3101" s="172" t="s">
        <v>25</v>
      </c>
      <c r="E3101" s="140" t="s">
        <v>19</v>
      </c>
      <c r="F3101" s="140" t="s">
        <v>195</v>
      </c>
      <c r="G3101" s="140" t="s">
        <v>21</v>
      </c>
      <c r="H3101" s="140" t="s">
        <v>158</v>
      </c>
      <c r="I3101" s="140" t="s">
        <v>21</v>
      </c>
      <c r="J3101" s="174"/>
    </row>
    <row r="3102" hidden="1" customHeight="1" spans="1:10">
      <c r="A3102" s="140" t="s">
        <v>543</v>
      </c>
      <c r="B3102" s="140" t="s">
        <v>318</v>
      </c>
      <c r="C3102" s="171">
        <v>45696</v>
      </c>
      <c r="D3102" s="172" t="s">
        <v>27</v>
      </c>
      <c r="E3102" s="140" t="s">
        <v>19</v>
      </c>
      <c r="F3102" s="140" t="s">
        <v>173</v>
      </c>
      <c r="G3102" s="140" t="s">
        <v>21</v>
      </c>
      <c r="H3102" s="140" t="s">
        <v>175</v>
      </c>
      <c r="I3102" s="140" t="s">
        <v>21</v>
      </c>
      <c r="J3102" s="174"/>
    </row>
    <row r="3103" hidden="1" customHeight="1" spans="1:10">
      <c r="A3103" s="140" t="s">
        <v>543</v>
      </c>
      <c r="B3103" s="140" t="s">
        <v>318</v>
      </c>
      <c r="C3103" s="171">
        <v>45697</v>
      </c>
      <c r="D3103" s="172" t="s">
        <v>15</v>
      </c>
      <c r="E3103" s="173" t="s">
        <v>13</v>
      </c>
      <c r="F3103" s="140" t="s">
        <v>14</v>
      </c>
      <c r="G3103" s="140" t="s">
        <v>14</v>
      </c>
      <c r="H3103" s="140" t="s">
        <v>14</v>
      </c>
      <c r="I3103" s="140" t="s">
        <v>14</v>
      </c>
      <c r="J3103" s="174"/>
    </row>
    <row r="3104" hidden="1" customHeight="1" spans="1:10">
      <c r="A3104" s="140" t="s">
        <v>543</v>
      </c>
      <c r="B3104" s="140" t="s">
        <v>318</v>
      </c>
      <c r="C3104" s="171">
        <v>45698</v>
      </c>
      <c r="D3104" s="172" t="s">
        <v>16</v>
      </c>
      <c r="E3104" s="140" t="s">
        <v>19</v>
      </c>
      <c r="F3104" s="140" t="s">
        <v>40</v>
      </c>
      <c r="G3104" s="140" t="s">
        <v>21</v>
      </c>
      <c r="H3104" s="140" t="s">
        <v>153</v>
      </c>
      <c r="I3104" s="140" t="s">
        <v>21</v>
      </c>
      <c r="J3104" s="174"/>
    </row>
    <row r="3105" hidden="1" customHeight="1" spans="1:10">
      <c r="A3105" s="140" t="s">
        <v>543</v>
      </c>
      <c r="B3105" s="140" t="s">
        <v>318</v>
      </c>
      <c r="C3105" s="171">
        <v>45699</v>
      </c>
      <c r="D3105" s="172" t="s">
        <v>17</v>
      </c>
      <c r="E3105" s="140" t="s">
        <v>19</v>
      </c>
      <c r="F3105" s="140" t="s">
        <v>49</v>
      </c>
      <c r="G3105" s="140" t="s">
        <v>21</v>
      </c>
      <c r="H3105" s="140" t="s">
        <v>175</v>
      </c>
      <c r="I3105" s="140" t="s">
        <v>21</v>
      </c>
      <c r="J3105" s="174"/>
    </row>
    <row r="3106" hidden="1" customHeight="1" spans="1:10">
      <c r="A3106" s="140" t="s">
        <v>543</v>
      </c>
      <c r="B3106" s="140" t="s">
        <v>318</v>
      </c>
      <c r="C3106" s="171">
        <v>45700</v>
      </c>
      <c r="D3106" s="172" t="s">
        <v>18</v>
      </c>
      <c r="E3106" s="140" t="s">
        <v>19</v>
      </c>
      <c r="F3106" s="140" t="s">
        <v>20</v>
      </c>
      <c r="G3106" s="140" t="s">
        <v>21</v>
      </c>
      <c r="H3106" s="140" t="s">
        <v>385</v>
      </c>
      <c r="I3106" s="140" t="s">
        <v>21</v>
      </c>
      <c r="J3106" s="174"/>
    </row>
    <row r="3107" hidden="1" customHeight="1" spans="1:10">
      <c r="A3107" s="140" t="s">
        <v>543</v>
      </c>
      <c r="B3107" s="140" t="s">
        <v>318</v>
      </c>
      <c r="C3107" s="171">
        <v>45701</v>
      </c>
      <c r="D3107" s="172" t="s">
        <v>23</v>
      </c>
      <c r="E3107" s="140" t="s">
        <v>19</v>
      </c>
      <c r="F3107" s="140" t="s">
        <v>188</v>
      </c>
      <c r="G3107" s="140" t="s">
        <v>21</v>
      </c>
      <c r="H3107" s="140" t="s">
        <v>54</v>
      </c>
      <c r="I3107" s="140" t="s">
        <v>21</v>
      </c>
      <c r="J3107" s="174"/>
    </row>
    <row r="3108" hidden="1" customHeight="1" spans="1:10">
      <c r="A3108" s="140" t="s">
        <v>543</v>
      </c>
      <c r="B3108" s="140" t="s">
        <v>318</v>
      </c>
      <c r="C3108" s="171">
        <v>45702</v>
      </c>
      <c r="D3108" s="172" t="s">
        <v>25</v>
      </c>
      <c r="E3108" s="140" t="s">
        <v>19</v>
      </c>
      <c r="F3108" s="140" t="s">
        <v>146</v>
      </c>
      <c r="G3108" s="140" t="s">
        <v>21</v>
      </c>
      <c r="H3108" s="140" t="s">
        <v>172</v>
      </c>
      <c r="I3108" s="140" t="s">
        <v>21</v>
      </c>
      <c r="J3108" s="174"/>
    </row>
    <row r="3109" hidden="1" customHeight="1" spans="1:10">
      <c r="A3109" s="140" t="s">
        <v>543</v>
      </c>
      <c r="B3109" s="140" t="s">
        <v>318</v>
      </c>
      <c r="C3109" s="171">
        <v>45703</v>
      </c>
      <c r="D3109" s="172" t="s">
        <v>27</v>
      </c>
      <c r="E3109" s="173" t="s">
        <v>13</v>
      </c>
      <c r="F3109" s="140" t="s">
        <v>14</v>
      </c>
      <c r="G3109" s="140" t="s">
        <v>14</v>
      </c>
      <c r="H3109" s="140" t="s">
        <v>14</v>
      </c>
      <c r="I3109" s="140" t="s">
        <v>14</v>
      </c>
      <c r="J3109" s="174"/>
    </row>
    <row r="3110" hidden="1" customHeight="1" spans="1:10">
      <c r="A3110" s="140" t="s">
        <v>543</v>
      </c>
      <c r="B3110" s="140" t="s">
        <v>318</v>
      </c>
      <c r="C3110" s="171">
        <v>45704</v>
      </c>
      <c r="D3110" s="172" t="s">
        <v>15</v>
      </c>
      <c r="E3110" s="173" t="s">
        <v>13</v>
      </c>
      <c r="F3110" s="140" t="s">
        <v>14</v>
      </c>
      <c r="G3110" s="140" t="s">
        <v>14</v>
      </c>
      <c r="H3110" s="140" t="s">
        <v>14</v>
      </c>
      <c r="I3110" s="140" t="s">
        <v>14</v>
      </c>
      <c r="J3110" s="174"/>
    </row>
    <row r="3111" customHeight="1" spans="1:10">
      <c r="A3111" s="140" t="s">
        <v>543</v>
      </c>
      <c r="B3111" s="140" t="s">
        <v>318</v>
      </c>
      <c r="C3111" s="171">
        <v>45705</v>
      </c>
      <c r="D3111" s="172" t="s">
        <v>16</v>
      </c>
      <c r="E3111" s="140" t="s">
        <v>19</v>
      </c>
      <c r="F3111" s="140" t="s">
        <v>14</v>
      </c>
      <c r="G3111" s="176" t="s">
        <v>68</v>
      </c>
      <c r="H3111" s="140" t="s">
        <v>14</v>
      </c>
      <c r="I3111" s="176" t="s">
        <v>68</v>
      </c>
      <c r="J3111" s="174" t="s">
        <v>93</v>
      </c>
    </row>
    <row r="3112" customHeight="1" spans="1:10">
      <c r="A3112" s="140" t="s">
        <v>543</v>
      </c>
      <c r="B3112" s="140" t="s">
        <v>318</v>
      </c>
      <c r="C3112" s="171">
        <v>45706</v>
      </c>
      <c r="D3112" s="172" t="s">
        <v>17</v>
      </c>
      <c r="E3112" s="140" t="s">
        <v>19</v>
      </c>
      <c r="F3112" s="140" t="s">
        <v>14</v>
      </c>
      <c r="G3112" s="176" t="s">
        <v>68</v>
      </c>
      <c r="H3112" s="140" t="s">
        <v>14</v>
      </c>
      <c r="I3112" s="176" t="s">
        <v>68</v>
      </c>
      <c r="J3112" s="174" t="s">
        <v>93</v>
      </c>
    </row>
    <row r="3113" customHeight="1" spans="1:10">
      <c r="A3113" s="140" t="s">
        <v>543</v>
      </c>
      <c r="B3113" s="140" t="s">
        <v>318</v>
      </c>
      <c r="C3113" s="171">
        <v>45707</v>
      </c>
      <c r="D3113" s="172" t="s">
        <v>18</v>
      </c>
      <c r="E3113" s="140" t="s">
        <v>19</v>
      </c>
      <c r="F3113" s="140" t="s">
        <v>14</v>
      </c>
      <c r="G3113" s="176" t="s">
        <v>68</v>
      </c>
      <c r="H3113" s="140" t="s">
        <v>14</v>
      </c>
      <c r="I3113" s="176" t="s">
        <v>68</v>
      </c>
      <c r="J3113" s="174" t="s">
        <v>93</v>
      </c>
    </row>
    <row r="3114" customHeight="1" spans="1:10">
      <c r="A3114" s="140" t="s">
        <v>543</v>
      </c>
      <c r="B3114" s="140" t="s">
        <v>318</v>
      </c>
      <c r="C3114" s="171">
        <v>45708</v>
      </c>
      <c r="D3114" s="172" t="s">
        <v>23</v>
      </c>
      <c r="E3114" s="140" t="s">
        <v>19</v>
      </c>
      <c r="F3114" s="140" t="s">
        <v>14</v>
      </c>
      <c r="G3114" s="176" t="s">
        <v>68</v>
      </c>
      <c r="H3114" s="140" t="s">
        <v>14</v>
      </c>
      <c r="I3114" s="176" t="s">
        <v>68</v>
      </c>
      <c r="J3114" s="174" t="s">
        <v>93</v>
      </c>
    </row>
    <row r="3115" customHeight="1" spans="1:10">
      <c r="A3115" s="140" t="s">
        <v>543</v>
      </c>
      <c r="B3115" s="140" t="s">
        <v>318</v>
      </c>
      <c r="C3115" s="171">
        <v>45709</v>
      </c>
      <c r="D3115" s="172" t="s">
        <v>25</v>
      </c>
      <c r="E3115" s="140" t="s">
        <v>19</v>
      </c>
      <c r="F3115" s="140" t="s">
        <v>14</v>
      </c>
      <c r="G3115" s="176" t="s">
        <v>68</v>
      </c>
      <c r="H3115" s="140" t="s">
        <v>14</v>
      </c>
      <c r="I3115" s="176" t="s">
        <v>68</v>
      </c>
      <c r="J3115" s="174" t="s">
        <v>93</v>
      </c>
    </row>
    <row r="3116" hidden="1" customHeight="1" spans="1:10">
      <c r="A3116" s="140" t="s">
        <v>543</v>
      </c>
      <c r="B3116" s="140" t="s">
        <v>318</v>
      </c>
      <c r="C3116" s="171">
        <v>45710</v>
      </c>
      <c r="D3116" s="172" t="s">
        <v>27</v>
      </c>
      <c r="E3116" s="173" t="s">
        <v>13</v>
      </c>
      <c r="F3116" s="140" t="s">
        <v>14</v>
      </c>
      <c r="G3116" s="140" t="s">
        <v>14</v>
      </c>
      <c r="H3116" s="140" t="s">
        <v>14</v>
      </c>
      <c r="I3116" s="140" t="s">
        <v>14</v>
      </c>
      <c r="J3116" s="174"/>
    </row>
    <row r="3117" hidden="1" customHeight="1" spans="1:10">
      <c r="A3117" s="140" t="s">
        <v>543</v>
      </c>
      <c r="B3117" s="140" t="s">
        <v>318</v>
      </c>
      <c r="C3117" s="171">
        <v>45711</v>
      </c>
      <c r="D3117" s="172" t="s">
        <v>15</v>
      </c>
      <c r="E3117" s="173" t="s">
        <v>13</v>
      </c>
      <c r="F3117" s="140" t="s">
        <v>14</v>
      </c>
      <c r="G3117" s="140" t="s">
        <v>14</v>
      </c>
      <c r="H3117" s="140" t="s">
        <v>14</v>
      </c>
      <c r="I3117" s="140" t="s">
        <v>14</v>
      </c>
      <c r="J3117" s="174"/>
    </row>
    <row r="3118" hidden="1" customHeight="1" spans="1:10">
      <c r="A3118" s="140" t="s">
        <v>543</v>
      </c>
      <c r="B3118" s="140" t="s">
        <v>318</v>
      </c>
      <c r="C3118" s="171">
        <v>45712</v>
      </c>
      <c r="D3118" s="172" t="s">
        <v>16</v>
      </c>
      <c r="E3118" s="140" t="s">
        <v>19</v>
      </c>
      <c r="F3118" s="140" t="s">
        <v>46</v>
      </c>
      <c r="G3118" s="140" t="s">
        <v>21</v>
      </c>
      <c r="H3118" s="140" t="s">
        <v>91</v>
      </c>
      <c r="I3118" s="140" t="s">
        <v>21</v>
      </c>
      <c r="J3118" s="174"/>
    </row>
    <row r="3119" hidden="1" customHeight="1" spans="1:10">
      <c r="A3119" s="140" t="s">
        <v>543</v>
      </c>
      <c r="B3119" s="140" t="s">
        <v>318</v>
      </c>
      <c r="C3119" s="171">
        <v>45713</v>
      </c>
      <c r="D3119" s="172" t="s">
        <v>17</v>
      </c>
      <c r="E3119" s="140" t="s">
        <v>19</v>
      </c>
      <c r="F3119" s="140" t="s">
        <v>36</v>
      </c>
      <c r="G3119" s="140" t="s">
        <v>21</v>
      </c>
      <c r="H3119" s="140" t="s">
        <v>172</v>
      </c>
      <c r="I3119" s="140" t="s">
        <v>21</v>
      </c>
      <c r="J3119" s="174"/>
    </row>
    <row r="3120" hidden="1" customHeight="1" spans="1:10">
      <c r="A3120" s="140" t="s">
        <v>543</v>
      </c>
      <c r="B3120" s="140" t="s">
        <v>318</v>
      </c>
      <c r="C3120" s="171">
        <v>45714</v>
      </c>
      <c r="D3120" s="172" t="s">
        <v>18</v>
      </c>
      <c r="E3120" s="140" t="s">
        <v>19</v>
      </c>
      <c r="F3120" s="140" t="s">
        <v>157</v>
      </c>
      <c r="G3120" s="140" t="s">
        <v>21</v>
      </c>
      <c r="H3120" s="140" t="s">
        <v>438</v>
      </c>
      <c r="I3120" s="140" t="s">
        <v>21</v>
      </c>
      <c r="J3120" s="174"/>
    </row>
    <row r="3121" hidden="1" customHeight="1" spans="1:10">
      <c r="A3121" s="140" t="s">
        <v>543</v>
      </c>
      <c r="B3121" s="140" t="s">
        <v>318</v>
      </c>
      <c r="C3121" s="171">
        <v>45715</v>
      </c>
      <c r="D3121" s="172" t="s">
        <v>23</v>
      </c>
      <c r="E3121" s="140" t="s">
        <v>19</v>
      </c>
      <c r="F3121" s="140" t="s">
        <v>157</v>
      </c>
      <c r="G3121" s="140" t="s">
        <v>21</v>
      </c>
      <c r="H3121" s="140" t="s">
        <v>116</v>
      </c>
      <c r="I3121" s="140" t="s">
        <v>21</v>
      </c>
      <c r="J3121" s="174"/>
    </row>
    <row r="3122" customHeight="1" spans="1:10">
      <c r="A3122" s="140" t="s">
        <v>543</v>
      </c>
      <c r="B3122" s="140" t="s">
        <v>318</v>
      </c>
      <c r="C3122" s="171">
        <v>45716</v>
      </c>
      <c r="D3122" s="172" t="s">
        <v>25</v>
      </c>
      <c r="E3122" s="140" t="s">
        <v>19</v>
      </c>
      <c r="F3122" s="140" t="s">
        <v>544</v>
      </c>
      <c r="G3122" s="177" t="s">
        <v>103</v>
      </c>
      <c r="H3122" s="140" t="s">
        <v>545</v>
      </c>
      <c r="I3122" s="140" t="s">
        <v>21</v>
      </c>
      <c r="J3122" s="174" t="s">
        <v>69</v>
      </c>
    </row>
    <row r="3123" hidden="1" customHeight="1" spans="1:10">
      <c r="A3123" s="140" t="s">
        <v>546</v>
      </c>
      <c r="B3123" s="140" t="s">
        <v>424</v>
      </c>
      <c r="C3123" s="171">
        <v>45689</v>
      </c>
      <c r="D3123" s="172" t="s">
        <v>12</v>
      </c>
      <c r="E3123" s="173" t="s">
        <v>13</v>
      </c>
      <c r="F3123" s="140" t="s">
        <v>14</v>
      </c>
      <c r="G3123" s="140" t="s">
        <v>14</v>
      </c>
      <c r="H3123" s="140" t="s">
        <v>14</v>
      </c>
      <c r="I3123" s="140" t="s">
        <v>14</v>
      </c>
      <c r="J3123" s="174"/>
    </row>
    <row r="3124" hidden="1" customHeight="1" spans="1:10">
      <c r="A3124" s="140" t="s">
        <v>546</v>
      </c>
      <c r="B3124" s="140" t="s">
        <v>424</v>
      </c>
      <c r="C3124" s="171">
        <v>45690</v>
      </c>
      <c r="D3124" s="172" t="s">
        <v>15</v>
      </c>
      <c r="E3124" s="173" t="s">
        <v>13</v>
      </c>
      <c r="F3124" s="140" t="s">
        <v>14</v>
      </c>
      <c r="G3124" s="140" t="s">
        <v>14</v>
      </c>
      <c r="H3124" s="140" t="s">
        <v>14</v>
      </c>
      <c r="I3124" s="140" t="s">
        <v>14</v>
      </c>
      <c r="J3124" s="174"/>
    </row>
    <row r="3125" hidden="1" customHeight="1" spans="1:10">
      <c r="A3125" s="140" t="s">
        <v>546</v>
      </c>
      <c r="B3125" s="140" t="s">
        <v>424</v>
      </c>
      <c r="C3125" s="171">
        <v>45691</v>
      </c>
      <c r="D3125" s="172" t="s">
        <v>16</v>
      </c>
      <c r="E3125" s="173" t="s">
        <v>13</v>
      </c>
      <c r="F3125" s="140" t="s">
        <v>14</v>
      </c>
      <c r="G3125" s="140" t="s">
        <v>14</v>
      </c>
      <c r="H3125" s="140" t="s">
        <v>14</v>
      </c>
      <c r="I3125" s="140" t="s">
        <v>14</v>
      </c>
      <c r="J3125" s="174"/>
    </row>
    <row r="3126" hidden="1" customHeight="1" spans="1:10">
      <c r="A3126" s="140" t="s">
        <v>546</v>
      </c>
      <c r="B3126" s="140" t="s">
        <v>424</v>
      </c>
      <c r="C3126" s="171">
        <v>45692</v>
      </c>
      <c r="D3126" s="172" t="s">
        <v>17</v>
      </c>
      <c r="E3126" s="173" t="s">
        <v>13</v>
      </c>
      <c r="F3126" s="140" t="s">
        <v>14</v>
      </c>
      <c r="G3126" s="140" t="s">
        <v>14</v>
      </c>
      <c r="H3126" s="140" t="s">
        <v>14</v>
      </c>
      <c r="I3126" s="140" t="s">
        <v>14</v>
      </c>
      <c r="J3126" s="174"/>
    </row>
    <row r="3127" hidden="1" customHeight="1" spans="1:10">
      <c r="A3127" s="140" t="s">
        <v>546</v>
      </c>
      <c r="B3127" s="140" t="s">
        <v>424</v>
      </c>
      <c r="C3127" s="171">
        <v>45693</v>
      </c>
      <c r="D3127" s="172" t="s">
        <v>18</v>
      </c>
      <c r="E3127" s="140" t="s">
        <v>19</v>
      </c>
      <c r="F3127" s="140" t="s">
        <v>30</v>
      </c>
      <c r="G3127" s="140" t="s">
        <v>21</v>
      </c>
      <c r="H3127" s="140" t="s">
        <v>206</v>
      </c>
      <c r="I3127" s="140" t="s">
        <v>21</v>
      </c>
      <c r="J3127" s="174"/>
    </row>
    <row r="3128" hidden="1" customHeight="1" spans="1:10">
      <c r="A3128" s="140" t="s">
        <v>546</v>
      </c>
      <c r="B3128" s="140" t="s">
        <v>424</v>
      </c>
      <c r="C3128" s="171">
        <v>45694</v>
      </c>
      <c r="D3128" s="172" t="s">
        <v>23</v>
      </c>
      <c r="E3128" s="140" t="s">
        <v>19</v>
      </c>
      <c r="F3128" s="140" t="s">
        <v>154</v>
      </c>
      <c r="G3128" s="140" t="s">
        <v>21</v>
      </c>
      <c r="H3128" s="140" t="s">
        <v>78</v>
      </c>
      <c r="I3128" s="140" t="s">
        <v>21</v>
      </c>
      <c r="J3128" s="174"/>
    </row>
    <row r="3129" hidden="1" customHeight="1" spans="1:10">
      <c r="A3129" s="140" t="s">
        <v>546</v>
      </c>
      <c r="B3129" s="140" t="s">
        <v>424</v>
      </c>
      <c r="C3129" s="171">
        <v>45695</v>
      </c>
      <c r="D3129" s="172" t="s">
        <v>25</v>
      </c>
      <c r="E3129" s="140" t="s">
        <v>19</v>
      </c>
      <c r="F3129" s="140" t="s">
        <v>154</v>
      </c>
      <c r="G3129" s="140" t="s">
        <v>21</v>
      </c>
      <c r="H3129" s="140" t="s">
        <v>53</v>
      </c>
      <c r="I3129" s="140" t="s">
        <v>21</v>
      </c>
      <c r="J3129" s="174"/>
    </row>
    <row r="3130" hidden="1" customHeight="1" spans="1:10">
      <c r="A3130" s="140" t="s">
        <v>546</v>
      </c>
      <c r="B3130" s="140" t="s">
        <v>424</v>
      </c>
      <c r="C3130" s="171">
        <v>45696</v>
      </c>
      <c r="D3130" s="172" t="s">
        <v>27</v>
      </c>
      <c r="E3130" s="140" t="s">
        <v>19</v>
      </c>
      <c r="F3130" s="140" t="s">
        <v>146</v>
      </c>
      <c r="G3130" s="140" t="s">
        <v>21</v>
      </c>
      <c r="H3130" s="140" t="s">
        <v>178</v>
      </c>
      <c r="I3130" s="140" t="s">
        <v>21</v>
      </c>
      <c r="J3130" s="174"/>
    </row>
    <row r="3131" hidden="1" customHeight="1" spans="1:10">
      <c r="A3131" s="140" t="s">
        <v>546</v>
      </c>
      <c r="B3131" s="140" t="s">
        <v>424</v>
      </c>
      <c r="C3131" s="171">
        <v>45697</v>
      </c>
      <c r="D3131" s="172" t="s">
        <v>15</v>
      </c>
      <c r="E3131" s="173" t="s">
        <v>13</v>
      </c>
      <c r="F3131" s="140" t="s">
        <v>14</v>
      </c>
      <c r="G3131" s="140" t="s">
        <v>14</v>
      </c>
      <c r="H3131" s="140" t="s">
        <v>14</v>
      </c>
      <c r="I3131" s="140" t="s">
        <v>14</v>
      </c>
      <c r="J3131" s="174"/>
    </row>
    <row r="3132" hidden="1" customHeight="1" spans="1:10">
      <c r="A3132" s="140" t="s">
        <v>546</v>
      </c>
      <c r="B3132" s="140" t="s">
        <v>424</v>
      </c>
      <c r="C3132" s="171">
        <v>45698</v>
      </c>
      <c r="D3132" s="172" t="s">
        <v>16</v>
      </c>
      <c r="E3132" s="140" t="s">
        <v>19</v>
      </c>
      <c r="F3132" s="140" t="s">
        <v>154</v>
      </c>
      <c r="G3132" s="140" t="s">
        <v>21</v>
      </c>
      <c r="H3132" s="140" t="s">
        <v>78</v>
      </c>
      <c r="I3132" s="140" t="s">
        <v>21</v>
      </c>
      <c r="J3132" s="174"/>
    </row>
    <row r="3133" hidden="1" customHeight="1" spans="1:10">
      <c r="A3133" s="140" t="s">
        <v>546</v>
      </c>
      <c r="B3133" s="140" t="s">
        <v>424</v>
      </c>
      <c r="C3133" s="171">
        <v>45699</v>
      </c>
      <c r="D3133" s="172" t="s">
        <v>17</v>
      </c>
      <c r="E3133" s="140" t="s">
        <v>19</v>
      </c>
      <c r="F3133" s="140" t="s">
        <v>154</v>
      </c>
      <c r="G3133" s="140" t="s">
        <v>21</v>
      </c>
      <c r="H3133" s="140" t="s">
        <v>235</v>
      </c>
      <c r="I3133" s="140" t="s">
        <v>21</v>
      </c>
      <c r="J3133" s="174"/>
    </row>
    <row r="3134" hidden="1" customHeight="1" spans="1:10">
      <c r="A3134" s="140" t="s">
        <v>546</v>
      </c>
      <c r="B3134" s="140" t="s">
        <v>424</v>
      </c>
      <c r="C3134" s="171">
        <v>45700</v>
      </c>
      <c r="D3134" s="172" t="s">
        <v>18</v>
      </c>
      <c r="E3134" s="140" t="s">
        <v>19</v>
      </c>
      <c r="F3134" s="140" t="s">
        <v>30</v>
      </c>
      <c r="G3134" s="140" t="s">
        <v>21</v>
      </c>
      <c r="H3134" s="140" t="s">
        <v>206</v>
      </c>
      <c r="I3134" s="140" t="s">
        <v>21</v>
      </c>
      <c r="J3134" s="174"/>
    </row>
    <row r="3135" customHeight="1" spans="1:10">
      <c r="A3135" s="140" t="s">
        <v>546</v>
      </c>
      <c r="B3135" s="140" t="s">
        <v>424</v>
      </c>
      <c r="C3135" s="171">
        <v>45701</v>
      </c>
      <c r="D3135" s="172" t="s">
        <v>23</v>
      </c>
      <c r="E3135" s="140" t="s">
        <v>19</v>
      </c>
      <c r="F3135" s="140" t="s">
        <v>14</v>
      </c>
      <c r="G3135" s="176" t="s">
        <v>68</v>
      </c>
      <c r="H3135" s="140" t="s">
        <v>35</v>
      </c>
      <c r="I3135" s="140" t="s">
        <v>21</v>
      </c>
      <c r="J3135" s="174" t="s">
        <v>69</v>
      </c>
    </row>
    <row r="3136" hidden="1" customHeight="1" spans="1:10">
      <c r="A3136" s="140" t="s">
        <v>546</v>
      </c>
      <c r="B3136" s="140" t="s">
        <v>424</v>
      </c>
      <c r="C3136" s="171">
        <v>45702</v>
      </c>
      <c r="D3136" s="172" t="s">
        <v>25</v>
      </c>
      <c r="E3136" s="140" t="s">
        <v>19</v>
      </c>
      <c r="F3136" s="140" t="s">
        <v>157</v>
      </c>
      <c r="G3136" s="140" t="s">
        <v>21</v>
      </c>
      <c r="H3136" s="140" t="s">
        <v>240</v>
      </c>
      <c r="I3136" s="140" t="s">
        <v>21</v>
      </c>
      <c r="J3136" s="174"/>
    </row>
    <row r="3137" hidden="1" customHeight="1" spans="1:10">
      <c r="A3137" s="140" t="s">
        <v>546</v>
      </c>
      <c r="B3137" s="140" t="s">
        <v>424</v>
      </c>
      <c r="C3137" s="171">
        <v>45703</v>
      </c>
      <c r="D3137" s="172" t="s">
        <v>27</v>
      </c>
      <c r="E3137" s="173" t="s">
        <v>13</v>
      </c>
      <c r="F3137" s="140" t="s">
        <v>14</v>
      </c>
      <c r="G3137" s="140" t="s">
        <v>14</v>
      </c>
      <c r="H3137" s="140" t="s">
        <v>14</v>
      </c>
      <c r="I3137" s="140" t="s">
        <v>14</v>
      </c>
      <c r="J3137" s="174"/>
    </row>
    <row r="3138" hidden="1" customHeight="1" spans="1:10">
      <c r="A3138" s="140" t="s">
        <v>546</v>
      </c>
      <c r="B3138" s="140" t="s">
        <v>424</v>
      </c>
      <c r="C3138" s="171">
        <v>45704</v>
      </c>
      <c r="D3138" s="172" t="s">
        <v>15</v>
      </c>
      <c r="E3138" s="173" t="s">
        <v>13</v>
      </c>
      <c r="F3138" s="140" t="s">
        <v>14</v>
      </c>
      <c r="G3138" s="140" t="s">
        <v>14</v>
      </c>
      <c r="H3138" s="140" t="s">
        <v>14</v>
      </c>
      <c r="I3138" s="140" t="s">
        <v>14</v>
      </c>
      <c r="J3138" s="174"/>
    </row>
    <row r="3139" customHeight="1" spans="1:10">
      <c r="A3139" s="140" t="s">
        <v>546</v>
      </c>
      <c r="B3139" s="140" t="s">
        <v>424</v>
      </c>
      <c r="C3139" s="171">
        <v>45705</v>
      </c>
      <c r="D3139" s="172" t="s">
        <v>16</v>
      </c>
      <c r="E3139" s="140" t="s">
        <v>19</v>
      </c>
      <c r="F3139" s="140" t="s">
        <v>33</v>
      </c>
      <c r="G3139" s="140" t="s">
        <v>21</v>
      </c>
      <c r="H3139" s="140" t="s">
        <v>14</v>
      </c>
      <c r="I3139" s="176" t="s">
        <v>68</v>
      </c>
      <c r="J3139" s="174" t="s">
        <v>69</v>
      </c>
    </row>
    <row r="3140" hidden="1" customHeight="1" spans="1:10">
      <c r="A3140" s="140" t="s">
        <v>546</v>
      </c>
      <c r="B3140" s="140" t="s">
        <v>424</v>
      </c>
      <c r="C3140" s="171">
        <v>45706</v>
      </c>
      <c r="D3140" s="172" t="s">
        <v>17</v>
      </c>
      <c r="E3140" s="140" t="s">
        <v>19</v>
      </c>
      <c r="F3140" s="140" t="s">
        <v>193</v>
      </c>
      <c r="G3140" s="140" t="s">
        <v>21</v>
      </c>
      <c r="H3140" s="140" t="s">
        <v>134</v>
      </c>
      <c r="I3140" s="140" t="s">
        <v>21</v>
      </c>
      <c r="J3140" s="174"/>
    </row>
    <row r="3141" hidden="1" customHeight="1" spans="1:10">
      <c r="A3141" s="140" t="s">
        <v>546</v>
      </c>
      <c r="B3141" s="140" t="s">
        <v>424</v>
      </c>
      <c r="C3141" s="171">
        <v>45707</v>
      </c>
      <c r="D3141" s="172" t="s">
        <v>18</v>
      </c>
      <c r="E3141" s="140" t="s">
        <v>19</v>
      </c>
      <c r="F3141" s="140" t="s">
        <v>146</v>
      </c>
      <c r="G3141" s="140" t="s">
        <v>21</v>
      </c>
      <c r="H3141" s="140" t="s">
        <v>175</v>
      </c>
      <c r="I3141" s="140" t="s">
        <v>21</v>
      </c>
      <c r="J3141" s="174"/>
    </row>
    <row r="3142" hidden="1" customHeight="1" spans="1:10">
      <c r="A3142" s="140" t="s">
        <v>546</v>
      </c>
      <c r="B3142" s="140" t="s">
        <v>424</v>
      </c>
      <c r="C3142" s="171">
        <v>45708</v>
      </c>
      <c r="D3142" s="172" t="s">
        <v>23</v>
      </c>
      <c r="E3142" s="140" t="s">
        <v>19</v>
      </c>
      <c r="F3142" s="140" t="s">
        <v>146</v>
      </c>
      <c r="G3142" s="140" t="s">
        <v>21</v>
      </c>
      <c r="H3142" s="140" t="s">
        <v>45</v>
      </c>
      <c r="I3142" s="140" t="s">
        <v>21</v>
      </c>
      <c r="J3142" s="174"/>
    </row>
    <row r="3143" hidden="1" customHeight="1" spans="1:10">
      <c r="A3143" s="140" t="s">
        <v>546</v>
      </c>
      <c r="B3143" s="140" t="s">
        <v>424</v>
      </c>
      <c r="C3143" s="171">
        <v>45709</v>
      </c>
      <c r="D3143" s="172" t="s">
        <v>25</v>
      </c>
      <c r="E3143" s="140" t="s">
        <v>19</v>
      </c>
      <c r="F3143" s="140" t="s">
        <v>33</v>
      </c>
      <c r="G3143" s="140" t="s">
        <v>21</v>
      </c>
      <c r="H3143" s="140" t="s">
        <v>200</v>
      </c>
      <c r="I3143" s="140" t="s">
        <v>21</v>
      </c>
      <c r="J3143" s="174"/>
    </row>
    <row r="3144" hidden="1" customHeight="1" spans="1:10">
      <c r="A3144" s="140" t="s">
        <v>546</v>
      </c>
      <c r="B3144" s="140" t="s">
        <v>424</v>
      </c>
      <c r="C3144" s="171">
        <v>45710</v>
      </c>
      <c r="D3144" s="172" t="s">
        <v>27</v>
      </c>
      <c r="E3144" s="173" t="s">
        <v>13</v>
      </c>
      <c r="F3144" s="140" t="s">
        <v>14</v>
      </c>
      <c r="G3144" s="140" t="s">
        <v>14</v>
      </c>
      <c r="H3144" s="140" t="s">
        <v>14</v>
      </c>
      <c r="I3144" s="140" t="s">
        <v>14</v>
      </c>
      <c r="J3144" s="174"/>
    </row>
    <row r="3145" hidden="1" customHeight="1" spans="1:10">
      <c r="A3145" s="140" t="s">
        <v>546</v>
      </c>
      <c r="B3145" s="140" t="s">
        <v>424</v>
      </c>
      <c r="C3145" s="171">
        <v>45711</v>
      </c>
      <c r="D3145" s="172" t="s">
        <v>15</v>
      </c>
      <c r="E3145" s="173" t="s">
        <v>13</v>
      </c>
      <c r="F3145" s="140" t="s">
        <v>14</v>
      </c>
      <c r="G3145" s="140" t="s">
        <v>14</v>
      </c>
      <c r="H3145" s="140" t="s">
        <v>14</v>
      </c>
      <c r="I3145" s="140" t="s">
        <v>14</v>
      </c>
      <c r="J3145" s="174"/>
    </row>
    <row r="3146" hidden="1" customHeight="1" spans="1:10">
      <c r="A3146" s="140" t="s">
        <v>546</v>
      </c>
      <c r="B3146" s="140" t="s">
        <v>424</v>
      </c>
      <c r="C3146" s="171">
        <v>45712</v>
      </c>
      <c r="D3146" s="172" t="s">
        <v>16</v>
      </c>
      <c r="E3146" s="140" t="s">
        <v>19</v>
      </c>
      <c r="F3146" s="140" t="s">
        <v>157</v>
      </c>
      <c r="G3146" s="140" t="s">
        <v>21</v>
      </c>
      <c r="H3146" s="140" t="s">
        <v>50</v>
      </c>
      <c r="I3146" s="140" t="s">
        <v>21</v>
      </c>
      <c r="J3146" s="174"/>
    </row>
    <row r="3147" hidden="1" customHeight="1" spans="1:10">
      <c r="A3147" s="140" t="s">
        <v>546</v>
      </c>
      <c r="B3147" s="140" t="s">
        <v>424</v>
      </c>
      <c r="C3147" s="171">
        <v>45713</v>
      </c>
      <c r="D3147" s="172" t="s">
        <v>17</v>
      </c>
      <c r="E3147" s="140" t="s">
        <v>19</v>
      </c>
      <c r="F3147" s="140" t="s">
        <v>154</v>
      </c>
      <c r="G3147" s="140" t="s">
        <v>21</v>
      </c>
      <c r="H3147" s="140" t="s">
        <v>189</v>
      </c>
      <c r="I3147" s="140" t="s">
        <v>21</v>
      </c>
      <c r="J3147" s="174"/>
    </row>
    <row r="3148" hidden="1" customHeight="1" spans="1:10">
      <c r="A3148" s="140" t="s">
        <v>546</v>
      </c>
      <c r="B3148" s="140" t="s">
        <v>424</v>
      </c>
      <c r="C3148" s="171">
        <v>45714</v>
      </c>
      <c r="D3148" s="172" t="s">
        <v>18</v>
      </c>
      <c r="E3148" s="140" t="s">
        <v>19</v>
      </c>
      <c r="F3148" s="140" t="s">
        <v>154</v>
      </c>
      <c r="G3148" s="140" t="s">
        <v>21</v>
      </c>
      <c r="H3148" s="140" t="s">
        <v>167</v>
      </c>
      <c r="I3148" s="140" t="s">
        <v>21</v>
      </c>
      <c r="J3148" s="174"/>
    </row>
    <row r="3149" hidden="1" customHeight="1" spans="1:10">
      <c r="A3149" s="140" t="s">
        <v>546</v>
      </c>
      <c r="B3149" s="140" t="s">
        <v>424</v>
      </c>
      <c r="C3149" s="171">
        <v>45715</v>
      </c>
      <c r="D3149" s="172" t="s">
        <v>23</v>
      </c>
      <c r="E3149" s="140" t="s">
        <v>19</v>
      </c>
      <c r="F3149" s="140" t="s">
        <v>146</v>
      </c>
      <c r="G3149" s="140" t="s">
        <v>21</v>
      </c>
      <c r="H3149" s="140" t="s">
        <v>45</v>
      </c>
      <c r="I3149" s="140" t="s">
        <v>21</v>
      </c>
      <c r="J3149" s="174"/>
    </row>
    <row r="3150" hidden="1" customHeight="1" spans="1:10">
      <c r="A3150" s="140" t="s">
        <v>546</v>
      </c>
      <c r="B3150" s="140" t="s">
        <v>424</v>
      </c>
      <c r="C3150" s="171">
        <v>45716</v>
      </c>
      <c r="D3150" s="172" t="s">
        <v>25</v>
      </c>
      <c r="E3150" s="140" t="s">
        <v>19</v>
      </c>
      <c r="F3150" s="140" t="s">
        <v>193</v>
      </c>
      <c r="G3150" s="140" t="s">
        <v>21</v>
      </c>
      <c r="H3150" s="140" t="s">
        <v>170</v>
      </c>
      <c r="I3150" s="140" t="s">
        <v>21</v>
      </c>
      <c r="J3150" s="174"/>
    </row>
    <row r="3151" hidden="1" customHeight="1" spans="1:10">
      <c r="A3151" s="140" t="s">
        <v>547</v>
      </c>
      <c r="B3151" s="140" t="s">
        <v>424</v>
      </c>
      <c r="C3151" s="171">
        <v>45689</v>
      </c>
      <c r="D3151" s="172" t="s">
        <v>12</v>
      </c>
      <c r="E3151" s="173" t="s">
        <v>13</v>
      </c>
      <c r="F3151" s="140" t="s">
        <v>14</v>
      </c>
      <c r="G3151" s="140" t="s">
        <v>14</v>
      </c>
      <c r="H3151" s="140" t="s">
        <v>14</v>
      </c>
      <c r="I3151" s="140" t="s">
        <v>14</v>
      </c>
      <c r="J3151" s="174"/>
    </row>
    <row r="3152" hidden="1" customHeight="1" spans="1:10">
      <c r="A3152" s="140" t="s">
        <v>547</v>
      </c>
      <c r="B3152" s="140" t="s">
        <v>424</v>
      </c>
      <c r="C3152" s="171">
        <v>45690</v>
      </c>
      <c r="D3152" s="172" t="s">
        <v>15</v>
      </c>
      <c r="E3152" s="173" t="s">
        <v>13</v>
      </c>
      <c r="F3152" s="140" t="s">
        <v>14</v>
      </c>
      <c r="G3152" s="140" t="s">
        <v>14</v>
      </c>
      <c r="H3152" s="140" t="s">
        <v>14</v>
      </c>
      <c r="I3152" s="140" t="s">
        <v>14</v>
      </c>
      <c r="J3152" s="174"/>
    </row>
    <row r="3153" hidden="1" customHeight="1" spans="1:10">
      <c r="A3153" s="140" t="s">
        <v>547</v>
      </c>
      <c r="B3153" s="140" t="s">
        <v>424</v>
      </c>
      <c r="C3153" s="171">
        <v>45691</v>
      </c>
      <c r="D3153" s="172" t="s">
        <v>16</v>
      </c>
      <c r="E3153" s="173" t="s">
        <v>13</v>
      </c>
      <c r="F3153" s="140" t="s">
        <v>14</v>
      </c>
      <c r="G3153" s="140" t="s">
        <v>14</v>
      </c>
      <c r="H3153" s="140" t="s">
        <v>14</v>
      </c>
      <c r="I3153" s="140" t="s">
        <v>14</v>
      </c>
      <c r="J3153" s="174"/>
    </row>
    <row r="3154" hidden="1" customHeight="1" spans="1:10">
      <c r="A3154" s="140" t="s">
        <v>547</v>
      </c>
      <c r="B3154" s="140" t="s">
        <v>424</v>
      </c>
      <c r="C3154" s="171">
        <v>45692</v>
      </c>
      <c r="D3154" s="172" t="s">
        <v>17</v>
      </c>
      <c r="E3154" s="173" t="s">
        <v>13</v>
      </c>
      <c r="F3154" s="140" t="s">
        <v>14</v>
      </c>
      <c r="G3154" s="140" t="s">
        <v>14</v>
      </c>
      <c r="H3154" s="140" t="s">
        <v>14</v>
      </c>
      <c r="I3154" s="140" t="s">
        <v>14</v>
      </c>
      <c r="J3154" s="174"/>
    </row>
    <row r="3155" customHeight="1" spans="1:10">
      <c r="A3155" s="140" t="s">
        <v>547</v>
      </c>
      <c r="B3155" s="140" t="s">
        <v>424</v>
      </c>
      <c r="C3155" s="171">
        <v>45693</v>
      </c>
      <c r="D3155" s="172" t="s">
        <v>18</v>
      </c>
      <c r="E3155" s="140" t="s">
        <v>19</v>
      </c>
      <c r="F3155" s="140" t="s">
        <v>14</v>
      </c>
      <c r="G3155" s="176" t="s">
        <v>68</v>
      </c>
      <c r="H3155" s="140" t="s">
        <v>14</v>
      </c>
      <c r="I3155" s="176" t="s">
        <v>68</v>
      </c>
      <c r="J3155" s="174" t="s">
        <v>234</v>
      </c>
    </row>
    <row r="3156" customHeight="1" spans="1:10">
      <c r="A3156" s="140" t="s">
        <v>547</v>
      </c>
      <c r="B3156" s="140" t="s">
        <v>424</v>
      </c>
      <c r="C3156" s="171">
        <v>45694</v>
      </c>
      <c r="D3156" s="172" t="s">
        <v>23</v>
      </c>
      <c r="E3156" s="140" t="s">
        <v>19</v>
      </c>
      <c r="F3156" s="140" t="s">
        <v>14</v>
      </c>
      <c r="G3156" s="176" t="s">
        <v>68</v>
      </c>
      <c r="H3156" s="140" t="s">
        <v>14</v>
      </c>
      <c r="I3156" s="176" t="s">
        <v>68</v>
      </c>
      <c r="J3156" s="174" t="s">
        <v>234</v>
      </c>
    </row>
    <row r="3157" customHeight="1" spans="1:10">
      <c r="A3157" s="140" t="s">
        <v>547</v>
      </c>
      <c r="B3157" s="140" t="s">
        <v>424</v>
      </c>
      <c r="C3157" s="171">
        <v>45695</v>
      </c>
      <c r="D3157" s="172" t="s">
        <v>25</v>
      </c>
      <c r="E3157" s="140" t="s">
        <v>19</v>
      </c>
      <c r="F3157" s="140" t="s">
        <v>14</v>
      </c>
      <c r="G3157" s="176" t="s">
        <v>68</v>
      </c>
      <c r="H3157" s="140" t="s">
        <v>14</v>
      </c>
      <c r="I3157" s="176" t="s">
        <v>68</v>
      </c>
      <c r="J3157" s="174" t="s">
        <v>234</v>
      </c>
    </row>
    <row r="3158" customHeight="1" spans="1:10">
      <c r="A3158" s="140" t="s">
        <v>547</v>
      </c>
      <c r="B3158" s="140" t="s">
        <v>424</v>
      </c>
      <c r="C3158" s="171">
        <v>45696</v>
      </c>
      <c r="D3158" s="172" t="s">
        <v>27</v>
      </c>
      <c r="E3158" s="140" t="s">
        <v>19</v>
      </c>
      <c r="F3158" s="140" t="s">
        <v>14</v>
      </c>
      <c r="G3158" s="176" t="s">
        <v>68</v>
      </c>
      <c r="H3158" s="140" t="s">
        <v>14</v>
      </c>
      <c r="I3158" s="176" t="s">
        <v>68</v>
      </c>
      <c r="J3158" s="174" t="s">
        <v>234</v>
      </c>
    </row>
    <row r="3159" hidden="1" customHeight="1" spans="1:10">
      <c r="A3159" s="140" t="s">
        <v>547</v>
      </c>
      <c r="B3159" s="140" t="s">
        <v>424</v>
      </c>
      <c r="C3159" s="171">
        <v>45697</v>
      </c>
      <c r="D3159" s="172" t="s">
        <v>15</v>
      </c>
      <c r="E3159" s="173" t="s">
        <v>13</v>
      </c>
      <c r="F3159" s="140" t="s">
        <v>14</v>
      </c>
      <c r="G3159" s="140" t="s">
        <v>14</v>
      </c>
      <c r="H3159" s="140" t="s">
        <v>14</v>
      </c>
      <c r="I3159" s="140" t="s">
        <v>14</v>
      </c>
      <c r="J3159" s="174"/>
    </row>
    <row r="3160" hidden="1" customHeight="1" spans="1:10">
      <c r="A3160" s="140" t="s">
        <v>547</v>
      </c>
      <c r="B3160" s="140" t="s">
        <v>424</v>
      </c>
      <c r="C3160" s="171">
        <v>45698</v>
      </c>
      <c r="D3160" s="172" t="s">
        <v>16</v>
      </c>
      <c r="E3160" s="140" t="s">
        <v>19</v>
      </c>
      <c r="F3160" s="140" t="s">
        <v>40</v>
      </c>
      <c r="G3160" s="140" t="s">
        <v>21</v>
      </c>
      <c r="H3160" s="140" t="s">
        <v>78</v>
      </c>
      <c r="I3160" s="140" t="s">
        <v>21</v>
      </c>
      <c r="J3160" s="174"/>
    </row>
    <row r="3161" hidden="1" customHeight="1" spans="1:10">
      <c r="A3161" s="140" t="s">
        <v>547</v>
      </c>
      <c r="B3161" s="140" t="s">
        <v>424</v>
      </c>
      <c r="C3161" s="171">
        <v>45699</v>
      </c>
      <c r="D3161" s="172" t="s">
        <v>17</v>
      </c>
      <c r="E3161" s="140" t="s">
        <v>19</v>
      </c>
      <c r="F3161" s="140" t="s">
        <v>20</v>
      </c>
      <c r="G3161" s="140" t="s">
        <v>21</v>
      </c>
      <c r="H3161" s="140" t="s">
        <v>178</v>
      </c>
      <c r="I3161" s="140" t="s">
        <v>21</v>
      </c>
      <c r="J3161" s="174"/>
    </row>
    <row r="3162" hidden="1" customHeight="1" spans="1:10">
      <c r="A3162" s="140" t="s">
        <v>547</v>
      </c>
      <c r="B3162" s="140" t="s">
        <v>424</v>
      </c>
      <c r="C3162" s="171">
        <v>45700</v>
      </c>
      <c r="D3162" s="172" t="s">
        <v>18</v>
      </c>
      <c r="E3162" s="140" t="s">
        <v>19</v>
      </c>
      <c r="F3162" s="140" t="s">
        <v>20</v>
      </c>
      <c r="G3162" s="140" t="s">
        <v>21</v>
      </c>
      <c r="H3162" s="140" t="s">
        <v>205</v>
      </c>
      <c r="I3162" s="140" t="s">
        <v>21</v>
      </c>
      <c r="J3162" s="174"/>
    </row>
    <row r="3163" hidden="1" customHeight="1" spans="1:10">
      <c r="A3163" s="140" t="s">
        <v>547</v>
      </c>
      <c r="B3163" s="140" t="s">
        <v>424</v>
      </c>
      <c r="C3163" s="171">
        <v>45701</v>
      </c>
      <c r="D3163" s="172" t="s">
        <v>23</v>
      </c>
      <c r="E3163" s="140" t="s">
        <v>19</v>
      </c>
      <c r="F3163" s="140" t="s">
        <v>46</v>
      </c>
      <c r="G3163" s="140" t="s">
        <v>21</v>
      </c>
      <c r="H3163" s="140" t="s">
        <v>78</v>
      </c>
      <c r="I3163" s="140" t="s">
        <v>21</v>
      </c>
      <c r="J3163" s="174"/>
    </row>
    <row r="3164" hidden="1" customHeight="1" spans="1:10">
      <c r="A3164" s="140" t="s">
        <v>547</v>
      </c>
      <c r="B3164" s="140" t="s">
        <v>424</v>
      </c>
      <c r="C3164" s="171">
        <v>45702</v>
      </c>
      <c r="D3164" s="172" t="s">
        <v>25</v>
      </c>
      <c r="E3164" s="140" t="s">
        <v>19</v>
      </c>
      <c r="F3164" s="140" t="s">
        <v>33</v>
      </c>
      <c r="G3164" s="140" t="s">
        <v>21</v>
      </c>
      <c r="H3164" s="140" t="s">
        <v>170</v>
      </c>
      <c r="I3164" s="140" t="s">
        <v>21</v>
      </c>
      <c r="J3164" s="174"/>
    </row>
    <row r="3165" hidden="1" customHeight="1" spans="1:10">
      <c r="A3165" s="140" t="s">
        <v>547</v>
      </c>
      <c r="B3165" s="140" t="s">
        <v>424</v>
      </c>
      <c r="C3165" s="171">
        <v>45703</v>
      </c>
      <c r="D3165" s="172" t="s">
        <v>27</v>
      </c>
      <c r="E3165" s="173" t="s">
        <v>13</v>
      </c>
      <c r="F3165" s="140" t="s">
        <v>14</v>
      </c>
      <c r="G3165" s="140" t="s">
        <v>14</v>
      </c>
      <c r="H3165" s="140" t="s">
        <v>14</v>
      </c>
      <c r="I3165" s="140" t="s">
        <v>14</v>
      </c>
      <c r="J3165" s="174"/>
    </row>
    <row r="3166" hidden="1" customHeight="1" spans="1:10">
      <c r="A3166" s="140" t="s">
        <v>547</v>
      </c>
      <c r="B3166" s="140" t="s">
        <v>424</v>
      </c>
      <c r="C3166" s="171">
        <v>45704</v>
      </c>
      <c r="D3166" s="172" t="s">
        <v>15</v>
      </c>
      <c r="E3166" s="173" t="s">
        <v>13</v>
      </c>
      <c r="F3166" s="140" t="s">
        <v>548</v>
      </c>
      <c r="G3166" s="140" t="s">
        <v>21</v>
      </c>
      <c r="H3166" s="140" t="s">
        <v>141</v>
      </c>
      <c r="I3166" s="140" t="s">
        <v>21</v>
      </c>
      <c r="J3166" s="174"/>
    </row>
    <row r="3167" hidden="1" customHeight="1" spans="1:10">
      <c r="A3167" s="140" t="s">
        <v>547</v>
      </c>
      <c r="B3167" s="140" t="s">
        <v>424</v>
      </c>
      <c r="C3167" s="171">
        <v>45705</v>
      </c>
      <c r="D3167" s="172" t="s">
        <v>16</v>
      </c>
      <c r="E3167" s="140" t="s">
        <v>19</v>
      </c>
      <c r="F3167" s="140" t="s">
        <v>20</v>
      </c>
      <c r="G3167" s="140" t="s">
        <v>21</v>
      </c>
      <c r="H3167" s="140" t="s">
        <v>228</v>
      </c>
      <c r="I3167" s="140" t="s">
        <v>21</v>
      </c>
      <c r="J3167" s="174"/>
    </row>
    <row r="3168" hidden="1" customHeight="1" spans="1:10">
      <c r="A3168" s="140" t="s">
        <v>547</v>
      </c>
      <c r="B3168" s="140" t="s">
        <v>424</v>
      </c>
      <c r="C3168" s="171">
        <v>45706</v>
      </c>
      <c r="D3168" s="172" t="s">
        <v>17</v>
      </c>
      <c r="E3168" s="140" t="s">
        <v>19</v>
      </c>
      <c r="F3168" s="140" t="s">
        <v>46</v>
      </c>
      <c r="G3168" s="140" t="s">
        <v>21</v>
      </c>
      <c r="H3168" s="140" t="s">
        <v>427</v>
      </c>
      <c r="I3168" s="140" t="s">
        <v>21</v>
      </c>
      <c r="J3168" s="174"/>
    </row>
    <row r="3169" hidden="1" customHeight="1" spans="1:10">
      <c r="A3169" s="140" t="s">
        <v>547</v>
      </c>
      <c r="B3169" s="140" t="s">
        <v>424</v>
      </c>
      <c r="C3169" s="171">
        <v>45707</v>
      </c>
      <c r="D3169" s="172" t="s">
        <v>18</v>
      </c>
      <c r="E3169" s="140" t="s">
        <v>19</v>
      </c>
      <c r="F3169" s="140" t="s">
        <v>90</v>
      </c>
      <c r="G3169" s="140" t="s">
        <v>21</v>
      </c>
      <c r="H3169" s="140" t="s">
        <v>249</v>
      </c>
      <c r="I3169" s="140" t="s">
        <v>21</v>
      </c>
      <c r="J3169" s="174"/>
    </row>
    <row r="3170" customHeight="1" spans="1:10">
      <c r="A3170" s="140" t="s">
        <v>547</v>
      </c>
      <c r="B3170" s="140" t="s">
        <v>424</v>
      </c>
      <c r="C3170" s="171">
        <v>45708</v>
      </c>
      <c r="D3170" s="172" t="s">
        <v>23</v>
      </c>
      <c r="E3170" s="140" t="s">
        <v>19</v>
      </c>
      <c r="F3170" s="140" t="s">
        <v>14</v>
      </c>
      <c r="G3170" s="176" t="s">
        <v>68</v>
      </c>
      <c r="H3170" s="140" t="s">
        <v>205</v>
      </c>
      <c r="I3170" s="140" t="s">
        <v>21</v>
      </c>
      <c r="J3170" s="174" t="s">
        <v>93</v>
      </c>
    </row>
    <row r="3171" hidden="1" customHeight="1" spans="1:10">
      <c r="A3171" s="140" t="s">
        <v>547</v>
      </c>
      <c r="B3171" s="140" t="s">
        <v>424</v>
      </c>
      <c r="C3171" s="171">
        <v>45709</v>
      </c>
      <c r="D3171" s="172" t="s">
        <v>25</v>
      </c>
      <c r="E3171" s="140" t="s">
        <v>19</v>
      </c>
      <c r="F3171" s="140" t="s">
        <v>157</v>
      </c>
      <c r="G3171" s="140" t="s">
        <v>21</v>
      </c>
      <c r="H3171" s="140" t="s">
        <v>170</v>
      </c>
      <c r="I3171" s="140" t="s">
        <v>21</v>
      </c>
      <c r="J3171" s="174"/>
    </row>
    <row r="3172" hidden="1" customHeight="1" spans="1:10">
      <c r="A3172" s="140" t="s">
        <v>547</v>
      </c>
      <c r="B3172" s="140" t="s">
        <v>424</v>
      </c>
      <c r="C3172" s="171">
        <v>45710</v>
      </c>
      <c r="D3172" s="172" t="s">
        <v>27</v>
      </c>
      <c r="E3172" s="173" t="s">
        <v>13</v>
      </c>
      <c r="F3172" s="140" t="s">
        <v>14</v>
      </c>
      <c r="G3172" s="140" t="s">
        <v>14</v>
      </c>
      <c r="H3172" s="140" t="s">
        <v>14</v>
      </c>
      <c r="I3172" s="140" t="s">
        <v>14</v>
      </c>
      <c r="J3172" s="174"/>
    </row>
    <row r="3173" hidden="1" customHeight="1" spans="1:10">
      <c r="A3173" s="140" t="s">
        <v>547</v>
      </c>
      <c r="B3173" s="140" t="s">
        <v>424</v>
      </c>
      <c r="C3173" s="171">
        <v>45711</v>
      </c>
      <c r="D3173" s="172" t="s">
        <v>15</v>
      </c>
      <c r="E3173" s="173" t="s">
        <v>13</v>
      </c>
      <c r="F3173" s="140" t="s">
        <v>14</v>
      </c>
      <c r="G3173" s="140" t="s">
        <v>14</v>
      </c>
      <c r="H3173" s="140" t="s">
        <v>14</v>
      </c>
      <c r="I3173" s="140" t="s">
        <v>14</v>
      </c>
      <c r="J3173" s="174"/>
    </row>
    <row r="3174" hidden="1" customHeight="1" spans="1:10">
      <c r="A3174" s="140" t="s">
        <v>547</v>
      </c>
      <c r="B3174" s="140" t="s">
        <v>424</v>
      </c>
      <c r="C3174" s="171">
        <v>45712</v>
      </c>
      <c r="D3174" s="172" t="s">
        <v>16</v>
      </c>
      <c r="E3174" s="140" t="s">
        <v>19</v>
      </c>
      <c r="F3174" s="140" t="s">
        <v>209</v>
      </c>
      <c r="G3174" s="140" t="s">
        <v>21</v>
      </c>
      <c r="H3174" s="140" t="s">
        <v>200</v>
      </c>
      <c r="I3174" s="140" t="s">
        <v>21</v>
      </c>
      <c r="J3174" s="174"/>
    </row>
    <row r="3175" customHeight="1" spans="1:10">
      <c r="A3175" s="140" t="s">
        <v>547</v>
      </c>
      <c r="B3175" s="140" t="s">
        <v>424</v>
      </c>
      <c r="C3175" s="171">
        <v>45713</v>
      </c>
      <c r="D3175" s="172" t="s">
        <v>17</v>
      </c>
      <c r="E3175" s="140" t="s">
        <v>19</v>
      </c>
      <c r="F3175" s="140" t="s">
        <v>14</v>
      </c>
      <c r="G3175" s="176" t="s">
        <v>68</v>
      </c>
      <c r="H3175" s="140" t="s">
        <v>189</v>
      </c>
      <c r="I3175" s="140" t="s">
        <v>21</v>
      </c>
      <c r="J3175" s="174" t="s">
        <v>69</v>
      </c>
    </row>
    <row r="3176" hidden="1" customHeight="1" spans="1:10">
      <c r="A3176" s="140" t="s">
        <v>547</v>
      </c>
      <c r="B3176" s="140" t="s">
        <v>424</v>
      </c>
      <c r="C3176" s="171">
        <v>45714</v>
      </c>
      <c r="D3176" s="172" t="s">
        <v>18</v>
      </c>
      <c r="E3176" s="140" t="s">
        <v>19</v>
      </c>
      <c r="F3176" s="140" t="s">
        <v>90</v>
      </c>
      <c r="G3176" s="140" t="s">
        <v>21</v>
      </c>
      <c r="H3176" s="140" t="s">
        <v>178</v>
      </c>
      <c r="I3176" s="140" t="s">
        <v>21</v>
      </c>
      <c r="J3176" s="174"/>
    </row>
    <row r="3177" customHeight="1" spans="1:10">
      <c r="A3177" s="140" t="s">
        <v>547</v>
      </c>
      <c r="B3177" s="140" t="s">
        <v>424</v>
      </c>
      <c r="C3177" s="171">
        <v>45715</v>
      </c>
      <c r="D3177" s="172" t="s">
        <v>23</v>
      </c>
      <c r="E3177" s="140" t="s">
        <v>19</v>
      </c>
      <c r="F3177" s="140" t="s">
        <v>14</v>
      </c>
      <c r="G3177" s="176" t="s">
        <v>68</v>
      </c>
      <c r="H3177" s="140" t="s">
        <v>212</v>
      </c>
      <c r="I3177" s="140" t="s">
        <v>21</v>
      </c>
      <c r="J3177" s="174" t="s">
        <v>69</v>
      </c>
    </row>
    <row r="3178" hidden="1" customHeight="1" spans="1:10">
      <c r="A3178" s="140" t="s">
        <v>547</v>
      </c>
      <c r="B3178" s="140" t="s">
        <v>424</v>
      </c>
      <c r="C3178" s="171">
        <v>45716</v>
      </c>
      <c r="D3178" s="172" t="s">
        <v>25</v>
      </c>
      <c r="E3178" s="140" t="s">
        <v>19</v>
      </c>
      <c r="F3178" s="140" t="s">
        <v>20</v>
      </c>
      <c r="G3178" s="140" t="s">
        <v>21</v>
      </c>
      <c r="H3178" s="140" t="s">
        <v>212</v>
      </c>
      <c r="I3178" s="140" t="s">
        <v>21</v>
      </c>
      <c r="J3178" s="174"/>
    </row>
    <row r="3179" hidden="1" customHeight="1" spans="1:10">
      <c r="A3179" s="140" t="s">
        <v>549</v>
      </c>
      <c r="B3179" s="140" t="s">
        <v>550</v>
      </c>
      <c r="C3179" s="171">
        <v>45689</v>
      </c>
      <c r="D3179" s="172" t="s">
        <v>12</v>
      </c>
      <c r="E3179" s="173" t="s">
        <v>13</v>
      </c>
      <c r="F3179" s="140" t="s">
        <v>14</v>
      </c>
      <c r="G3179" s="140" t="s">
        <v>14</v>
      </c>
      <c r="H3179" s="140" t="s">
        <v>14</v>
      </c>
      <c r="I3179" s="140" t="s">
        <v>14</v>
      </c>
      <c r="J3179" s="174"/>
    </row>
    <row r="3180" hidden="1" customHeight="1" spans="1:10">
      <c r="A3180" s="140" t="s">
        <v>549</v>
      </c>
      <c r="B3180" s="140" t="s">
        <v>550</v>
      </c>
      <c r="C3180" s="171">
        <v>45690</v>
      </c>
      <c r="D3180" s="172" t="s">
        <v>15</v>
      </c>
      <c r="E3180" s="173" t="s">
        <v>13</v>
      </c>
      <c r="F3180" s="140" t="s">
        <v>14</v>
      </c>
      <c r="G3180" s="140" t="s">
        <v>14</v>
      </c>
      <c r="H3180" s="140" t="s">
        <v>14</v>
      </c>
      <c r="I3180" s="140" t="s">
        <v>14</v>
      </c>
      <c r="J3180" s="174"/>
    </row>
    <row r="3181" hidden="1" customHeight="1" spans="1:10">
      <c r="A3181" s="140" t="s">
        <v>549</v>
      </c>
      <c r="B3181" s="140" t="s">
        <v>550</v>
      </c>
      <c r="C3181" s="171">
        <v>45691</v>
      </c>
      <c r="D3181" s="172" t="s">
        <v>16</v>
      </c>
      <c r="E3181" s="173" t="s">
        <v>13</v>
      </c>
      <c r="F3181" s="140" t="s">
        <v>14</v>
      </c>
      <c r="G3181" s="140" t="s">
        <v>14</v>
      </c>
      <c r="H3181" s="140" t="s">
        <v>14</v>
      </c>
      <c r="I3181" s="140" t="s">
        <v>14</v>
      </c>
      <c r="J3181" s="174"/>
    </row>
    <row r="3182" hidden="1" customHeight="1" spans="1:10">
      <c r="A3182" s="140" t="s">
        <v>549</v>
      </c>
      <c r="B3182" s="140" t="s">
        <v>550</v>
      </c>
      <c r="C3182" s="171">
        <v>45692</v>
      </c>
      <c r="D3182" s="172" t="s">
        <v>17</v>
      </c>
      <c r="E3182" s="173" t="s">
        <v>13</v>
      </c>
      <c r="F3182" s="140" t="s">
        <v>14</v>
      </c>
      <c r="G3182" s="140" t="s">
        <v>14</v>
      </c>
      <c r="H3182" s="140" t="s">
        <v>14</v>
      </c>
      <c r="I3182" s="140" t="s">
        <v>14</v>
      </c>
      <c r="J3182" s="174"/>
    </row>
    <row r="3183" customHeight="1" spans="1:10">
      <c r="A3183" s="140" t="s">
        <v>549</v>
      </c>
      <c r="B3183" s="140" t="s">
        <v>550</v>
      </c>
      <c r="C3183" s="171">
        <v>45693</v>
      </c>
      <c r="D3183" s="172" t="s">
        <v>18</v>
      </c>
      <c r="E3183" s="140" t="s">
        <v>19</v>
      </c>
      <c r="F3183" s="140" t="s">
        <v>14</v>
      </c>
      <c r="G3183" s="176" t="s">
        <v>68</v>
      </c>
      <c r="H3183" s="140" t="s">
        <v>205</v>
      </c>
      <c r="I3183" s="140" t="s">
        <v>21</v>
      </c>
      <c r="J3183" s="174" t="s">
        <v>69</v>
      </c>
    </row>
    <row r="3184" hidden="1" customHeight="1" spans="1:10">
      <c r="A3184" s="140" t="s">
        <v>549</v>
      </c>
      <c r="B3184" s="140" t="s">
        <v>550</v>
      </c>
      <c r="C3184" s="171">
        <v>45694</v>
      </c>
      <c r="D3184" s="172" t="s">
        <v>23</v>
      </c>
      <c r="E3184" s="140" t="s">
        <v>19</v>
      </c>
      <c r="F3184" s="140" t="s">
        <v>157</v>
      </c>
      <c r="G3184" s="140" t="s">
        <v>21</v>
      </c>
      <c r="H3184" s="140" t="s">
        <v>551</v>
      </c>
      <c r="I3184" s="140" t="s">
        <v>21</v>
      </c>
      <c r="J3184" s="174"/>
    </row>
    <row r="3185" hidden="1" customHeight="1" spans="1:10">
      <c r="A3185" s="140" t="s">
        <v>549</v>
      </c>
      <c r="B3185" s="140" t="s">
        <v>550</v>
      </c>
      <c r="C3185" s="171">
        <v>45695</v>
      </c>
      <c r="D3185" s="172" t="s">
        <v>25</v>
      </c>
      <c r="E3185" s="140" t="s">
        <v>19</v>
      </c>
      <c r="F3185" s="140" t="s">
        <v>33</v>
      </c>
      <c r="G3185" s="140" t="s">
        <v>21</v>
      </c>
      <c r="H3185" s="140" t="s">
        <v>332</v>
      </c>
      <c r="I3185" s="140" t="s">
        <v>21</v>
      </c>
      <c r="J3185" s="174"/>
    </row>
    <row r="3186" hidden="1" customHeight="1" spans="1:10">
      <c r="A3186" s="140" t="s">
        <v>549</v>
      </c>
      <c r="B3186" s="140" t="s">
        <v>550</v>
      </c>
      <c r="C3186" s="171">
        <v>45696</v>
      </c>
      <c r="D3186" s="172" t="s">
        <v>27</v>
      </c>
      <c r="E3186" s="140" t="s">
        <v>19</v>
      </c>
      <c r="F3186" s="140" t="s">
        <v>43</v>
      </c>
      <c r="G3186" s="140" t="s">
        <v>21</v>
      </c>
      <c r="H3186" s="140" t="s">
        <v>54</v>
      </c>
      <c r="I3186" s="140" t="s">
        <v>21</v>
      </c>
      <c r="J3186" s="174"/>
    </row>
    <row r="3187" hidden="1" customHeight="1" spans="1:10">
      <c r="A3187" s="140" t="s">
        <v>549</v>
      </c>
      <c r="B3187" s="140" t="s">
        <v>550</v>
      </c>
      <c r="C3187" s="171">
        <v>45697</v>
      </c>
      <c r="D3187" s="172" t="s">
        <v>15</v>
      </c>
      <c r="E3187" s="173" t="s">
        <v>13</v>
      </c>
      <c r="F3187" s="140" t="s">
        <v>14</v>
      </c>
      <c r="G3187" s="140" t="s">
        <v>14</v>
      </c>
      <c r="H3187" s="140" t="s">
        <v>14</v>
      </c>
      <c r="I3187" s="140" t="s">
        <v>14</v>
      </c>
      <c r="J3187" s="174"/>
    </row>
    <row r="3188" hidden="1" customHeight="1" spans="1:10">
      <c r="A3188" s="140" t="s">
        <v>549</v>
      </c>
      <c r="B3188" s="140" t="s">
        <v>550</v>
      </c>
      <c r="C3188" s="171">
        <v>45698</v>
      </c>
      <c r="D3188" s="172" t="s">
        <v>16</v>
      </c>
      <c r="E3188" s="140" t="s">
        <v>19</v>
      </c>
      <c r="F3188" s="140" t="s">
        <v>36</v>
      </c>
      <c r="G3188" s="140" t="s">
        <v>21</v>
      </c>
      <c r="H3188" s="140" t="s">
        <v>552</v>
      </c>
      <c r="I3188" s="140" t="s">
        <v>21</v>
      </c>
      <c r="J3188" s="174"/>
    </row>
    <row r="3189" hidden="1" customHeight="1" spans="1:10">
      <c r="A3189" s="140" t="s">
        <v>549</v>
      </c>
      <c r="B3189" s="140" t="s">
        <v>550</v>
      </c>
      <c r="C3189" s="171">
        <v>45699</v>
      </c>
      <c r="D3189" s="172" t="s">
        <v>17</v>
      </c>
      <c r="E3189" s="140" t="s">
        <v>19</v>
      </c>
      <c r="F3189" s="140" t="s">
        <v>33</v>
      </c>
      <c r="G3189" s="140" t="s">
        <v>21</v>
      </c>
      <c r="H3189" s="140" t="s">
        <v>50</v>
      </c>
      <c r="I3189" s="140" t="s">
        <v>21</v>
      </c>
      <c r="J3189" s="174"/>
    </row>
    <row r="3190" hidden="1" customHeight="1" spans="1:10">
      <c r="A3190" s="140" t="s">
        <v>549</v>
      </c>
      <c r="B3190" s="140" t="s">
        <v>550</v>
      </c>
      <c r="C3190" s="171">
        <v>45700</v>
      </c>
      <c r="D3190" s="172" t="s">
        <v>18</v>
      </c>
      <c r="E3190" s="140" t="s">
        <v>19</v>
      </c>
      <c r="F3190" s="140" t="s">
        <v>28</v>
      </c>
      <c r="G3190" s="140" t="s">
        <v>21</v>
      </c>
      <c r="H3190" s="140" t="s">
        <v>184</v>
      </c>
      <c r="I3190" s="140" t="s">
        <v>21</v>
      </c>
      <c r="J3190" s="174"/>
    </row>
    <row r="3191" hidden="1" customHeight="1" spans="1:10">
      <c r="A3191" s="140" t="s">
        <v>549</v>
      </c>
      <c r="B3191" s="140" t="s">
        <v>550</v>
      </c>
      <c r="C3191" s="171">
        <v>45701</v>
      </c>
      <c r="D3191" s="172" t="s">
        <v>23</v>
      </c>
      <c r="E3191" s="140" t="s">
        <v>19</v>
      </c>
      <c r="F3191" s="140" t="s">
        <v>33</v>
      </c>
      <c r="G3191" s="140" t="s">
        <v>21</v>
      </c>
      <c r="H3191" s="140" t="s">
        <v>73</v>
      </c>
      <c r="I3191" s="140" t="s">
        <v>21</v>
      </c>
      <c r="J3191" s="174"/>
    </row>
    <row r="3192" hidden="1" customHeight="1" spans="1:10">
      <c r="A3192" s="140" t="s">
        <v>549</v>
      </c>
      <c r="B3192" s="140" t="s">
        <v>550</v>
      </c>
      <c r="C3192" s="171">
        <v>45702</v>
      </c>
      <c r="D3192" s="172" t="s">
        <v>25</v>
      </c>
      <c r="E3192" s="140" t="s">
        <v>19</v>
      </c>
      <c r="F3192" s="140" t="s">
        <v>36</v>
      </c>
      <c r="G3192" s="140" t="s">
        <v>21</v>
      </c>
      <c r="H3192" s="140" t="s">
        <v>553</v>
      </c>
      <c r="I3192" s="140" t="s">
        <v>21</v>
      </c>
      <c r="J3192" s="174"/>
    </row>
    <row r="3193" hidden="1" customHeight="1" spans="1:10">
      <c r="A3193" s="140" t="s">
        <v>549</v>
      </c>
      <c r="B3193" s="140" t="s">
        <v>550</v>
      </c>
      <c r="C3193" s="171">
        <v>45703</v>
      </c>
      <c r="D3193" s="172" t="s">
        <v>27</v>
      </c>
      <c r="E3193" s="173" t="s">
        <v>13</v>
      </c>
      <c r="F3193" s="140" t="s">
        <v>14</v>
      </c>
      <c r="G3193" s="140" t="s">
        <v>14</v>
      </c>
      <c r="H3193" s="140" t="s">
        <v>14</v>
      </c>
      <c r="I3193" s="140" t="s">
        <v>14</v>
      </c>
      <c r="J3193" s="174"/>
    </row>
    <row r="3194" hidden="1" customHeight="1" spans="1:10">
      <c r="A3194" s="140" t="s">
        <v>549</v>
      </c>
      <c r="B3194" s="140" t="s">
        <v>550</v>
      </c>
      <c r="C3194" s="171">
        <v>45704</v>
      </c>
      <c r="D3194" s="172" t="s">
        <v>15</v>
      </c>
      <c r="E3194" s="173" t="s">
        <v>13</v>
      </c>
      <c r="F3194" s="140" t="s">
        <v>14</v>
      </c>
      <c r="G3194" s="140" t="s">
        <v>14</v>
      </c>
      <c r="H3194" s="140" t="s">
        <v>14</v>
      </c>
      <c r="I3194" s="140" t="s">
        <v>14</v>
      </c>
      <c r="J3194" s="174"/>
    </row>
    <row r="3195" hidden="1" customHeight="1" spans="1:10">
      <c r="A3195" s="140" t="s">
        <v>549</v>
      </c>
      <c r="B3195" s="140" t="s">
        <v>550</v>
      </c>
      <c r="C3195" s="171">
        <v>45705</v>
      </c>
      <c r="D3195" s="172" t="s">
        <v>16</v>
      </c>
      <c r="E3195" s="140" t="s">
        <v>19</v>
      </c>
      <c r="F3195" s="140" t="s">
        <v>33</v>
      </c>
      <c r="G3195" s="140" t="s">
        <v>21</v>
      </c>
      <c r="H3195" s="140" t="s">
        <v>87</v>
      </c>
      <c r="I3195" s="140" t="s">
        <v>21</v>
      </c>
      <c r="J3195" s="174"/>
    </row>
    <row r="3196" hidden="1" customHeight="1" spans="1:10">
      <c r="A3196" s="140" t="s">
        <v>549</v>
      </c>
      <c r="B3196" s="140" t="s">
        <v>550</v>
      </c>
      <c r="C3196" s="171">
        <v>45706</v>
      </c>
      <c r="D3196" s="172" t="s">
        <v>17</v>
      </c>
      <c r="E3196" s="140" t="s">
        <v>19</v>
      </c>
      <c r="F3196" s="140" t="s">
        <v>146</v>
      </c>
      <c r="G3196" s="140" t="s">
        <v>21</v>
      </c>
      <c r="H3196" s="140" t="s">
        <v>304</v>
      </c>
      <c r="I3196" s="140" t="s">
        <v>21</v>
      </c>
      <c r="J3196" s="174"/>
    </row>
    <row r="3197" hidden="1" customHeight="1" spans="1:10">
      <c r="A3197" s="140" t="s">
        <v>549</v>
      </c>
      <c r="B3197" s="140" t="s">
        <v>550</v>
      </c>
      <c r="C3197" s="171">
        <v>45707</v>
      </c>
      <c r="D3197" s="172" t="s">
        <v>18</v>
      </c>
      <c r="E3197" s="140" t="s">
        <v>19</v>
      </c>
      <c r="F3197" s="140" t="s">
        <v>33</v>
      </c>
      <c r="G3197" s="140" t="s">
        <v>21</v>
      </c>
      <c r="H3197" s="140" t="s">
        <v>340</v>
      </c>
      <c r="I3197" s="140" t="s">
        <v>21</v>
      </c>
      <c r="J3197" s="174"/>
    </row>
    <row r="3198" hidden="1" customHeight="1" spans="1:10">
      <c r="A3198" s="140" t="s">
        <v>549</v>
      </c>
      <c r="B3198" s="140" t="s">
        <v>550</v>
      </c>
      <c r="C3198" s="171">
        <v>45708</v>
      </c>
      <c r="D3198" s="172" t="s">
        <v>23</v>
      </c>
      <c r="E3198" s="140" t="s">
        <v>19</v>
      </c>
      <c r="F3198" s="140" t="s">
        <v>46</v>
      </c>
      <c r="G3198" s="140" t="s">
        <v>21</v>
      </c>
      <c r="H3198" s="140" t="s">
        <v>145</v>
      </c>
      <c r="I3198" s="140" t="s">
        <v>21</v>
      </c>
      <c r="J3198" s="174"/>
    </row>
    <row r="3199" hidden="1" customHeight="1" spans="1:10">
      <c r="A3199" s="140" t="s">
        <v>549</v>
      </c>
      <c r="B3199" s="140" t="s">
        <v>550</v>
      </c>
      <c r="C3199" s="171">
        <v>45709</v>
      </c>
      <c r="D3199" s="172" t="s">
        <v>25</v>
      </c>
      <c r="E3199" s="140" t="s">
        <v>19</v>
      </c>
      <c r="F3199" s="140" t="s">
        <v>36</v>
      </c>
      <c r="G3199" s="140" t="s">
        <v>21</v>
      </c>
      <c r="H3199" s="140" t="s">
        <v>554</v>
      </c>
      <c r="I3199" s="140" t="s">
        <v>21</v>
      </c>
      <c r="J3199" s="174"/>
    </row>
    <row r="3200" hidden="1" customHeight="1" spans="1:10">
      <c r="A3200" s="140" t="s">
        <v>549</v>
      </c>
      <c r="B3200" s="140" t="s">
        <v>550</v>
      </c>
      <c r="C3200" s="171">
        <v>45710</v>
      </c>
      <c r="D3200" s="172" t="s">
        <v>27</v>
      </c>
      <c r="E3200" s="140" t="s">
        <v>13</v>
      </c>
      <c r="F3200" s="140" t="s">
        <v>14</v>
      </c>
      <c r="G3200" s="140" t="s">
        <v>14</v>
      </c>
      <c r="H3200" s="140" t="s">
        <v>14</v>
      </c>
      <c r="I3200" s="140" t="s">
        <v>14</v>
      </c>
      <c r="J3200" s="174"/>
    </row>
    <row r="3201" hidden="1" customHeight="1" spans="1:10">
      <c r="A3201" s="140" t="s">
        <v>549</v>
      </c>
      <c r="B3201" s="140" t="s">
        <v>550</v>
      </c>
      <c r="C3201" s="171">
        <v>45711</v>
      </c>
      <c r="D3201" s="172" t="s">
        <v>15</v>
      </c>
      <c r="E3201" s="140" t="s">
        <v>13</v>
      </c>
      <c r="F3201" s="140" t="s">
        <v>14</v>
      </c>
      <c r="G3201" s="140" t="s">
        <v>14</v>
      </c>
      <c r="H3201" s="140" t="s">
        <v>14</v>
      </c>
      <c r="I3201" s="140" t="s">
        <v>14</v>
      </c>
      <c r="J3201" s="174"/>
    </row>
    <row r="3202" hidden="1" customHeight="1" spans="1:10">
      <c r="A3202" s="140" t="s">
        <v>549</v>
      </c>
      <c r="B3202" s="140" t="s">
        <v>550</v>
      </c>
      <c r="C3202" s="171">
        <v>45712</v>
      </c>
      <c r="D3202" s="172" t="s">
        <v>16</v>
      </c>
      <c r="E3202" s="140" t="s">
        <v>19</v>
      </c>
      <c r="F3202" s="140" t="s">
        <v>51</v>
      </c>
      <c r="G3202" s="140" t="s">
        <v>21</v>
      </c>
      <c r="H3202" s="140" t="s">
        <v>99</v>
      </c>
      <c r="I3202" s="140" t="s">
        <v>21</v>
      </c>
      <c r="J3202" s="174"/>
    </row>
    <row r="3203" hidden="1" customHeight="1" spans="1:10">
      <c r="A3203" s="140" t="s">
        <v>549</v>
      </c>
      <c r="B3203" s="140" t="s">
        <v>550</v>
      </c>
      <c r="C3203" s="171">
        <v>45713</v>
      </c>
      <c r="D3203" s="172" t="s">
        <v>17</v>
      </c>
      <c r="E3203" s="140" t="s">
        <v>19</v>
      </c>
      <c r="F3203" s="140" t="s">
        <v>36</v>
      </c>
      <c r="G3203" s="140" t="s">
        <v>21</v>
      </c>
      <c r="H3203" s="140" t="s">
        <v>53</v>
      </c>
      <c r="I3203" s="140" t="s">
        <v>21</v>
      </c>
      <c r="J3203" s="174"/>
    </row>
    <row r="3204" hidden="1" customHeight="1" spans="1:10">
      <c r="A3204" s="140" t="s">
        <v>549</v>
      </c>
      <c r="B3204" s="140" t="s">
        <v>550</v>
      </c>
      <c r="C3204" s="171">
        <v>45714</v>
      </c>
      <c r="D3204" s="172" t="s">
        <v>18</v>
      </c>
      <c r="E3204" s="140" t="s">
        <v>19</v>
      </c>
      <c r="F3204" s="140" t="s">
        <v>157</v>
      </c>
      <c r="G3204" s="140" t="s">
        <v>21</v>
      </c>
      <c r="H3204" s="140" t="s">
        <v>192</v>
      </c>
      <c r="I3204" s="140" t="s">
        <v>21</v>
      </c>
      <c r="J3204" s="174"/>
    </row>
    <row r="3205" hidden="1" customHeight="1" spans="1:10">
      <c r="A3205" s="140" t="s">
        <v>549</v>
      </c>
      <c r="B3205" s="140" t="s">
        <v>550</v>
      </c>
      <c r="C3205" s="171">
        <v>45715</v>
      </c>
      <c r="D3205" s="172" t="s">
        <v>23</v>
      </c>
      <c r="E3205" s="140" t="s">
        <v>19</v>
      </c>
      <c r="F3205" s="140" t="s">
        <v>33</v>
      </c>
      <c r="G3205" s="140" t="s">
        <v>21</v>
      </c>
      <c r="H3205" s="140" t="s">
        <v>555</v>
      </c>
      <c r="I3205" s="140" t="s">
        <v>21</v>
      </c>
      <c r="J3205" s="174"/>
    </row>
    <row r="3206" hidden="1" customHeight="1" spans="1:10">
      <c r="A3206" s="140" t="s">
        <v>549</v>
      </c>
      <c r="B3206" s="140" t="s">
        <v>550</v>
      </c>
      <c r="C3206" s="171">
        <v>45716</v>
      </c>
      <c r="D3206" s="172" t="s">
        <v>25</v>
      </c>
      <c r="E3206" s="140" t="s">
        <v>19</v>
      </c>
      <c r="F3206" s="140" t="s">
        <v>36</v>
      </c>
      <c r="G3206" s="140" t="s">
        <v>21</v>
      </c>
      <c r="H3206" s="140" t="s">
        <v>556</v>
      </c>
      <c r="I3206" s="140" t="s">
        <v>21</v>
      </c>
      <c r="J3206" s="174"/>
    </row>
    <row r="3207" hidden="1" customHeight="1" spans="1:10">
      <c r="A3207" s="140" t="s">
        <v>557</v>
      </c>
      <c r="B3207" s="140" t="s">
        <v>149</v>
      </c>
      <c r="C3207" s="171">
        <v>45689</v>
      </c>
      <c r="D3207" s="172" t="s">
        <v>12</v>
      </c>
      <c r="E3207" s="140" t="s">
        <v>13</v>
      </c>
      <c r="F3207" s="140" t="s">
        <v>14</v>
      </c>
      <c r="G3207" s="140" t="s">
        <v>14</v>
      </c>
      <c r="H3207" s="140" t="s">
        <v>14</v>
      </c>
      <c r="I3207" s="140" t="s">
        <v>14</v>
      </c>
      <c r="J3207" s="174"/>
    </row>
    <row r="3208" hidden="1" customHeight="1" spans="1:10">
      <c r="A3208" s="140" t="s">
        <v>557</v>
      </c>
      <c r="B3208" s="140" t="s">
        <v>149</v>
      </c>
      <c r="C3208" s="171">
        <v>45690</v>
      </c>
      <c r="D3208" s="172" t="s">
        <v>15</v>
      </c>
      <c r="E3208" s="140" t="s">
        <v>13</v>
      </c>
      <c r="F3208" s="140" t="s">
        <v>14</v>
      </c>
      <c r="G3208" s="140" t="s">
        <v>14</v>
      </c>
      <c r="H3208" s="140" t="s">
        <v>14</v>
      </c>
      <c r="I3208" s="140" t="s">
        <v>14</v>
      </c>
      <c r="J3208" s="174"/>
    </row>
    <row r="3209" hidden="1" customHeight="1" spans="1:10">
      <c r="A3209" s="140" t="s">
        <v>557</v>
      </c>
      <c r="B3209" s="140" t="s">
        <v>149</v>
      </c>
      <c r="C3209" s="171">
        <v>45691</v>
      </c>
      <c r="D3209" s="172" t="s">
        <v>16</v>
      </c>
      <c r="E3209" s="140" t="s">
        <v>13</v>
      </c>
      <c r="F3209" s="140" t="s">
        <v>14</v>
      </c>
      <c r="G3209" s="140" t="s">
        <v>14</v>
      </c>
      <c r="H3209" s="140" t="s">
        <v>14</v>
      </c>
      <c r="I3209" s="140" t="s">
        <v>14</v>
      </c>
      <c r="J3209" s="174"/>
    </row>
    <row r="3210" hidden="1" customHeight="1" spans="1:10">
      <c r="A3210" s="140" t="s">
        <v>557</v>
      </c>
      <c r="B3210" s="140" t="s">
        <v>149</v>
      </c>
      <c r="C3210" s="171">
        <v>45692</v>
      </c>
      <c r="D3210" s="172" t="s">
        <v>17</v>
      </c>
      <c r="E3210" s="140" t="s">
        <v>13</v>
      </c>
      <c r="F3210" s="140" t="s">
        <v>14</v>
      </c>
      <c r="G3210" s="140" t="s">
        <v>14</v>
      </c>
      <c r="H3210" s="140" t="s">
        <v>14</v>
      </c>
      <c r="I3210" s="140" t="s">
        <v>14</v>
      </c>
      <c r="J3210" s="174"/>
    </row>
    <row r="3211" customHeight="1" spans="1:10">
      <c r="A3211" s="140" t="s">
        <v>557</v>
      </c>
      <c r="B3211" s="140" t="s">
        <v>149</v>
      </c>
      <c r="C3211" s="171">
        <v>45693</v>
      </c>
      <c r="D3211" s="172" t="s">
        <v>18</v>
      </c>
      <c r="E3211" s="140" t="s">
        <v>19</v>
      </c>
      <c r="F3211" s="140" t="s">
        <v>14</v>
      </c>
      <c r="G3211" s="173" t="s">
        <v>68</v>
      </c>
      <c r="H3211" s="140" t="s">
        <v>14</v>
      </c>
      <c r="I3211" s="173" t="s">
        <v>68</v>
      </c>
      <c r="J3211" s="174" t="s">
        <v>234</v>
      </c>
    </row>
    <row r="3212" customHeight="1" spans="1:10">
      <c r="A3212" s="140" t="s">
        <v>557</v>
      </c>
      <c r="B3212" s="140" t="s">
        <v>149</v>
      </c>
      <c r="C3212" s="171">
        <v>45694</v>
      </c>
      <c r="D3212" s="172" t="s">
        <v>23</v>
      </c>
      <c r="E3212" s="140" t="s">
        <v>19</v>
      </c>
      <c r="F3212" s="140" t="s">
        <v>188</v>
      </c>
      <c r="G3212" s="140" t="s">
        <v>21</v>
      </c>
      <c r="H3212" s="140" t="s">
        <v>14</v>
      </c>
      <c r="I3212" s="173" t="s">
        <v>68</v>
      </c>
      <c r="J3212" s="174" t="s">
        <v>558</v>
      </c>
    </row>
    <row r="3213" customHeight="1" spans="1:10">
      <c r="A3213" s="140" t="s">
        <v>557</v>
      </c>
      <c r="B3213" s="140" t="s">
        <v>149</v>
      </c>
      <c r="C3213" s="171">
        <v>45695</v>
      </c>
      <c r="D3213" s="172" t="s">
        <v>25</v>
      </c>
      <c r="E3213" s="140" t="s">
        <v>19</v>
      </c>
      <c r="F3213" s="140" t="s">
        <v>14</v>
      </c>
      <c r="G3213" s="173" t="s">
        <v>68</v>
      </c>
      <c r="H3213" s="140" t="s">
        <v>372</v>
      </c>
      <c r="I3213" s="140" t="s">
        <v>21</v>
      </c>
      <c r="J3213" s="174" t="s">
        <v>136</v>
      </c>
    </row>
    <row r="3214" hidden="1" customHeight="1" spans="1:10">
      <c r="A3214" s="140" t="s">
        <v>557</v>
      </c>
      <c r="B3214" s="140" t="s">
        <v>149</v>
      </c>
      <c r="C3214" s="171">
        <v>45696</v>
      </c>
      <c r="D3214" s="172" t="s">
        <v>27</v>
      </c>
      <c r="E3214" s="140" t="s">
        <v>19</v>
      </c>
      <c r="F3214" s="140" t="s">
        <v>51</v>
      </c>
      <c r="G3214" s="140" t="s">
        <v>21</v>
      </c>
      <c r="H3214" s="140" t="s">
        <v>249</v>
      </c>
      <c r="I3214" s="140" t="s">
        <v>21</v>
      </c>
      <c r="J3214" s="174"/>
    </row>
    <row r="3215" hidden="1" customHeight="1" spans="1:10">
      <c r="A3215" s="140" t="s">
        <v>557</v>
      </c>
      <c r="B3215" s="140" t="s">
        <v>149</v>
      </c>
      <c r="C3215" s="171">
        <v>45697</v>
      </c>
      <c r="D3215" s="172" t="s">
        <v>15</v>
      </c>
      <c r="E3215" s="140" t="s">
        <v>13</v>
      </c>
      <c r="F3215" s="140" t="s">
        <v>14</v>
      </c>
      <c r="G3215" s="140" t="s">
        <v>14</v>
      </c>
      <c r="H3215" s="140" t="s">
        <v>14</v>
      </c>
      <c r="I3215" s="140" t="s">
        <v>14</v>
      </c>
      <c r="J3215" s="174"/>
    </row>
    <row r="3216" hidden="1" customHeight="1" spans="1:10">
      <c r="A3216" s="140" t="s">
        <v>557</v>
      </c>
      <c r="B3216" s="140" t="s">
        <v>149</v>
      </c>
      <c r="C3216" s="171">
        <v>45698</v>
      </c>
      <c r="D3216" s="172" t="s">
        <v>16</v>
      </c>
      <c r="E3216" s="140" t="s">
        <v>19</v>
      </c>
      <c r="F3216" s="140" t="s">
        <v>51</v>
      </c>
      <c r="G3216" s="140" t="s">
        <v>21</v>
      </c>
      <c r="H3216" s="140" t="s">
        <v>462</v>
      </c>
      <c r="I3216" s="140" t="s">
        <v>21</v>
      </c>
      <c r="J3216" s="174"/>
    </row>
    <row r="3217" hidden="1" customHeight="1" spans="1:10">
      <c r="A3217" s="140" t="s">
        <v>557</v>
      </c>
      <c r="B3217" s="140" t="s">
        <v>149</v>
      </c>
      <c r="C3217" s="171">
        <v>45699</v>
      </c>
      <c r="D3217" s="172" t="s">
        <v>17</v>
      </c>
      <c r="E3217" s="140" t="s">
        <v>19</v>
      </c>
      <c r="F3217" s="140" t="s">
        <v>157</v>
      </c>
      <c r="G3217" s="140" t="s">
        <v>21</v>
      </c>
      <c r="H3217" s="140" t="s">
        <v>199</v>
      </c>
      <c r="I3217" s="140" t="s">
        <v>21</v>
      </c>
      <c r="J3217" s="174"/>
    </row>
    <row r="3218" hidden="1" customHeight="1" spans="1:10">
      <c r="A3218" s="140" t="s">
        <v>557</v>
      </c>
      <c r="B3218" s="140" t="s">
        <v>149</v>
      </c>
      <c r="C3218" s="171">
        <v>45700</v>
      </c>
      <c r="D3218" s="172" t="s">
        <v>18</v>
      </c>
      <c r="E3218" s="140" t="s">
        <v>19</v>
      </c>
      <c r="F3218" s="140" t="s">
        <v>157</v>
      </c>
      <c r="G3218" s="140" t="s">
        <v>21</v>
      </c>
      <c r="H3218" s="140" t="s">
        <v>241</v>
      </c>
      <c r="I3218" s="140" t="s">
        <v>21</v>
      </c>
      <c r="J3218" s="174"/>
    </row>
    <row r="3219" hidden="1" customHeight="1" spans="1:10">
      <c r="A3219" s="140" t="s">
        <v>557</v>
      </c>
      <c r="B3219" s="140" t="s">
        <v>149</v>
      </c>
      <c r="C3219" s="171">
        <v>45701</v>
      </c>
      <c r="D3219" s="172" t="s">
        <v>23</v>
      </c>
      <c r="E3219" s="140" t="s">
        <v>19</v>
      </c>
      <c r="F3219" s="140" t="s">
        <v>157</v>
      </c>
      <c r="G3219" s="140" t="s">
        <v>21</v>
      </c>
      <c r="H3219" s="140" t="s">
        <v>73</v>
      </c>
      <c r="I3219" s="140" t="s">
        <v>21</v>
      </c>
      <c r="J3219" s="174"/>
    </row>
    <row r="3220" hidden="1" customHeight="1" spans="1:10">
      <c r="A3220" s="140" t="s">
        <v>557</v>
      </c>
      <c r="B3220" s="140" t="s">
        <v>149</v>
      </c>
      <c r="C3220" s="171">
        <v>45702</v>
      </c>
      <c r="D3220" s="172" t="s">
        <v>25</v>
      </c>
      <c r="E3220" s="140" t="s">
        <v>19</v>
      </c>
      <c r="F3220" s="140" t="s">
        <v>28</v>
      </c>
      <c r="G3220" s="140" t="s">
        <v>21</v>
      </c>
      <c r="H3220" s="140" t="s">
        <v>212</v>
      </c>
      <c r="I3220" s="140" t="s">
        <v>21</v>
      </c>
      <c r="J3220" s="174"/>
    </row>
    <row r="3221" hidden="1" customHeight="1" spans="1:10">
      <c r="A3221" s="140" t="s">
        <v>557</v>
      </c>
      <c r="B3221" s="140" t="s">
        <v>149</v>
      </c>
      <c r="C3221" s="171">
        <v>45703</v>
      </c>
      <c r="D3221" s="172" t="s">
        <v>27</v>
      </c>
      <c r="E3221" s="140" t="s">
        <v>13</v>
      </c>
      <c r="F3221" s="140" t="s">
        <v>14</v>
      </c>
      <c r="G3221" s="140" t="s">
        <v>14</v>
      </c>
      <c r="H3221" s="140" t="s">
        <v>14</v>
      </c>
      <c r="I3221" s="140" t="s">
        <v>14</v>
      </c>
      <c r="J3221" s="174"/>
    </row>
    <row r="3222" hidden="1" customHeight="1" spans="1:10">
      <c r="A3222" s="140" t="s">
        <v>557</v>
      </c>
      <c r="B3222" s="140" t="s">
        <v>149</v>
      </c>
      <c r="C3222" s="171">
        <v>45704</v>
      </c>
      <c r="D3222" s="172" t="s">
        <v>15</v>
      </c>
      <c r="E3222" s="140" t="s">
        <v>13</v>
      </c>
      <c r="F3222" s="140" t="s">
        <v>14</v>
      </c>
      <c r="G3222" s="140" t="s">
        <v>14</v>
      </c>
      <c r="H3222" s="140" t="s">
        <v>14</v>
      </c>
      <c r="I3222" s="140" t="s">
        <v>14</v>
      </c>
      <c r="J3222" s="174"/>
    </row>
    <row r="3223" hidden="1" customHeight="1" spans="1:10">
      <c r="A3223" s="140" t="s">
        <v>557</v>
      </c>
      <c r="B3223" s="140" t="s">
        <v>149</v>
      </c>
      <c r="C3223" s="171">
        <v>45705</v>
      </c>
      <c r="D3223" s="172" t="s">
        <v>16</v>
      </c>
      <c r="E3223" s="140" t="s">
        <v>19</v>
      </c>
      <c r="F3223" s="140" t="s">
        <v>51</v>
      </c>
      <c r="G3223" s="140" t="s">
        <v>21</v>
      </c>
      <c r="H3223" s="140" t="s">
        <v>35</v>
      </c>
      <c r="I3223" s="140" t="s">
        <v>21</v>
      </c>
      <c r="J3223" s="174"/>
    </row>
    <row r="3224" hidden="1" customHeight="1" spans="1:10">
      <c r="A3224" s="140" t="s">
        <v>557</v>
      </c>
      <c r="B3224" s="140" t="s">
        <v>149</v>
      </c>
      <c r="C3224" s="171">
        <v>45706</v>
      </c>
      <c r="D3224" s="172" t="s">
        <v>17</v>
      </c>
      <c r="E3224" s="140" t="s">
        <v>19</v>
      </c>
      <c r="F3224" s="140" t="s">
        <v>30</v>
      </c>
      <c r="G3224" s="140" t="s">
        <v>21</v>
      </c>
      <c r="H3224" s="140" t="s">
        <v>387</v>
      </c>
      <c r="I3224" s="140" t="s">
        <v>21</v>
      </c>
      <c r="J3224" s="174"/>
    </row>
    <row r="3225" hidden="1" customHeight="1" spans="1:10">
      <c r="A3225" s="140" t="s">
        <v>557</v>
      </c>
      <c r="B3225" s="140" t="s">
        <v>149</v>
      </c>
      <c r="C3225" s="171">
        <v>45707</v>
      </c>
      <c r="D3225" s="172" t="s">
        <v>18</v>
      </c>
      <c r="E3225" s="140" t="s">
        <v>19</v>
      </c>
      <c r="F3225" s="140" t="s">
        <v>51</v>
      </c>
      <c r="G3225" s="140" t="s">
        <v>21</v>
      </c>
      <c r="H3225" s="140" t="s">
        <v>232</v>
      </c>
      <c r="I3225" s="140" t="s">
        <v>21</v>
      </c>
      <c r="J3225" s="174"/>
    </row>
    <row r="3226" hidden="1" customHeight="1" spans="1:10">
      <c r="A3226" s="140" t="s">
        <v>557</v>
      </c>
      <c r="B3226" s="140" t="s">
        <v>149</v>
      </c>
      <c r="C3226" s="171">
        <v>45708</v>
      </c>
      <c r="D3226" s="172" t="s">
        <v>23</v>
      </c>
      <c r="E3226" s="140" t="s">
        <v>19</v>
      </c>
      <c r="F3226" s="140" t="s">
        <v>28</v>
      </c>
      <c r="G3226" s="140" t="s">
        <v>21</v>
      </c>
      <c r="H3226" s="140" t="s">
        <v>147</v>
      </c>
      <c r="I3226" s="140" t="s">
        <v>21</v>
      </c>
      <c r="J3226" s="174"/>
    </row>
    <row r="3227" hidden="1" customHeight="1" spans="1:10">
      <c r="A3227" s="140" t="s">
        <v>557</v>
      </c>
      <c r="B3227" s="140" t="s">
        <v>149</v>
      </c>
      <c r="C3227" s="171">
        <v>45709</v>
      </c>
      <c r="D3227" s="172" t="s">
        <v>25</v>
      </c>
      <c r="E3227" s="140" t="s">
        <v>19</v>
      </c>
      <c r="F3227" s="140" t="s">
        <v>209</v>
      </c>
      <c r="G3227" s="140" t="s">
        <v>21</v>
      </c>
      <c r="H3227" s="140" t="s">
        <v>122</v>
      </c>
      <c r="I3227" s="140" t="s">
        <v>21</v>
      </c>
      <c r="J3227" s="174"/>
    </row>
    <row r="3228" hidden="1" customHeight="1" spans="1:10">
      <c r="A3228" s="140" t="s">
        <v>557</v>
      </c>
      <c r="B3228" s="140" t="s">
        <v>149</v>
      </c>
      <c r="C3228" s="171">
        <v>45710</v>
      </c>
      <c r="D3228" s="172" t="s">
        <v>27</v>
      </c>
      <c r="E3228" s="140" t="s">
        <v>13</v>
      </c>
      <c r="F3228" s="140" t="s">
        <v>14</v>
      </c>
      <c r="G3228" s="140" t="s">
        <v>14</v>
      </c>
      <c r="H3228" s="140" t="s">
        <v>14</v>
      </c>
      <c r="I3228" s="140" t="s">
        <v>14</v>
      </c>
      <c r="J3228" s="174"/>
    </row>
    <row r="3229" hidden="1" customHeight="1" spans="1:10">
      <c r="A3229" s="140" t="s">
        <v>557</v>
      </c>
      <c r="B3229" s="140" t="s">
        <v>149</v>
      </c>
      <c r="C3229" s="171">
        <v>45711</v>
      </c>
      <c r="D3229" s="172" t="s">
        <v>15</v>
      </c>
      <c r="E3229" s="140" t="s">
        <v>13</v>
      </c>
      <c r="F3229" s="140" t="s">
        <v>14</v>
      </c>
      <c r="G3229" s="140" t="s">
        <v>14</v>
      </c>
      <c r="H3229" s="140" t="s">
        <v>14</v>
      </c>
      <c r="I3229" s="140" t="s">
        <v>14</v>
      </c>
      <c r="J3229" s="174"/>
    </row>
    <row r="3230" hidden="1" customHeight="1" spans="1:10">
      <c r="A3230" s="140" t="s">
        <v>557</v>
      </c>
      <c r="B3230" s="140" t="s">
        <v>149</v>
      </c>
      <c r="C3230" s="171">
        <v>45712</v>
      </c>
      <c r="D3230" s="172" t="s">
        <v>16</v>
      </c>
      <c r="E3230" s="140" t="s">
        <v>19</v>
      </c>
      <c r="F3230" s="140" t="s">
        <v>36</v>
      </c>
      <c r="G3230" s="140" t="s">
        <v>21</v>
      </c>
      <c r="H3230" s="140" t="s">
        <v>89</v>
      </c>
      <c r="I3230" s="140" t="s">
        <v>21</v>
      </c>
      <c r="J3230" s="174"/>
    </row>
    <row r="3231" hidden="1" customHeight="1" spans="1:10">
      <c r="A3231" s="140" t="s">
        <v>557</v>
      </c>
      <c r="B3231" s="140" t="s">
        <v>149</v>
      </c>
      <c r="C3231" s="171">
        <v>45713</v>
      </c>
      <c r="D3231" s="172" t="s">
        <v>17</v>
      </c>
      <c r="E3231" s="140" t="s">
        <v>19</v>
      </c>
      <c r="F3231" s="140" t="s">
        <v>28</v>
      </c>
      <c r="G3231" s="140" t="s">
        <v>21</v>
      </c>
      <c r="H3231" s="140" t="s">
        <v>522</v>
      </c>
      <c r="I3231" s="140" t="s">
        <v>21</v>
      </c>
      <c r="J3231" s="174"/>
    </row>
    <row r="3232" hidden="1" customHeight="1" spans="1:10">
      <c r="A3232" s="140" t="s">
        <v>557</v>
      </c>
      <c r="B3232" s="140" t="s">
        <v>149</v>
      </c>
      <c r="C3232" s="171">
        <v>45714</v>
      </c>
      <c r="D3232" s="172" t="s">
        <v>18</v>
      </c>
      <c r="E3232" s="140" t="s">
        <v>19</v>
      </c>
      <c r="F3232" s="140" t="s">
        <v>154</v>
      </c>
      <c r="G3232" s="140" t="s">
        <v>21</v>
      </c>
      <c r="H3232" s="140" t="s">
        <v>235</v>
      </c>
      <c r="I3232" s="140" t="s">
        <v>21</v>
      </c>
      <c r="J3232" s="174"/>
    </row>
    <row r="3233" customHeight="1" spans="1:10">
      <c r="A3233" s="140" t="s">
        <v>557</v>
      </c>
      <c r="B3233" s="140" t="s">
        <v>149</v>
      </c>
      <c r="C3233" s="171">
        <v>45715</v>
      </c>
      <c r="D3233" s="172" t="s">
        <v>23</v>
      </c>
      <c r="E3233" s="140" t="s">
        <v>19</v>
      </c>
      <c r="F3233" s="140" t="s">
        <v>14</v>
      </c>
      <c r="G3233" s="173" t="s">
        <v>68</v>
      </c>
      <c r="H3233" s="140" t="s">
        <v>477</v>
      </c>
      <c r="I3233" s="140" t="s">
        <v>21</v>
      </c>
      <c r="J3233" s="174" t="s">
        <v>69</v>
      </c>
    </row>
    <row r="3234" hidden="1" customHeight="1" spans="1:10">
      <c r="A3234" s="140" t="s">
        <v>557</v>
      </c>
      <c r="B3234" s="140" t="s">
        <v>149</v>
      </c>
      <c r="C3234" s="171">
        <v>45716</v>
      </c>
      <c r="D3234" s="172" t="s">
        <v>25</v>
      </c>
      <c r="E3234" s="140" t="s">
        <v>19</v>
      </c>
      <c r="F3234" s="140" t="s">
        <v>146</v>
      </c>
      <c r="G3234" s="140" t="s">
        <v>21</v>
      </c>
      <c r="H3234" s="140" t="s">
        <v>53</v>
      </c>
      <c r="I3234" s="140" t="s">
        <v>21</v>
      </c>
      <c r="J3234" s="174"/>
    </row>
    <row r="3235" hidden="1" customHeight="1" spans="1:10">
      <c r="A3235" s="140" t="s">
        <v>559</v>
      </c>
      <c r="B3235" s="140" t="s">
        <v>398</v>
      </c>
      <c r="C3235" s="171">
        <v>45689</v>
      </c>
      <c r="D3235" s="172" t="s">
        <v>12</v>
      </c>
      <c r="E3235" s="140" t="s">
        <v>13</v>
      </c>
      <c r="F3235" s="140" t="s">
        <v>14</v>
      </c>
      <c r="G3235" s="140" t="s">
        <v>14</v>
      </c>
      <c r="H3235" s="140" t="s">
        <v>14</v>
      </c>
      <c r="I3235" s="140" t="s">
        <v>14</v>
      </c>
      <c r="J3235" s="174"/>
    </row>
    <row r="3236" hidden="1" customHeight="1" spans="1:10">
      <c r="A3236" s="140" t="s">
        <v>559</v>
      </c>
      <c r="B3236" s="140" t="s">
        <v>398</v>
      </c>
      <c r="C3236" s="171">
        <v>45690</v>
      </c>
      <c r="D3236" s="172" t="s">
        <v>15</v>
      </c>
      <c r="E3236" s="140" t="s">
        <v>13</v>
      </c>
      <c r="F3236" s="140" t="s">
        <v>14</v>
      </c>
      <c r="G3236" s="140" t="s">
        <v>14</v>
      </c>
      <c r="H3236" s="140" t="s">
        <v>14</v>
      </c>
      <c r="I3236" s="140" t="s">
        <v>14</v>
      </c>
      <c r="J3236" s="174"/>
    </row>
    <row r="3237" hidden="1" customHeight="1" spans="1:10">
      <c r="A3237" s="140" t="s">
        <v>559</v>
      </c>
      <c r="B3237" s="140" t="s">
        <v>398</v>
      </c>
      <c r="C3237" s="171">
        <v>45691</v>
      </c>
      <c r="D3237" s="172" t="s">
        <v>16</v>
      </c>
      <c r="E3237" s="140" t="s">
        <v>13</v>
      </c>
      <c r="F3237" s="140" t="s">
        <v>14</v>
      </c>
      <c r="G3237" s="140" t="s">
        <v>14</v>
      </c>
      <c r="H3237" s="140" t="s">
        <v>14</v>
      </c>
      <c r="I3237" s="140" t="s">
        <v>14</v>
      </c>
      <c r="J3237" s="174"/>
    </row>
    <row r="3238" hidden="1" customHeight="1" spans="1:10">
      <c r="A3238" s="140" t="s">
        <v>559</v>
      </c>
      <c r="B3238" s="140" t="s">
        <v>398</v>
      </c>
      <c r="C3238" s="171">
        <v>45692</v>
      </c>
      <c r="D3238" s="172" t="s">
        <v>17</v>
      </c>
      <c r="E3238" s="140" t="s">
        <v>13</v>
      </c>
      <c r="F3238" s="140" t="s">
        <v>14</v>
      </c>
      <c r="G3238" s="140" t="s">
        <v>14</v>
      </c>
      <c r="H3238" s="140" t="s">
        <v>14</v>
      </c>
      <c r="I3238" s="140" t="s">
        <v>14</v>
      </c>
      <c r="J3238" s="174"/>
    </row>
    <row r="3239" hidden="1" customHeight="1" spans="1:10">
      <c r="A3239" s="140" t="s">
        <v>559</v>
      </c>
      <c r="B3239" s="140" t="s">
        <v>398</v>
      </c>
      <c r="C3239" s="171">
        <v>45693</v>
      </c>
      <c r="D3239" s="172" t="s">
        <v>18</v>
      </c>
      <c r="E3239" s="140" t="s">
        <v>19</v>
      </c>
      <c r="F3239" s="140" t="s">
        <v>154</v>
      </c>
      <c r="G3239" s="140" t="s">
        <v>21</v>
      </c>
      <c r="H3239" s="140" t="s">
        <v>158</v>
      </c>
      <c r="I3239" s="140" t="s">
        <v>21</v>
      </c>
      <c r="J3239" s="174"/>
    </row>
    <row r="3240" customHeight="1" spans="1:10">
      <c r="A3240" s="140" t="s">
        <v>559</v>
      </c>
      <c r="B3240" s="140" t="s">
        <v>398</v>
      </c>
      <c r="C3240" s="171">
        <v>45694</v>
      </c>
      <c r="D3240" s="172" t="s">
        <v>23</v>
      </c>
      <c r="E3240" s="140" t="s">
        <v>19</v>
      </c>
      <c r="F3240" s="140" t="s">
        <v>14</v>
      </c>
      <c r="G3240" s="173" t="s">
        <v>68</v>
      </c>
      <c r="H3240" s="140" t="s">
        <v>14</v>
      </c>
      <c r="I3240" s="173" t="s">
        <v>68</v>
      </c>
      <c r="J3240" s="174" t="s">
        <v>287</v>
      </c>
    </row>
    <row r="3241" hidden="1" customHeight="1" spans="1:10">
      <c r="A3241" s="140" t="s">
        <v>559</v>
      </c>
      <c r="B3241" s="140" t="s">
        <v>398</v>
      </c>
      <c r="C3241" s="171">
        <v>45695</v>
      </c>
      <c r="D3241" s="172" t="s">
        <v>25</v>
      </c>
      <c r="E3241" s="140" t="s">
        <v>19</v>
      </c>
      <c r="F3241" s="140" t="s">
        <v>30</v>
      </c>
      <c r="G3241" s="140" t="s">
        <v>21</v>
      </c>
      <c r="H3241" s="140" t="s">
        <v>278</v>
      </c>
      <c r="I3241" s="140" t="s">
        <v>21</v>
      </c>
      <c r="J3241" s="174"/>
    </row>
    <row r="3242" hidden="1" customHeight="1" spans="1:10">
      <c r="A3242" s="140" t="s">
        <v>559</v>
      </c>
      <c r="B3242" s="140" t="s">
        <v>398</v>
      </c>
      <c r="C3242" s="171">
        <v>45696</v>
      </c>
      <c r="D3242" s="172" t="s">
        <v>27</v>
      </c>
      <c r="E3242" s="140" t="s">
        <v>19</v>
      </c>
      <c r="F3242" s="140" t="s">
        <v>157</v>
      </c>
      <c r="G3242" s="140" t="s">
        <v>21</v>
      </c>
      <c r="H3242" s="140" t="s">
        <v>202</v>
      </c>
      <c r="I3242" s="140" t="s">
        <v>21</v>
      </c>
      <c r="J3242" s="174"/>
    </row>
    <row r="3243" hidden="1" customHeight="1" spans="1:10">
      <c r="A3243" s="140" t="s">
        <v>559</v>
      </c>
      <c r="B3243" s="140" t="s">
        <v>398</v>
      </c>
      <c r="C3243" s="171">
        <v>45697</v>
      </c>
      <c r="D3243" s="172" t="s">
        <v>15</v>
      </c>
      <c r="E3243" s="140" t="s">
        <v>13</v>
      </c>
      <c r="F3243" s="140" t="s">
        <v>14</v>
      </c>
      <c r="G3243" s="140" t="s">
        <v>14</v>
      </c>
      <c r="H3243" s="140" t="s">
        <v>14</v>
      </c>
      <c r="I3243" s="140" t="s">
        <v>14</v>
      </c>
      <c r="J3243" s="174"/>
    </row>
    <row r="3244" hidden="1" customHeight="1" spans="1:10">
      <c r="A3244" s="140" t="s">
        <v>559</v>
      </c>
      <c r="B3244" s="140" t="s">
        <v>398</v>
      </c>
      <c r="C3244" s="171">
        <v>45698</v>
      </c>
      <c r="D3244" s="172" t="s">
        <v>16</v>
      </c>
      <c r="E3244" s="140" t="s">
        <v>19</v>
      </c>
      <c r="F3244" s="140" t="s">
        <v>154</v>
      </c>
      <c r="G3244" s="140" t="s">
        <v>21</v>
      </c>
      <c r="H3244" s="140" t="s">
        <v>163</v>
      </c>
      <c r="I3244" s="140" t="s">
        <v>21</v>
      </c>
      <c r="J3244" s="174"/>
    </row>
    <row r="3245" hidden="1" customHeight="1" spans="1:10">
      <c r="A3245" s="140" t="s">
        <v>559</v>
      </c>
      <c r="B3245" s="140" t="s">
        <v>398</v>
      </c>
      <c r="C3245" s="171">
        <v>45699</v>
      </c>
      <c r="D3245" s="172" t="s">
        <v>17</v>
      </c>
      <c r="E3245" s="140" t="s">
        <v>19</v>
      </c>
      <c r="F3245" s="140" t="s">
        <v>28</v>
      </c>
      <c r="G3245" s="140" t="s">
        <v>21</v>
      </c>
      <c r="H3245" s="140" t="s">
        <v>199</v>
      </c>
      <c r="I3245" s="140" t="s">
        <v>21</v>
      </c>
      <c r="J3245" s="174"/>
    </row>
    <row r="3246" hidden="1" customHeight="1" spans="1:10">
      <c r="A3246" s="140" t="s">
        <v>559</v>
      </c>
      <c r="B3246" s="140" t="s">
        <v>398</v>
      </c>
      <c r="C3246" s="171">
        <v>45700</v>
      </c>
      <c r="D3246" s="172" t="s">
        <v>18</v>
      </c>
      <c r="E3246" s="140" t="s">
        <v>19</v>
      </c>
      <c r="F3246" s="140" t="s">
        <v>157</v>
      </c>
      <c r="G3246" s="140" t="s">
        <v>21</v>
      </c>
      <c r="H3246" s="140" t="s">
        <v>92</v>
      </c>
      <c r="I3246" s="140" t="s">
        <v>21</v>
      </c>
      <c r="J3246" s="174"/>
    </row>
    <row r="3247" hidden="1" customHeight="1" spans="1:10">
      <c r="A3247" s="140" t="s">
        <v>559</v>
      </c>
      <c r="B3247" s="140" t="s">
        <v>398</v>
      </c>
      <c r="C3247" s="171">
        <v>45701</v>
      </c>
      <c r="D3247" s="172" t="s">
        <v>23</v>
      </c>
      <c r="E3247" s="140" t="s">
        <v>19</v>
      </c>
      <c r="F3247" s="140" t="s">
        <v>30</v>
      </c>
      <c r="G3247" s="140" t="s">
        <v>21</v>
      </c>
      <c r="H3247" s="140" t="s">
        <v>474</v>
      </c>
      <c r="I3247" s="140" t="s">
        <v>21</v>
      </c>
      <c r="J3247" s="174"/>
    </row>
    <row r="3248" customHeight="1" spans="1:10">
      <c r="A3248" s="140" t="s">
        <v>559</v>
      </c>
      <c r="B3248" s="140" t="s">
        <v>398</v>
      </c>
      <c r="C3248" s="171">
        <v>45702</v>
      </c>
      <c r="D3248" s="172" t="s">
        <v>25</v>
      </c>
      <c r="E3248" s="140" t="s">
        <v>19</v>
      </c>
      <c r="F3248" s="140" t="s">
        <v>14</v>
      </c>
      <c r="G3248" s="173" t="s">
        <v>68</v>
      </c>
      <c r="H3248" s="140" t="s">
        <v>181</v>
      </c>
      <c r="I3248" s="140" t="s">
        <v>21</v>
      </c>
      <c r="J3248" s="174" t="s">
        <v>136</v>
      </c>
    </row>
    <row r="3249" hidden="1" customHeight="1" spans="1:10">
      <c r="A3249" s="140" t="s">
        <v>559</v>
      </c>
      <c r="B3249" s="140" t="s">
        <v>398</v>
      </c>
      <c r="C3249" s="171">
        <v>45703</v>
      </c>
      <c r="D3249" s="172" t="s">
        <v>27</v>
      </c>
      <c r="E3249" s="140" t="s">
        <v>13</v>
      </c>
      <c r="F3249" s="140" t="s">
        <v>14</v>
      </c>
      <c r="G3249" s="140" t="s">
        <v>14</v>
      </c>
      <c r="H3249" s="140" t="s">
        <v>14</v>
      </c>
      <c r="I3249" s="140" t="s">
        <v>14</v>
      </c>
      <c r="J3249" s="174"/>
    </row>
    <row r="3250" hidden="1" customHeight="1" spans="1:10">
      <c r="A3250" s="140" t="s">
        <v>559</v>
      </c>
      <c r="B3250" s="140" t="s">
        <v>398</v>
      </c>
      <c r="C3250" s="171">
        <v>45704</v>
      </c>
      <c r="D3250" s="172" t="s">
        <v>15</v>
      </c>
      <c r="E3250" s="140" t="s">
        <v>13</v>
      </c>
      <c r="F3250" s="140" t="s">
        <v>14</v>
      </c>
      <c r="G3250" s="140" t="s">
        <v>14</v>
      </c>
      <c r="H3250" s="140" t="s">
        <v>14</v>
      </c>
      <c r="I3250" s="140" t="s">
        <v>14</v>
      </c>
      <c r="J3250" s="174"/>
    </row>
    <row r="3251" hidden="1" customHeight="1" spans="1:10">
      <c r="A3251" s="140" t="s">
        <v>559</v>
      </c>
      <c r="B3251" s="140" t="s">
        <v>398</v>
      </c>
      <c r="C3251" s="171">
        <v>45705</v>
      </c>
      <c r="D3251" s="172" t="s">
        <v>16</v>
      </c>
      <c r="E3251" s="140" t="s">
        <v>19</v>
      </c>
      <c r="F3251" s="140" t="s">
        <v>157</v>
      </c>
      <c r="G3251" s="140" t="s">
        <v>21</v>
      </c>
      <c r="H3251" s="140" t="s">
        <v>35</v>
      </c>
      <c r="I3251" s="140" t="s">
        <v>21</v>
      </c>
      <c r="J3251" s="174"/>
    </row>
    <row r="3252" hidden="1" customHeight="1" spans="1:10">
      <c r="A3252" s="140" t="s">
        <v>559</v>
      </c>
      <c r="B3252" s="140" t="s">
        <v>398</v>
      </c>
      <c r="C3252" s="171">
        <v>45706</v>
      </c>
      <c r="D3252" s="172" t="s">
        <v>17</v>
      </c>
      <c r="E3252" s="140" t="s">
        <v>19</v>
      </c>
      <c r="F3252" s="140" t="s">
        <v>157</v>
      </c>
      <c r="G3252" s="140" t="s">
        <v>21</v>
      </c>
      <c r="H3252" s="140" t="s">
        <v>201</v>
      </c>
      <c r="I3252" s="140" t="s">
        <v>21</v>
      </c>
      <c r="J3252" s="174"/>
    </row>
    <row r="3253" hidden="1" customHeight="1" spans="1:10">
      <c r="A3253" s="140" t="s">
        <v>559</v>
      </c>
      <c r="B3253" s="140" t="s">
        <v>398</v>
      </c>
      <c r="C3253" s="171">
        <v>45707</v>
      </c>
      <c r="D3253" s="172" t="s">
        <v>18</v>
      </c>
      <c r="E3253" s="140" t="s">
        <v>19</v>
      </c>
      <c r="F3253" s="140" t="s">
        <v>51</v>
      </c>
      <c r="G3253" s="140" t="s">
        <v>21</v>
      </c>
      <c r="H3253" s="140" t="s">
        <v>80</v>
      </c>
      <c r="I3253" s="140" t="s">
        <v>21</v>
      </c>
      <c r="J3253" s="174"/>
    </row>
    <row r="3254" hidden="1" customHeight="1" spans="1:10">
      <c r="A3254" s="140" t="s">
        <v>559</v>
      </c>
      <c r="B3254" s="140" t="s">
        <v>398</v>
      </c>
      <c r="C3254" s="171">
        <v>45708</v>
      </c>
      <c r="D3254" s="172" t="s">
        <v>23</v>
      </c>
      <c r="E3254" s="140" t="s">
        <v>19</v>
      </c>
      <c r="F3254" s="140" t="s">
        <v>154</v>
      </c>
      <c r="G3254" s="140" t="s">
        <v>21</v>
      </c>
      <c r="H3254" s="140" t="s">
        <v>95</v>
      </c>
      <c r="I3254" s="140" t="s">
        <v>21</v>
      </c>
      <c r="J3254" s="174"/>
    </row>
    <row r="3255" hidden="1" customHeight="1" spans="1:10">
      <c r="A3255" s="140" t="s">
        <v>559</v>
      </c>
      <c r="B3255" s="140" t="s">
        <v>398</v>
      </c>
      <c r="C3255" s="171">
        <v>45709</v>
      </c>
      <c r="D3255" s="172" t="s">
        <v>25</v>
      </c>
      <c r="E3255" s="140" t="s">
        <v>19</v>
      </c>
      <c r="F3255" s="140" t="s">
        <v>51</v>
      </c>
      <c r="G3255" s="140" t="s">
        <v>21</v>
      </c>
      <c r="H3255" s="140" t="s">
        <v>461</v>
      </c>
      <c r="I3255" s="140" t="s">
        <v>21</v>
      </c>
      <c r="J3255" s="174"/>
    </row>
    <row r="3256" hidden="1" customHeight="1" spans="1:10">
      <c r="A3256" s="140" t="s">
        <v>559</v>
      </c>
      <c r="B3256" s="140" t="s">
        <v>398</v>
      </c>
      <c r="C3256" s="171">
        <v>45710</v>
      </c>
      <c r="D3256" s="172" t="s">
        <v>27</v>
      </c>
      <c r="E3256" s="140" t="s">
        <v>13</v>
      </c>
      <c r="F3256" s="140" t="s">
        <v>14</v>
      </c>
      <c r="G3256" s="140" t="s">
        <v>14</v>
      </c>
      <c r="H3256" s="140" t="s">
        <v>14</v>
      </c>
      <c r="I3256" s="140" t="s">
        <v>14</v>
      </c>
      <c r="J3256" s="174"/>
    </row>
    <row r="3257" hidden="1" customHeight="1" spans="1:10">
      <c r="A3257" s="140" t="s">
        <v>559</v>
      </c>
      <c r="B3257" s="140" t="s">
        <v>398</v>
      </c>
      <c r="C3257" s="171">
        <v>45711</v>
      </c>
      <c r="D3257" s="172" t="s">
        <v>15</v>
      </c>
      <c r="E3257" s="140" t="s">
        <v>13</v>
      </c>
      <c r="F3257" s="140" t="s">
        <v>14</v>
      </c>
      <c r="G3257" s="140" t="s">
        <v>14</v>
      </c>
      <c r="H3257" s="140" t="s">
        <v>14</v>
      </c>
      <c r="I3257" s="140" t="s">
        <v>14</v>
      </c>
      <c r="J3257" s="174"/>
    </row>
    <row r="3258" hidden="1" customHeight="1" spans="1:10">
      <c r="A3258" s="140" t="s">
        <v>559</v>
      </c>
      <c r="B3258" s="140" t="s">
        <v>398</v>
      </c>
      <c r="C3258" s="171">
        <v>45712</v>
      </c>
      <c r="D3258" s="172" t="s">
        <v>16</v>
      </c>
      <c r="E3258" s="140" t="s">
        <v>19</v>
      </c>
      <c r="F3258" s="140" t="s">
        <v>30</v>
      </c>
      <c r="G3258" s="140" t="s">
        <v>21</v>
      </c>
      <c r="H3258" s="140" t="s">
        <v>41</v>
      </c>
      <c r="I3258" s="140" t="s">
        <v>21</v>
      </c>
      <c r="J3258" s="174"/>
    </row>
    <row r="3259" hidden="1" customHeight="1" spans="1:10">
      <c r="A3259" s="140" t="s">
        <v>559</v>
      </c>
      <c r="B3259" s="140" t="s">
        <v>398</v>
      </c>
      <c r="C3259" s="171">
        <v>45713</v>
      </c>
      <c r="D3259" s="172" t="s">
        <v>17</v>
      </c>
      <c r="E3259" s="140" t="s">
        <v>19</v>
      </c>
      <c r="F3259" s="140" t="s">
        <v>30</v>
      </c>
      <c r="G3259" s="140" t="s">
        <v>21</v>
      </c>
      <c r="H3259" s="140" t="s">
        <v>42</v>
      </c>
      <c r="I3259" s="140" t="s">
        <v>21</v>
      </c>
      <c r="J3259" s="174"/>
    </row>
    <row r="3260" hidden="1" customHeight="1" spans="1:10">
      <c r="A3260" s="140" t="s">
        <v>559</v>
      </c>
      <c r="B3260" s="140" t="s">
        <v>398</v>
      </c>
      <c r="C3260" s="171">
        <v>45714</v>
      </c>
      <c r="D3260" s="172" t="s">
        <v>18</v>
      </c>
      <c r="E3260" s="140" t="s">
        <v>19</v>
      </c>
      <c r="F3260" s="140" t="s">
        <v>193</v>
      </c>
      <c r="G3260" s="140" t="s">
        <v>21</v>
      </c>
      <c r="H3260" s="140" t="s">
        <v>367</v>
      </c>
      <c r="I3260" s="140" t="s">
        <v>21</v>
      </c>
      <c r="J3260" s="174"/>
    </row>
    <row r="3261" hidden="1" customHeight="1" spans="1:10">
      <c r="A3261" s="140" t="s">
        <v>559</v>
      </c>
      <c r="B3261" s="140" t="s">
        <v>398</v>
      </c>
      <c r="C3261" s="171">
        <v>45715</v>
      </c>
      <c r="D3261" s="172" t="s">
        <v>23</v>
      </c>
      <c r="E3261" s="140" t="s">
        <v>19</v>
      </c>
      <c r="F3261" s="140" t="s">
        <v>28</v>
      </c>
      <c r="G3261" s="140" t="s">
        <v>21</v>
      </c>
      <c r="H3261" s="140" t="s">
        <v>273</v>
      </c>
      <c r="I3261" s="140" t="s">
        <v>21</v>
      </c>
      <c r="J3261" s="174"/>
    </row>
    <row r="3262" hidden="1" customHeight="1" spans="1:10">
      <c r="A3262" s="140" t="s">
        <v>559</v>
      </c>
      <c r="B3262" s="140" t="s">
        <v>398</v>
      </c>
      <c r="C3262" s="171">
        <v>45716</v>
      </c>
      <c r="D3262" s="172" t="s">
        <v>25</v>
      </c>
      <c r="E3262" s="140" t="s">
        <v>19</v>
      </c>
      <c r="F3262" s="140" t="s">
        <v>154</v>
      </c>
      <c r="G3262" s="140" t="s">
        <v>21</v>
      </c>
      <c r="H3262" s="140" t="s">
        <v>370</v>
      </c>
      <c r="I3262" s="140" t="s">
        <v>21</v>
      </c>
      <c r="J3262" s="174"/>
    </row>
    <row r="3263" hidden="1" customHeight="1" spans="1:10">
      <c r="A3263" s="140" t="s">
        <v>560</v>
      </c>
      <c r="B3263" s="140" t="s">
        <v>398</v>
      </c>
      <c r="C3263" s="171">
        <v>45689</v>
      </c>
      <c r="D3263" s="172" t="s">
        <v>12</v>
      </c>
      <c r="E3263" s="140" t="s">
        <v>13</v>
      </c>
      <c r="F3263" s="140" t="s">
        <v>14</v>
      </c>
      <c r="G3263" s="140" t="s">
        <v>14</v>
      </c>
      <c r="H3263" s="140" t="s">
        <v>14</v>
      </c>
      <c r="I3263" s="140" t="s">
        <v>14</v>
      </c>
      <c r="J3263" s="174"/>
    </row>
    <row r="3264" hidden="1" customHeight="1" spans="1:10">
      <c r="A3264" s="140" t="s">
        <v>560</v>
      </c>
      <c r="B3264" s="140" t="s">
        <v>398</v>
      </c>
      <c r="C3264" s="171">
        <v>45690</v>
      </c>
      <c r="D3264" s="172" t="s">
        <v>15</v>
      </c>
      <c r="E3264" s="140" t="s">
        <v>13</v>
      </c>
      <c r="F3264" s="140" t="s">
        <v>14</v>
      </c>
      <c r="G3264" s="140" t="s">
        <v>14</v>
      </c>
      <c r="H3264" s="140" t="s">
        <v>14</v>
      </c>
      <c r="I3264" s="140" t="s">
        <v>14</v>
      </c>
      <c r="J3264" s="174"/>
    </row>
    <row r="3265" hidden="1" customHeight="1" spans="1:10">
      <c r="A3265" s="140" t="s">
        <v>560</v>
      </c>
      <c r="B3265" s="140" t="s">
        <v>398</v>
      </c>
      <c r="C3265" s="171">
        <v>45691</v>
      </c>
      <c r="D3265" s="172" t="s">
        <v>16</v>
      </c>
      <c r="E3265" s="140" t="s">
        <v>13</v>
      </c>
      <c r="F3265" s="140" t="s">
        <v>14</v>
      </c>
      <c r="G3265" s="140" t="s">
        <v>14</v>
      </c>
      <c r="H3265" s="140" t="s">
        <v>14</v>
      </c>
      <c r="I3265" s="140" t="s">
        <v>14</v>
      </c>
      <c r="J3265" s="174"/>
    </row>
    <row r="3266" hidden="1" customHeight="1" spans="1:10">
      <c r="A3266" s="140" t="s">
        <v>560</v>
      </c>
      <c r="B3266" s="140" t="s">
        <v>398</v>
      </c>
      <c r="C3266" s="171">
        <v>45692</v>
      </c>
      <c r="D3266" s="172" t="s">
        <v>17</v>
      </c>
      <c r="E3266" s="140" t="s">
        <v>13</v>
      </c>
      <c r="F3266" s="140" t="s">
        <v>14</v>
      </c>
      <c r="G3266" s="140" t="s">
        <v>14</v>
      </c>
      <c r="H3266" s="140" t="s">
        <v>14</v>
      </c>
      <c r="I3266" s="140" t="s">
        <v>14</v>
      </c>
      <c r="J3266" s="174"/>
    </row>
    <row r="3267" hidden="1" customHeight="1" spans="1:10">
      <c r="A3267" s="140" t="s">
        <v>560</v>
      </c>
      <c r="B3267" s="140" t="s">
        <v>398</v>
      </c>
      <c r="C3267" s="171">
        <v>45693</v>
      </c>
      <c r="D3267" s="172" t="s">
        <v>18</v>
      </c>
      <c r="E3267" s="140" t="s">
        <v>19</v>
      </c>
      <c r="F3267" s="140" t="s">
        <v>146</v>
      </c>
      <c r="G3267" s="140" t="s">
        <v>21</v>
      </c>
      <c r="H3267" s="140" t="s">
        <v>561</v>
      </c>
      <c r="I3267" s="140" t="s">
        <v>21</v>
      </c>
      <c r="J3267" s="174"/>
    </row>
    <row r="3268" hidden="1" customHeight="1" spans="1:10">
      <c r="A3268" s="140" t="s">
        <v>560</v>
      </c>
      <c r="B3268" s="140" t="s">
        <v>398</v>
      </c>
      <c r="C3268" s="171">
        <v>45694</v>
      </c>
      <c r="D3268" s="172" t="s">
        <v>23</v>
      </c>
      <c r="E3268" s="140" t="s">
        <v>19</v>
      </c>
      <c r="F3268" s="140" t="s">
        <v>146</v>
      </c>
      <c r="G3268" s="140" t="s">
        <v>21</v>
      </c>
      <c r="H3268" s="140" t="s">
        <v>45</v>
      </c>
      <c r="I3268" s="140" t="s">
        <v>21</v>
      </c>
      <c r="J3268" s="174"/>
    </row>
    <row r="3269" hidden="1" customHeight="1" spans="1:10">
      <c r="A3269" s="140" t="s">
        <v>560</v>
      </c>
      <c r="B3269" s="140" t="s">
        <v>398</v>
      </c>
      <c r="C3269" s="171">
        <v>45695</v>
      </c>
      <c r="D3269" s="172" t="s">
        <v>25</v>
      </c>
      <c r="E3269" s="140" t="s">
        <v>19</v>
      </c>
      <c r="F3269" s="140" t="s">
        <v>33</v>
      </c>
      <c r="G3269" s="140" t="s">
        <v>21</v>
      </c>
      <c r="H3269" s="140" t="s">
        <v>235</v>
      </c>
      <c r="I3269" s="140" t="s">
        <v>21</v>
      </c>
      <c r="J3269" s="174"/>
    </row>
    <row r="3270" hidden="1" customHeight="1" spans="1:10">
      <c r="A3270" s="140" t="s">
        <v>560</v>
      </c>
      <c r="B3270" s="140" t="s">
        <v>398</v>
      </c>
      <c r="C3270" s="171">
        <v>45696</v>
      </c>
      <c r="D3270" s="172" t="s">
        <v>27</v>
      </c>
      <c r="E3270" s="140" t="s">
        <v>19</v>
      </c>
      <c r="F3270" s="140" t="s">
        <v>46</v>
      </c>
      <c r="G3270" s="140" t="s">
        <v>21</v>
      </c>
      <c r="H3270" s="140" t="s">
        <v>53</v>
      </c>
      <c r="I3270" s="140" t="s">
        <v>21</v>
      </c>
      <c r="J3270" s="174"/>
    </row>
    <row r="3271" hidden="1" customHeight="1" spans="1:10">
      <c r="A3271" s="140" t="s">
        <v>560</v>
      </c>
      <c r="B3271" s="140" t="s">
        <v>398</v>
      </c>
      <c r="C3271" s="171">
        <v>45697</v>
      </c>
      <c r="D3271" s="172" t="s">
        <v>15</v>
      </c>
      <c r="E3271" s="140" t="s">
        <v>13</v>
      </c>
      <c r="F3271" s="140" t="s">
        <v>14</v>
      </c>
      <c r="G3271" s="140" t="s">
        <v>14</v>
      </c>
      <c r="H3271" s="140" t="s">
        <v>14</v>
      </c>
      <c r="I3271" s="140" t="s">
        <v>14</v>
      </c>
      <c r="J3271" s="174"/>
    </row>
    <row r="3272" hidden="1" customHeight="1" spans="1:10">
      <c r="A3272" s="140" t="s">
        <v>560</v>
      </c>
      <c r="B3272" s="140" t="s">
        <v>398</v>
      </c>
      <c r="C3272" s="171">
        <v>45698</v>
      </c>
      <c r="D3272" s="172" t="s">
        <v>16</v>
      </c>
      <c r="E3272" s="140" t="s">
        <v>19</v>
      </c>
      <c r="F3272" s="140" t="s">
        <v>46</v>
      </c>
      <c r="G3272" s="140" t="s">
        <v>21</v>
      </c>
      <c r="H3272" s="140" t="s">
        <v>235</v>
      </c>
      <c r="I3272" s="140" t="s">
        <v>21</v>
      </c>
      <c r="J3272" s="174"/>
    </row>
    <row r="3273" hidden="1" customHeight="1" spans="1:10">
      <c r="A3273" s="140" t="s">
        <v>560</v>
      </c>
      <c r="B3273" s="140" t="s">
        <v>398</v>
      </c>
      <c r="C3273" s="171">
        <v>45699</v>
      </c>
      <c r="D3273" s="172" t="s">
        <v>17</v>
      </c>
      <c r="E3273" s="140" t="s">
        <v>19</v>
      </c>
      <c r="F3273" s="140" t="s">
        <v>193</v>
      </c>
      <c r="G3273" s="140" t="s">
        <v>21</v>
      </c>
      <c r="H3273" s="140" t="s">
        <v>175</v>
      </c>
      <c r="I3273" s="140" t="s">
        <v>21</v>
      </c>
      <c r="J3273" s="174"/>
    </row>
    <row r="3274" hidden="1" customHeight="1" spans="1:10">
      <c r="A3274" s="140" t="s">
        <v>560</v>
      </c>
      <c r="B3274" s="140" t="s">
        <v>398</v>
      </c>
      <c r="C3274" s="171">
        <v>45700</v>
      </c>
      <c r="D3274" s="172" t="s">
        <v>18</v>
      </c>
      <c r="E3274" s="140" t="s">
        <v>19</v>
      </c>
      <c r="F3274" s="140" t="s">
        <v>209</v>
      </c>
      <c r="G3274" s="140" t="s">
        <v>21</v>
      </c>
      <c r="H3274" s="140" t="s">
        <v>53</v>
      </c>
      <c r="I3274" s="140" t="s">
        <v>21</v>
      </c>
      <c r="J3274" s="174"/>
    </row>
    <row r="3275" hidden="1" customHeight="1" spans="1:10">
      <c r="A3275" s="140" t="s">
        <v>560</v>
      </c>
      <c r="B3275" s="140" t="s">
        <v>398</v>
      </c>
      <c r="C3275" s="171">
        <v>45701</v>
      </c>
      <c r="D3275" s="172" t="s">
        <v>23</v>
      </c>
      <c r="E3275" s="140" t="s">
        <v>19</v>
      </c>
      <c r="F3275" s="140" t="s">
        <v>20</v>
      </c>
      <c r="G3275" s="140" t="s">
        <v>21</v>
      </c>
      <c r="H3275" s="140" t="s">
        <v>35</v>
      </c>
      <c r="I3275" s="140" t="s">
        <v>21</v>
      </c>
      <c r="J3275" s="174"/>
    </row>
    <row r="3276" hidden="1" customHeight="1" spans="1:10">
      <c r="A3276" s="140" t="s">
        <v>560</v>
      </c>
      <c r="B3276" s="140" t="s">
        <v>398</v>
      </c>
      <c r="C3276" s="171">
        <v>45702</v>
      </c>
      <c r="D3276" s="172" t="s">
        <v>25</v>
      </c>
      <c r="E3276" s="140" t="s">
        <v>19</v>
      </c>
      <c r="F3276" s="140" t="s">
        <v>51</v>
      </c>
      <c r="G3276" s="140" t="s">
        <v>21</v>
      </c>
      <c r="H3276" s="140" t="s">
        <v>210</v>
      </c>
      <c r="I3276" s="140" t="s">
        <v>21</v>
      </c>
      <c r="J3276" s="174"/>
    </row>
    <row r="3277" hidden="1" customHeight="1" spans="1:10">
      <c r="A3277" s="140" t="s">
        <v>560</v>
      </c>
      <c r="B3277" s="140" t="s">
        <v>398</v>
      </c>
      <c r="C3277" s="171">
        <v>45703</v>
      </c>
      <c r="D3277" s="172" t="s">
        <v>27</v>
      </c>
      <c r="E3277" s="140" t="s">
        <v>13</v>
      </c>
      <c r="F3277" s="140" t="s">
        <v>14</v>
      </c>
      <c r="G3277" s="140" t="s">
        <v>14</v>
      </c>
      <c r="H3277" s="140" t="s">
        <v>14</v>
      </c>
      <c r="I3277" s="140" t="s">
        <v>14</v>
      </c>
      <c r="J3277" s="174"/>
    </row>
    <row r="3278" hidden="1" customHeight="1" spans="1:10">
      <c r="A3278" s="140" t="s">
        <v>560</v>
      </c>
      <c r="B3278" s="140" t="s">
        <v>398</v>
      </c>
      <c r="C3278" s="171">
        <v>45704</v>
      </c>
      <c r="D3278" s="172" t="s">
        <v>15</v>
      </c>
      <c r="E3278" s="140" t="s">
        <v>13</v>
      </c>
      <c r="F3278" s="140" t="s">
        <v>14</v>
      </c>
      <c r="G3278" s="140" t="s">
        <v>14</v>
      </c>
      <c r="H3278" s="140" t="s">
        <v>14</v>
      </c>
      <c r="I3278" s="140" t="s">
        <v>14</v>
      </c>
      <c r="J3278" s="174"/>
    </row>
    <row r="3279" hidden="1" customHeight="1" spans="1:10">
      <c r="A3279" s="140" t="s">
        <v>560</v>
      </c>
      <c r="B3279" s="140" t="s">
        <v>398</v>
      </c>
      <c r="C3279" s="171">
        <v>45705</v>
      </c>
      <c r="D3279" s="172" t="s">
        <v>16</v>
      </c>
      <c r="E3279" s="140" t="s">
        <v>19</v>
      </c>
      <c r="F3279" s="140" t="s">
        <v>90</v>
      </c>
      <c r="G3279" s="140" t="s">
        <v>21</v>
      </c>
      <c r="H3279" s="140" t="s">
        <v>50</v>
      </c>
      <c r="I3279" s="140" t="s">
        <v>21</v>
      </c>
      <c r="J3279" s="174"/>
    </row>
    <row r="3280" hidden="1" customHeight="1" spans="1:10">
      <c r="A3280" s="140" t="s">
        <v>560</v>
      </c>
      <c r="B3280" s="140" t="s">
        <v>398</v>
      </c>
      <c r="C3280" s="171">
        <v>45706</v>
      </c>
      <c r="D3280" s="172" t="s">
        <v>17</v>
      </c>
      <c r="E3280" s="140" t="s">
        <v>19</v>
      </c>
      <c r="F3280" s="140" t="s">
        <v>209</v>
      </c>
      <c r="G3280" s="140" t="s">
        <v>21</v>
      </c>
      <c r="H3280" s="140" t="s">
        <v>142</v>
      </c>
      <c r="I3280" s="140" t="s">
        <v>21</v>
      </c>
      <c r="J3280" s="174"/>
    </row>
    <row r="3281" hidden="1" customHeight="1" spans="1:10">
      <c r="A3281" s="140" t="s">
        <v>560</v>
      </c>
      <c r="B3281" s="140" t="s">
        <v>398</v>
      </c>
      <c r="C3281" s="171">
        <v>45707</v>
      </c>
      <c r="D3281" s="172" t="s">
        <v>18</v>
      </c>
      <c r="E3281" s="140" t="s">
        <v>19</v>
      </c>
      <c r="F3281" s="140" t="s">
        <v>209</v>
      </c>
      <c r="G3281" s="140" t="s">
        <v>21</v>
      </c>
      <c r="H3281" s="140" t="s">
        <v>122</v>
      </c>
      <c r="I3281" s="140" t="s">
        <v>21</v>
      </c>
      <c r="J3281" s="174"/>
    </row>
    <row r="3282" hidden="1" customHeight="1" spans="1:10">
      <c r="A3282" s="140" t="s">
        <v>560</v>
      </c>
      <c r="B3282" s="140" t="s">
        <v>398</v>
      </c>
      <c r="C3282" s="171">
        <v>45708</v>
      </c>
      <c r="D3282" s="172" t="s">
        <v>23</v>
      </c>
      <c r="E3282" s="140" t="s">
        <v>19</v>
      </c>
      <c r="F3282" s="140" t="s">
        <v>209</v>
      </c>
      <c r="G3282" s="140" t="s">
        <v>21</v>
      </c>
      <c r="H3282" s="140" t="s">
        <v>45</v>
      </c>
      <c r="I3282" s="140" t="s">
        <v>21</v>
      </c>
      <c r="J3282" s="174"/>
    </row>
    <row r="3283" hidden="1" customHeight="1" spans="1:10">
      <c r="A3283" s="140" t="s">
        <v>560</v>
      </c>
      <c r="B3283" s="140" t="s">
        <v>398</v>
      </c>
      <c r="C3283" s="171">
        <v>45709</v>
      </c>
      <c r="D3283" s="172" t="s">
        <v>25</v>
      </c>
      <c r="E3283" s="140" t="s">
        <v>19</v>
      </c>
      <c r="F3283" s="140" t="s">
        <v>90</v>
      </c>
      <c r="G3283" s="140" t="s">
        <v>21</v>
      </c>
      <c r="H3283" s="140" t="s">
        <v>167</v>
      </c>
      <c r="I3283" s="140" t="s">
        <v>21</v>
      </c>
      <c r="J3283" s="174"/>
    </row>
    <row r="3284" hidden="1" customHeight="1" spans="1:10">
      <c r="A3284" s="140" t="s">
        <v>560</v>
      </c>
      <c r="B3284" s="140" t="s">
        <v>398</v>
      </c>
      <c r="C3284" s="171">
        <v>45710</v>
      </c>
      <c r="D3284" s="172" t="s">
        <v>27</v>
      </c>
      <c r="E3284" s="140" t="s">
        <v>13</v>
      </c>
      <c r="F3284" s="140" t="s">
        <v>14</v>
      </c>
      <c r="G3284" s="140" t="s">
        <v>14</v>
      </c>
      <c r="H3284" s="140" t="s">
        <v>14</v>
      </c>
      <c r="I3284" s="140" t="s">
        <v>14</v>
      </c>
      <c r="J3284" s="174"/>
    </row>
    <row r="3285" hidden="1" customHeight="1" spans="1:10">
      <c r="A3285" s="140" t="s">
        <v>560</v>
      </c>
      <c r="B3285" s="140" t="s">
        <v>398</v>
      </c>
      <c r="C3285" s="171">
        <v>45711</v>
      </c>
      <c r="D3285" s="172" t="s">
        <v>15</v>
      </c>
      <c r="E3285" s="140" t="s">
        <v>13</v>
      </c>
      <c r="F3285" s="140" t="s">
        <v>14</v>
      </c>
      <c r="G3285" s="140" t="s">
        <v>14</v>
      </c>
      <c r="H3285" s="140" t="s">
        <v>14</v>
      </c>
      <c r="I3285" s="140" t="s">
        <v>14</v>
      </c>
      <c r="J3285" s="174"/>
    </row>
    <row r="3286" hidden="1" customHeight="1" spans="1:10">
      <c r="A3286" s="140" t="s">
        <v>560</v>
      </c>
      <c r="B3286" s="140" t="s">
        <v>398</v>
      </c>
      <c r="C3286" s="171">
        <v>45712</v>
      </c>
      <c r="D3286" s="172" t="s">
        <v>16</v>
      </c>
      <c r="E3286" s="140" t="s">
        <v>19</v>
      </c>
      <c r="F3286" s="140" t="s">
        <v>20</v>
      </c>
      <c r="G3286" s="140" t="s">
        <v>21</v>
      </c>
      <c r="H3286" s="140" t="s">
        <v>53</v>
      </c>
      <c r="I3286" s="140" t="s">
        <v>21</v>
      </c>
      <c r="J3286" s="174"/>
    </row>
    <row r="3287" hidden="1" customHeight="1" spans="1:10">
      <c r="A3287" s="140" t="s">
        <v>560</v>
      </c>
      <c r="B3287" s="140" t="s">
        <v>398</v>
      </c>
      <c r="C3287" s="171">
        <v>45713</v>
      </c>
      <c r="D3287" s="172" t="s">
        <v>17</v>
      </c>
      <c r="E3287" s="140" t="s">
        <v>19</v>
      </c>
      <c r="F3287" s="140" t="s">
        <v>157</v>
      </c>
      <c r="G3287" s="140" t="s">
        <v>21</v>
      </c>
      <c r="H3287" s="140" t="s">
        <v>210</v>
      </c>
      <c r="I3287" s="140" t="s">
        <v>21</v>
      </c>
      <c r="J3287" s="174"/>
    </row>
    <row r="3288" hidden="1" customHeight="1" spans="1:10">
      <c r="A3288" s="140" t="s">
        <v>560</v>
      </c>
      <c r="B3288" s="140" t="s">
        <v>398</v>
      </c>
      <c r="C3288" s="171">
        <v>45714</v>
      </c>
      <c r="D3288" s="172" t="s">
        <v>18</v>
      </c>
      <c r="E3288" s="140" t="s">
        <v>19</v>
      </c>
      <c r="F3288" s="140" t="s">
        <v>51</v>
      </c>
      <c r="G3288" s="140" t="s">
        <v>21</v>
      </c>
      <c r="H3288" s="140" t="s">
        <v>181</v>
      </c>
      <c r="I3288" s="140" t="s">
        <v>21</v>
      </c>
      <c r="J3288" s="174"/>
    </row>
    <row r="3289" hidden="1" customHeight="1" spans="1:10">
      <c r="A3289" s="140" t="s">
        <v>560</v>
      </c>
      <c r="B3289" s="140" t="s">
        <v>398</v>
      </c>
      <c r="C3289" s="171">
        <v>45715</v>
      </c>
      <c r="D3289" s="172" t="s">
        <v>23</v>
      </c>
      <c r="E3289" s="140" t="s">
        <v>19</v>
      </c>
      <c r="F3289" s="140" t="s">
        <v>36</v>
      </c>
      <c r="G3289" s="140" t="s">
        <v>21</v>
      </c>
      <c r="H3289" s="140" t="s">
        <v>50</v>
      </c>
      <c r="I3289" s="140" t="s">
        <v>21</v>
      </c>
      <c r="J3289" s="174"/>
    </row>
    <row r="3290" hidden="1" customHeight="1" spans="1:10">
      <c r="A3290" s="140" t="s">
        <v>560</v>
      </c>
      <c r="B3290" s="140" t="s">
        <v>398</v>
      </c>
      <c r="C3290" s="171">
        <v>45716</v>
      </c>
      <c r="D3290" s="172" t="s">
        <v>25</v>
      </c>
      <c r="E3290" s="140" t="s">
        <v>19</v>
      </c>
      <c r="F3290" s="140" t="s">
        <v>157</v>
      </c>
      <c r="G3290" s="140" t="s">
        <v>21</v>
      </c>
      <c r="H3290" s="140" t="s">
        <v>274</v>
      </c>
      <c r="I3290" s="140" t="s">
        <v>21</v>
      </c>
      <c r="J3290" s="174"/>
    </row>
    <row r="3291" hidden="1" customHeight="1" spans="1:10">
      <c r="A3291" s="140" t="s">
        <v>562</v>
      </c>
      <c r="B3291" s="140" t="s">
        <v>487</v>
      </c>
      <c r="C3291" s="171">
        <v>45689</v>
      </c>
      <c r="D3291" s="172" t="s">
        <v>12</v>
      </c>
      <c r="E3291" s="140" t="s">
        <v>13</v>
      </c>
      <c r="F3291" s="140" t="s">
        <v>14</v>
      </c>
      <c r="G3291" s="140" t="s">
        <v>14</v>
      </c>
      <c r="H3291" s="140" t="s">
        <v>14</v>
      </c>
      <c r="I3291" s="140" t="s">
        <v>14</v>
      </c>
      <c r="J3291" s="174"/>
    </row>
    <row r="3292" hidden="1" customHeight="1" spans="1:10">
      <c r="A3292" s="140" t="s">
        <v>562</v>
      </c>
      <c r="B3292" s="140" t="s">
        <v>487</v>
      </c>
      <c r="C3292" s="171">
        <v>45690</v>
      </c>
      <c r="D3292" s="172" t="s">
        <v>15</v>
      </c>
      <c r="E3292" s="140" t="s">
        <v>13</v>
      </c>
      <c r="F3292" s="140" t="s">
        <v>14</v>
      </c>
      <c r="G3292" s="140" t="s">
        <v>14</v>
      </c>
      <c r="H3292" s="140" t="s">
        <v>14</v>
      </c>
      <c r="I3292" s="140" t="s">
        <v>14</v>
      </c>
      <c r="J3292" s="174"/>
    </row>
    <row r="3293" hidden="1" customHeight="1" spans="1:10">
      <c r="A3293" s="140" t="s">
        <v>562</v>
      </c>
      <c r="B3293" s="140" t="s">
        <v>487</v>
      </c>
      <c r="C3293" s="171">
        <v>45691</v>
      </c>
      <c r="D3293" s="172" t="s">
        <v>16</v>
      </c>
      <c r="E3293" s="140" t="s">
        <v>13</v>
      </c>
      <c r="F3293" s="140" t="s">
        <v>14</v>
      </c>
      <c r="G3293" s="140" t="s">
        <v>14</v>
      </c>
      <c r="H3293" s="140" t="s">
        <v>14</v>
      </c>
      <c r="I3293" s="140" t="s">
        <v>14</v>
      </c>
      <c r="J3293" s="174"/>
    </row>
    <row r="3294" hidden="1" customHeight="1" spans="1:10">
      <c r="A3294" s="140" t="s">
        <v>562</v>
      </c>
      <c r="B3294" s="140" t="s">
        <v>487</v>
      </c>
      <c r="C3294" s="171">
        <v>45692</v>
      </c>
      <c r="D3294" s="172" t="s">
        <v>17</v>
      </c>
      <c r="E3294" s="140" t="s">
        <v>13</v>
      </c>
      <c r="F3294" s="140" t="s">
        <v>14</v>
      </c>
      <c r="G3294" s="140" t="s">
        <v>14</v>
      </c>
      <c r="H3294" s="140" t="s">
        <v>14</v>
      </c>
      <c r="I3294" s="140" t="s">
        <v>14</v>
      </c>
      <c r="J3294" s="174"/>
    </row>
    <row r="3295" hidden="1" customHeight="1" spans="1:10">
      <c r="A3295" s="140" t="s">
        <v>562</v>
      </c>
      <c r="B3295" s="140" t="s">
        <v>487</v>
      </c>
      <c r="C3295" s="171">
        <v>45693</v>
      </c>
      <c r="D3295" s="172" t="s">
        <v>18</v>
      </c>
      <c r="E3295" s="140" t="s">
        <v>19</v>
      </c>
      <c r="F3295" s="140" t="s">
        <v>139</v>
      </c>
      <c r="G3295" s="140" t="s">
        <v>21</v>
      </c>
      <c r="H3295" s="140" t="s">
        <v>206</v>
      </c>
      <c r="I3295" s="140" t="s">
        <v>21</v>
      </c>
      <c r="J3295" s="174"/>
    </row>
    <row r="3296" hidden="1" customHeight="1" spans="1:10">
      <c r="A3296" s="140" t="s">
        <v>562</v>
      </c>
      <c r="B3296" s="140" t="s">
        <v>487</v>
      </c>
      <c r="C3296" s="171">
        <v>45694</v>
      </c>
      <c r="D3296" s="172" t="s">
        <v>23</v>
      </c>
      <c r="E3296" s="140" t="s">
        <v>19</v>
      </c>
      <c r="F3296" s="140" t="s">
        <v>28</v>
      </c>
      <c r="G3296" s="140" t="s">
        <v>21</v>
      </c>
      <c r="H3296" s="140" t="s">
        <v>168</v>
      </c>
      <c r="I3296" s="140" t="s">
        <v>21</v>
      </c>
      <c r="J3296" s="174"/>
    </row>
    <row r="3297" customHeight="1" spans="1:10">
      <c r="A3297" s="140" t="s">
        <v>562</v>
      </c>
      <c r="B3297" s="140" t="s">
        <v>487</v>
      </c>
      <c r="C3297" s="171">
        <v>45695</v>
      </c>
      <c r="D3297" s="172" t="s">
        <v>25</v>
      </c>
      <c r="E3297" s="140" t="s">
        <v>19</v>
      </c>
      <c r="F3297" s="140" t="s">
        <v>14</v>
      </c>
      <c r="G3297" s="173" t="s">
        <v>68</v>
      </c>
      <c r="H3297" s="140" t="s">
        <v>213</v>
      </c>
      <c r="I3297" s="140" t="s">
        <v>21</v>
      </c>
      <c r="J3297" s="174" t="s">
        <v>69</v>
      </c>
    </row>
    <row r="3298" customHeight="1" spans="1:10">
      <c r="A3298" s="140" t="s">
        <v>562</v>
      </c>
      <c r="B3298" s="140" t="s">
        <v>487</v>
      </c>
      <c r="C3298" s="171">
        <v>45696</v>
      </c>
      <c r="D3298" s="172" t="s">
        <v>27</v>
      </c>
      <c r="E3298" s="140" t="s">
        <v>19</v>
      </c>
      <c r="F3298" s="140" t="s">
        <v>14</v>
      </c>
      <c r="G3298" s="173" t="s">
        <v>68</v>
      </c>
      <c r="H3298" s="140" t="s">
        <v>213</v>
      </c>
      <c r="I3298" s="140" t="s">
        <v>21</v>
      </c>
      <c r="J3298" s="174" t="s">
        <v>69</v>
      </c>
    </row>
    <row r="3299" hidden="1" customHeight="1" spans="1:10">
      <c r="A3299" s="140" t="s">
        <v>562</v>
      </c>
      <c r="B3299" s="140" t="s">
        <v>487</v>
      </c>
      <c r="C3299" s="171">
        <v>45697</v>
      </c>
      <c r="D3299" s="172" t="s">
        <v>15</v>
      </c>
      <c r="E3299" s="140" t="s">
        <v>13</v>
      </c>
      <c r="F3299" s="140" t="s">
        <v>14</v>
      </c>
      <c r="G3299" s="140" t="s">
        <v>14</v>
      </c>
      <c r="H3299" s="140" t="s">
        <v>14</v>
      </c>
      <c r="I3299" s="140" t="s">
        <v>14</v>
      </c>
      <c r="J3299" s="174"/>
    </row>
    <row r="3300" hidden="1" customHeight="1" spans="1:10">
      <c r="A3300" s="140" t="s">
        <v>562</v>
      </c>
      <c r="B3300" s="140" t="s">
        <v>487</v>
      </c>
      <c r="C3300" s="171">
        <v>45698</v>
      </c>
      <c r="D3300" s="172" t="s">
        <v>16</v>
      </c>
      <c r="E3300" s="140" t="s">
        <v>19</v>
      </c>
      <c r="F3300" s="140" t="s">
        <v>146</v>
      </c>
      <c r="G3300" s="140" t="s">
        <v>21</v>
      </c>
      <c r="H3300" s="140" t="s">
        <v>50</v>
      </c>
      <c r="I3300" s="140" t="s">
        <v>21</v>
      </c>
      <c r="J3300" s="174"/>
    </row>
    <row r="3301" hidden="1" customHeight="1" spans="1:10">
      <c r="A3301" s="140" t="s">
        <v>562</v>
      </c>
      <c r="B3301" s="140" t="s">
        <v>487</v>
      </c>
      <c r="C3301" s="171">
        <v>45699</v>
      </c>
      <c r="D3301" s="172" t="s">
        <v>17</v>
      </c>
      <c r="E3301" s="140" t="s">
        <v>19</v>
      </c>
      <c r="F3301" s="140" t="s">
        <v>36</v>
      </c>
      <c r="G3301" s="140" t="s">
        <v>21</v>
      </c>
      <c r="H3301" s="140" t="s">
        <v>239</v>
      </c>
      <c r="I3301" s="140" t="s">
        <v>21</v>
      </c>
      <c r="J3301" s="174"/>
    </row>
    <row r="3302" hidden="1" customHeight="1" spans="1:10">
      <c r="A3302" s="140" t="s">
        <v>562</v>
      </c>
      <c r="B3302" s="140" t="s">
        <v>487</v>
      </c>
      <c r="C3302" s="171">
        <v>45700</v>
      </c>
      <c r="D3302" s="172" t="s">
        <v>18</v>
      </c>
      <c r="E3302" s="140" t="s">
        <v>19</v>
      </c>
      <c r="F3302" s="140" t="s">
        <v>36</v>
      </c>
      <c r="G3302" s="140" t="s">
        <v>21</v>
      </c>
      <c r="H3302" s="140" t="s">
        <v>212</v>
      </c>
      <c r="I3302" s="140" t="s">
        <v>21</v>
      </c>
      <c r="J3302" s="174"/>
    </row>
    <row r="3303" customHeight="1" spans="1:10">
      <c r="A3303" s="140" t="s">
        <v>562</v>
      </c>
      <c r="B3303" s="140" t="s">
        <v>487</v>
      </c>
      <c r="C3303" s="171">
        <v>45701</v>
      </c>
      <c r="D3303" s="172" t="s">
        <v>23</v>
      </c>
      <c r="E3303" s="140" t="s">
        <v>19</v>
      </c>
      <c r="F3303" s="140" t="s">
        <v>14</v>
      </c>
      <c r="G3303" s="173" t="s">
        <v>68</v>
      </c>
      <c r="H3303" s="140" t="s">
        <v>73</v>
      </c>
      <c r="I3303" s="140" t="s">
        <v>21</v>
      </c>
      <c r="J3303" s="174" t="s">
        <v>69</v>
      </c>
    </row>
    <row r="3304" hidden="1" customHeight="1" spans="1:10">
      <c r="A3304" s="140" t="s">
        <v>562</v>
      </c>
      <c r="B3304" s="140" t="s">
        <v>487</v>
      </c>
      <c r="C3304" s="171">
        <v>45702</v>
      </c>
      <c r="D3304" s="172" t="s">
        <v>25</v>
      </c>
      <c r="E3304" s="140" t="s">
        <v>19</v>
      </c>
      <c r="F3304" s="140" t="s">
        <v>20</v>
      </c>
      <c r="G3304" s="140" t="s">
        <v>21</v>
      </c>
      <c r="H3304" s="140" t="s">
        <v>53</v>
      </c>
      <c r="I3304" s="140" t="s">
        <v>21</v>
      </c>
      <c r="J3304" s="174"/>
    </row>
    <row r="3305" hidden="1" customHeight="1" spans="1:10">
      <c r="A3305" s="140" t="s">
        <v>562</v>
      </c>
      <c r="B3305" s="140" t="s">
        <v>487</v>
      </c>
      <c r="C3305" s="171">
        <v>45703</v>
      </c>
      <c r="D3305" s="172" t="s">
        <v>27</v>
      </c>
      <c r="E3305" s="140" t="s">
        <v>13</v>
      </c>
      <c r="F3305" s="140" t="s">
        <v>14</v>
      </c>
      <c r="G3305" s="140" t="s">
        <v>14</v>
      </c>
      <c r="H3305" s="140" t="s">
        <v>14</v>
      </c>
      <c r="I3305" s="140" t="s">
        <v>14</v>
      </c>
      <c r="J3305" s="174"/>
    </row>
    <row r="3306" hidden="1" customHeight="1" spans="1:10">
      <c r="A3306" s="140" t="s">
        <v>562</v>
      </c>
      <c r="B3306" s="140" t="s">
        <v>487</v>
      </c>
      <c r="C3306" s="171">
        <v>45704</v>
      </c>
      <c r="D3306" s="172" t="s">
        <v>15</v>
      </c>
      <c r="E3306" s="140" t="s">
        <v>13</v>
      </c>
      <c r="F3306" s="140" t="s">
        <v>14</v>
      </c>
      <c r="G3306" s="140" t="s">
        <v>14</v>
      </c>
      <c r="H3306" s="140" t="s">
        <v>14</v>
      </c>
      <c r="I3306" s="140" t="s">
        <v>14</v>
      </c>
      <c r="J3306" s="174"/>
    </row>
    <row r="3307" hidden="1" customHeight="1" spans="1:10">
      <c r="A3307" s="140" t="s">
        <v>562</v>
      </c>
      <c r="B3307" s="140" t="s">
        <v>487</v>
      </c>
      <c r="C3307" s="171">
        <v>45705</v>
      </c>
      <c r="D3307" s="172" t="s">
        <v>16</v>
      </c>
      <c r="E3307" s="140" t="s">
        <v>19</v>
      </c>
      <c r="F3307" s="140" t="s">
        <v>46</v>
      </c>
      <c r="G3307" s="140" t="s">
        <v>21</v>
      </c>
      <c r="H3307" s="140" t="s">
        <v>123</v>
      </c>
      <c r="I3307" s="140" t="s">
        <v>21</v>
      </c>
      <c r="J3307" s="174"/>
    </row>
    <row r="3308" hidden="1" customHeight="1" spans="1:10">
      <c r="A3308" s="140" t="s">
        <v>562</v>
      </c>
      <c r="B3308" s="140" t="s">
        <v>487</v>
      </c>
      <c r="C3308" s="171">
        <v>45706</v>
      </c>
      <c r="D3308" s="172" t="s">
        <v>17</v>
      </c>
      <c r="E3308" s="140" t="s">
        <v>19</v>
      </c>
      <c r="F3308" s="140" t="s">
        <v>20</v>
      </c>
      <c r="G3308" s="140" t="s">
        <v>21</v>
      </c>
      <c r="H3308" s="140" t="s">
        <v>241</v>
      </c>
      <c r="I3308" s="140" t="s">
        <v>21</v>
      </c>
      <c r="J3308" s="174"/>
    </row>
    <row r="3309" hidden="1" customHeight="1" spans="1:10">
      <c r="A3309" s="140" t="s">
        <v>562</v>
      </c>
      <c r="B3309" s="140" t="s">
        <v>487</v>
      </c>
      <c r="C3309" s="171">
        <v>45707</v>
      </c>
      <c r="D3309" s="172" t="s">
        <v>18</v>
      </c>
      <c r="E3309" s="140" t="s">
        <v>19</v>
      </c>
      <c r="F3309" s="140" t="s">
        <v>157</v>
      </c>
      <c r="G3309" s="140" t="s">
        <v>21</v>
      </c>
      <c r="H3309" s="140" t="s">
        <v>184</v>
      </c>
      <c r="I3309" s="140" t="s">
        <v>21</v>
      </c>
      <c r="J3309" s="174"/>
    </row>
    <row r="3310" hidden="1" customHeight="1" spans="1:10">
      <c r="A3310" s="140" t="s">
        <v>562</v>
      </c>
      <c r="B3310" s="140" t="s">
        <v>487</v>
      </c>
      <c r="C3310" s="171">
        <v>45708</v>
      </c>
      <c r="D3310" s="172" t="s">
        <v>23</v>
      </c>
      <c r="E3310" s="140" t="s">
        <v>19</v>
      </c>
      <c r="F3310" s="140" t="s">
        <v>20</v>
      </c>
      <c r="G3310" s="140" t="s">
        <v>21</v>
      </c>
      <c r="H3310" s="140" t="s">
        <v>190</v>
      </c>
      <c r="I3310" s="140" t="s">
        <v>21</v>
      </c>
      <c r="J3310" s="174"/>
    </row>
    <row r="3311" hidden="1" customHeight="1" spans="1:10">
      <c r="A3311" s="140" t="s">
        <v>562</v>
      </c>
      <c r="B3311" s="140" t="s">
        <v>487</v>
      </c>
      <c r="C3311" s="171">
        <v>45709</v>
      </c>
      <c r="D3311" s="172" t="s">
        <v>25</v>
      </c>
      <c r="E3311" s="140" t="s">
        <v>19</v>
      </c>
      <c r="F3311" s="140" t="s">
        <v>90</v>
      </c>
      <c r="G3311" s="140" t="s">
        <v>21</v>
      </c>
      <c r="H3311" s="140" t="s">
        <v>191</v>
      </c>
      <c r="I3311" s="140" t="s">
        <v>21</v>
      </c>
      <c r="J3311" s="174"/>
    </row>
    <row r="3312" hidden="1" customHeight="1" spans="1:10">
      <c r="A3312" s="140" t="s">
        <v>562</v>
      </c>
      <c r="B3312" s="140" t="s">
        <v>487</v>
      </c>
      <c r="C3312" s="171">
        <v>45710</v>
      </c>
      <c r="D3312" s="172" t="s">
        <v>27</v>
      </c>
      <c r="E3312" s="140" t="s">
        <v>13</v>
      </c>
      <c r="F3312" s="140" t="s">
        <v>14</v>
      </c>
      <c r="G3312" s="140" t="s">
        <v>14</v>
      </c>
      <c r="H3312" s="140" t="s">
        <v>14</v>
      </c>
      <c r="I3312" s="140" t="s">
        <v>14</v>
      </c>
      <c r="J3312" s="174"/>
    </row>
    <row r="3313" hidden="1" customHeight="1" spans="1:10">
      <c r="A3313" s="140" t="s">
        <v>562</v>
      </c>
      <c r="B3313" s="140" t="s">
        <v>487</v>
      </c>
      <c r="C3313" s="171">
        <v>45711</v>
      </c>
      <c r="D3313" s="172" t="s">
        <v>15</v>
      </c>
      <c r="E3313" s="140" t="s">
        <v>13</v>
      </c>
      <c r="F3313" s="140" t="s">
        <v>14</v>
      </c>
      <c r="G3313" s="140" t="s">
        <v>14</v>
      </c>
      <c r="H3313" s="140" t="s">
        <v>14</v>
      </c>
      <c r="I3313" s="140" t="s">
        <v>14</v>
      </c>
      <c r="J3313" s="174"/>
    </row>
    <row r="3314" hidden="1" customHeight="1" spans="1:10">
      <c r="A3314" s="140" t="s">
        <v>562</v>
      </c>
      <c r="B3314" s="140" t="s">
        <v>487</v>
      </c>
      <c r="C3314" s="171">
        <v>45712</v>
      </c>
      <c r="D3314" s="172" t="s">
        <v>16</v>
      </c>
      <c r="E3314" s="140" t="s">
        <v>19</v>
      </c>
      <c r="F3314" s="140" t="s">
        <v>209</v>
      </c>
      <c r="G3314" s="140" t="s">
        <v>21</v>
      </c>
      <c r="H3314" s="140" t="s">
        <v>50</v>
      </c>
      <c r="I3314" s="140" t="s">
        <v>21</v>
      </c>
      <c r="J3314" s="174"/>
    </row>
    <row r="3315" hidden="1" customHeight="1" spans="1:10">
      <c r="A3315" s="140" t="s">
        <v>562</v>
      </c>
      <c r="B3315" s="140" t="s">
        <v>487</v>
      </c>
      <c r="C3315" s="171">
        <v>45713</v>
      </c>
      <c r="D3315" s="172" t="s">
        <v>17</v>
      </c>
      <c r="E3315" s="140" t="s">
        <v>19</v>
      </c>
      <c r="F3315" s="140" t="s">
        <v>139</v>
      </c>
      <c r="G3315" s="140" t="s">
        <v>21</v>
      </c>
      <c r="H3315" s="140" t="s">
        <v>213</v>
      </c>
      <c r="I3315" s="140" t="s">
        <v>21</v>
      </c>
      <c r="J3315" s="174"/>
    </row>
    <row r="3316" hidden="1" customHeight="1" spans="1:10">
      <c r="A3316" s="140" t="s">
        <v>562</v>
      </c>
      <c r="B3316" s="140" t="s">
        <v>487</v>
      </c>
      <c r="C3316" s="171">
        <v>45714</v>
      </c>
      <c r="D3316" s="172" t="s">
        <v>18</v>
      </c>
      <c r="E3316" s="140" t="s">
        <v>19</v>
      </c>
      <c r="F3316" s="140" t="s">
        <v>28</v>
      </c>
      <c r="G3316" s="140" t="s">
        <v>21</v>
      </c>
      <c r="H3316" s="140" t="s">
        <v>191</v>
      </c>
      <c r="I3316" s="140" t="s">
        <v>21</v>
      </c>
      <c r="J3316" s="174"/>
    </row>
    <row r="3317" customHeight="1" spans="1:10">
      <c r="A3317" s="140" t="s">
        <v>562</v>
      </c>
      <c r="B3317" s="140" t="s">
        <v>487</v>
      </c>
      <c r="C3317" s="171">
        <v>45715</v>
      </c>
      <c r="D3317" s="172" t="s">
        <v>23</v>
      </c>
      <c r="E3317" s="140" t="s">
        <v>19</v>
      </c>
      <c r="F3317" s="140" t="s">
        <v>209</v>
      </c>
      <c r="G3317" s="140" t="s">
        <v>21</v>
      </c>
      <c r="H3317" s="140" t="s">
        <v>14</v>
      </c>
      <c r="I3317" s="173" t="s">
        <v>68</v>
      </c>
      <c r="J3317" s="174" t="s">
        <v>287</v>
      </c>
    </row>
    <row r="3318" customHeight="1" spans="1:10">
      <c r="A3318" s="140" t="s">
        <v>562</v>
      </c>
      <c r="B3318" s="140" t="s">
        <v>487</v>
      </c>
      <c r="C3318" s="171">
        <v>45716</v>
      </c>
      <c r="D3318" s="172" t="s">
        <v>25</v>
      </c>
      <c r="E3318" s="140" t="s">
        <v>19</v>
      </c>
      <c r="F3318" s="140" t="s">
        <v>14</v>
      </c>
      <c r="G3318" s="173" t="s">
        <v>68</v>
      </c>
      <c r="H3318" s="140" t="s">
        <v>14</v>
      </c>
      <c r="I3318" s="173" t="s">
        <v>68</v>
      </c>
      <c r="J3318" s="174" t="s">
        <v>234</v>
      </c>
    </row>
    <row r="3319" hidden="1" customHeight="1" spans="1:10">
      <c r="A3319" s="140" t="s">
        <v>563</v>
      </c>
      <c r="B3319" s="140" t="s">
        <v>398</v>
      </c>
      <c r="C3319" s="171">
        <v>45689</v>
      </c>
      <c r="D3319" s="172" t="s">
        <v>12</v>
      </c>
      <c r="E3319" s="140" t="s">
        <v>13</v>
      </c>
      <c r="F3319" s="140" t="s">
        <v>14</v>
      </c>
      <c r="G3319" s="140" t="s">
        <v>14</v>
      </c>
      <c r="H3319" s="140" t="s">
        <v>14</v>
      </c>
      <c r="I3319" s="140" t="s">
        <v>14</v>
      </c>
      <c r="J3319" s="174"/>
    </row>
    <row r="3320" hidden="1" customHeight="1" spans="1:10">
      <c r="A3320" s="140" t="s">
        <v>563</v>
      </c>
      <c r="B3320" s="140" t="s">
        <v>398</v>
      </c>
      <c r="C3320" s="171">
        <v>45690</v>
      </c>
      <c r="D3320" s="172" t="s">
        <v>15</v>
      </c>
      <c r="E3320" s="140" t="s">
        <v>13</v>
      </c>
      <c r="F3320" s="140" t="s">
        <v>14</v>
      </c>
      <c r="G3320" s="140" t="s">
        <v>14</v>
      </c>
      <c r="H3320" s="140" t="s">
        <v>14</v>
      </c>
      <c r="I3320" s="140" t="s">
        <v>14</v>
      </c>
      <c r="J3320" s="174"/>
    </row>
    <row r="3321" hidden="1" customHeight="1" spans="1:10">
      <c r="A3321" s="140" t="s">
        <v>563</v>
      </c>
      <c r="B3321" s="140" t="s">
        <v>398</v>
      </c>
      <c r="C3321" s="171">
        <v>45691</v>
      </c>
      <c r="D3321" s="172" t="s">
        <v>16</v>
      </c>
      <c r="E3321" s="140" t="s">
        <v>13</v>
      </c>
      <c r="F3321" s="140" t="s">
        <v>14</v>
      </c>
      <c r="G3321" s="140" t="s">
        <v>14</v>
      </c>
      <c r="H3321" s="140" t="s">
        <v>14</v>
      </c>
      <c r="I3321" s="140" t="s">
        <v>14</v>
      </c>
      <c r="J3321" s="174"/>
    </row>
    <row r="3322" hidden="1" customHeight="1" spans="1:10">
      <c r="A3322" s="140" t="s">
        <v>563</v>
      </c>
      <c r="B3322" s="140" t="s">
        <v>398</v>
      </c>
      <c r="C3322" s="171">
        <v>45692</v>
      </c>
      <c r="D3322" s="172" t="s">
        <v>17</v>
      </c>
      <c r="E3322" s="140" t="s">
        <v>13</v>
      </c>
      <c r="F3322" s="140" t="s">
        <v>14</v>
      </c>
      <c r="G3322" s="140" t="s">
        <v>14</v>
      </c>
      <c r="H3322" s="140" t="s">
        <v>14</v>
      </c>
      <c r="I3322" s="140" t="s">
        <v>14</v>
      </c>
      <c r="J3322" s="174"/>
    </row>
    <row r="3323" hidden="1" customHeight="1" spans="1:10">
      <c r="A3323" s="140" t="s">
        <v>563</v>
      </c>
      <c r="B3323" s="140" t="s">
        <v>398</v>
      </c>
      <c r="C3323" s="171">
        <v>45693</v>
      </c>
      <c r="D3323" s="172" t="s">
        <v>18</v>
      </c>
      <c r="E3323" s="140" t="s">
        <v>19</v>
      </c>
      <c r="F3323" s="140" t="s">
        <v>146</v>
      </c>
      <c r="G3323" s="140" t="s">
        <v>21</v>
      </c>
      <c r="H3323" s="140" t="s">
        <v>178</v>
      </c>
      <c r="I3323" s="140" t="s">
        <v>21</v>
      </c>
      <c r="J3323" s="174"/>
    </row>
    <row r="3324" hidden="1" customHeight="1" spans="1:10">
      <c r="A3324" s="140" t="s">
        <v>563</v>
      </c>
      <c r="B3324" s="140" t="s">
        <v>398</v>
      </c>
      <c r="C3324" s="171">
        <v>45694</v>
      </c>
      <c r="D3324" s="172" t="s">
        <v>23</v>
      </c>
      <c r="E3324" s="140" t="s">
        <v>19</v>
      </c>
      <c r="F3324" s="140" t="s">
        <v>28</v>
      </c>
      <c r="G3324" s="140" t="s">
        <v>21</v>
      </c>
      <c r="H3324" s="140" t="s">
        <v>95</v>
      </c>
      <c r="I3324" s="140" t="s">
        <v>21</v>
      </c>
      <c r="J3324" s="174"/>
    </row>
    <row r="3325" hidden="1" customHeight="1" spans="1:10">
      <c r="A3325" s="140" t="s">
        <v>563</v>
      </c>
      <c r="B3325" s="140" t="s">
        <v>398</v>
      </c>
      <c r="C3325" s="171">
        <v>45695</v>
      </c>
      <c r="D3325" s="172" t="s">
        <v>25</v>
      </c>
      <c r="E3325" s="140" t="s">
        <v>19</v>
      </c>
      <c r="F3325" s="140" t="s">
        <v>146</v>
      </c>
      <c r="G3325" s="140" t="s">
        <v>21</v>
      </c>
      <c r="H3325" s="140" t="s">
        <v>215</v>
      </c>
      <c r="I3325" s="140" t="s">
        <v>21</v>
      </c>
      <c r="J3325" s="174"/>
    </row>
    <row r="3326" hidden="1" customHeight="1" spans="1:10">
      <c r="A3326" s="140" t="s">
        <v>563</v>
      </c>
      <c r="B3326" s="140" t="s">
        <v>398</v>
      </c>
      <c r="C3326" s="171">
        <v>45696</v>
      </c>
      <c r="D3326" s="172" t="s">
        <v>27</v>
      </c>
      <c r="E3326" s="140" t="s">
        <v>19</v>
      </c>
      <c r="F3326" s="140" t="s">
        <v>193</v>
      </c>
      <c r="G3326" s="140" t="s">
        <v>21</v>
      </c>
      <c r="H3326" s="140" t="s">
        <v>53</v>
      </c>
      <c r="I3326" s="140" t="s">
        <v>21</v>
      </c>
      <c r="J3326" s="174"/>
    </row>
    <row r="3327" hidden="1" customHeight="1" spans="1:10">
      <c r="A3327" s="140" t="s">
        <v>563</v>
      </c>
      <c r="B3327" s="140" t="s">
        <v>398</v>
      </c>
      <c r="C3327" s="171">
        <v>45697</v>
      </c>
      <c r="D3327" s="172" t="s">
        <v>15</v>
      </c>
      <c r="E3327" s="140" t="s">
        <v>13</v>
      </c>
      <c r="F3327" s="140" t="s">
        <v>14</v>
      </c>
      <c r="G3327" s="140" t="s">
        <v>14</v>
      </c>
      <c r="H3327" s="140" t="s">
        <v>14</v>
      </c>
      <c r="I3327" s="140" t="s">
        <v>14</v>
      </c>
      <c r="J3327" s="174"/>
    </row>
    <row r="3328" hidden="1" customHeight="1" spans="1:10">
      <c r="A3328" s="140" t="s">
        <v>563</v>
      </c>
      <c r="B3328" s="140" t="s">
        <v>398</v>
      </c>
      <c r="C3328" s="171">
        <v>45698</v>
      </c>
      <c r="D3328" s="172" t="s">
        <v>16</v>
      </c>
      <c r="E3328" s="140" t="s">
        <v>19</v>
      </c>
      <c r="F3328" s="140" t="s">
        <v>30</v>
      </c>
      <c r="G3328" s="140" t="s">
        <v>21</v>
      </c>
      <c r="H3328" s="140" t="s">
        <v>168</v>
      </c>
      <c r="I3328" s="140" t="s">
        <v>21</v>
      </c>
      <c r="J3328" s="174"/>
    </row>
    <row r="3329" hidden="1" customHeight="1" spans="1:10">
      <c r="A3329" s="140" t="s">
        <v>563</v>
      </c>
      <c r="B3329" s="140" t="s">
        <v>398</v>
      </c>
      <c r="C3329" s="171">
        <v>45699</v>
      </c>
      <c r="D3329" s="172" t="s">
        <v>17</v>
      </c>
      <c r="E3329" s="140" t="s">
        <v>19</v>
      </c>
      <c r="F3329" s="140" t="s">
        <v>28</v>
      </c>
      <c r="G3329" s="140" t="s">
        <v>21</v>
      </c>
      <c r="H3329" s="140" t="s">
        <v>206</v>
      </c>
      <c r="I3329" s="140" t="s">
        <v>21</v>
      </c>
      <c r="J3329" s="174"/>
    </row>
    <row r="3330" hidden="1" customHeight="1" spans="1:10">
      <c r="A3330" s="140" t="s">
        <v>563</v>
      </c>
      <c r="B3330" s="140" t="s">
        <v>398</v>
      </c>
      <c r="C3330" s="171">
        <v>45700</v>
      </c>
      <c r="D3330" s="172" t="s">
        <v>18</v>
      </c>
      <c r="E3330" s="140" t="s">
        <v>19</v>
      </c>
      <c r="F3330" s="140" t="s">
        <v>30</v>
      </c>
      <c r="G3330" s="140" t="s">
        <v>21</v>
      </c>
      <c r="H3330" s="140" t="s">
        <v>178</v>
      </c>
      <c r="I3330" s="140" t="s">
        <v>21</v>
      </c>
      <c r="J3330" s="174"/>
    </row>
    <row r="3331" hidden="1" customHeight="1" spans="1:10">
      <c r="A3331" s="140" t="s">
        <v>563</v>
      </c>
      <c r="B3331" s="140" t="s">
        <v>398</v>
      </c>
      <c r="C3331" s="171">
        <v>45701</v>
      </c>
      <c r="D3331" s="172" t="s">
        <v>23</v>
      </c>
      <c r="E3331" s="140" t="s">
        <v>19</v>
      </c>
      <c r="F3331" s="140" t="s">
        <v>33</v>
      </c>
      <c r="G3331" s="140" t="s">
        <v>21</v>
      </c>
      <c r="H3331" s="140" t="s">
        <v>73</v>
      </c>
      <c r="I3331" s="140" t="s">
        <v>21</v>
      </c>
      <c r="J3331" s="174"/>
    </row>
    <row r="3332" hidden="1" customHeight="1" spans="1:10">
      <c r="A3332" s="140" t="s">
        <v>563</v>
      </c>
      <c r="B3332" s="140" t="s">
        <v>398</v>
      </c>
      <c r="C3332" s="171">
        <v>45702</v>
      </c>
      <c r="D3332" s="172" t="s">
        <v>25</v>
      </c>
      <c r="E3332" s="140" t="s">
        <v>19</v>
      </c>
      <c r="F3332" s="140" t="s">
        <v>154</v>
      </c>
      <c r="G3332" s="140" t="s">
        <v>21</v>
      </c>
      <c r="H3332" s="140" t="s">
        <v>53</v>
      </c>
      <c r="I3332" s="140" t="s">
        <v>21</v>
      </c>
      <c r="J3332" s="174"/>
    </row>
    <row r="3333" hidden="1" customHeight="1" spans="1:10">
      <c r="A3333" s="140" t="s">
        <v>563</v>
      </c>
      <c r="B3333" s="140" t="s">
        <v>398</v>
      </c>
      <c r="C3333" s="171">
        <v>45703</v>
      </c>
      <c r="D3333" s="172" t="s">
        <v>27</v>
      </c>
      <c r="E3333" s="140" t="s">
        <v>13</v>
      </c>
      <c r="F3333" s="140" t="s">
        <v>14</v>
      </c>
      <c r="G3333" s="140" t="s">
        <v>14</v>
      </c>
      <c r="H3333" s="140" t="s">
        <v>14</v>
      </c>
      <c r="I3333" s="140" t="s">
        <v>14</v>
      </c>
      <c r="J3333" s="174"/>
    </row>
    <row r="3334" hidden="1" customHeight="1" spans="1:10">
      <c r="A3334" s="140" t="s">
        <v>563</v>
      </c>
      <c r="B3334" s="140" t="s">
        <v>398</v>
      </c>
      <c r="C3334" s="171">
        <v>45704</v>
      </c>
      <c r="D3334" s="172" t="s">
        <v>15</v>
      </c>
      <c r="E3334" s="140" t="s">
        <v>13</v>
      </c>
      <c r="F3334" s="140" t="s">
        <v>14</v>
      </c>
      <c r="G3334" s="140" t="s">
        <v>14</v>
      </c>
      <c r="H3334" s="140" t="s">
        <v>14</v>
      </c>
      <c r="I3334" s="140" t="s">
        <v>14</v>
      </c>
      <c r="J3334" s="174"/>
    </row>
    <row r="3335" hidden="1" customHeight="1" spans="1:10">
      <c r="A3335" s="140" t="s">
        <v>563</v>
      </c>
      <c r="B3335" s="140" t="s">
        <v>398</v>
      </c>
      <c r="C3335" s="171">
        <v>45705</v>
      </c>
      <c r="D3335" s="172" t="s">
        <v>16</v>
      </c>
      <c r="E3335" s="140" t="s">
        <v>19</v>
      </c>
      <c r="F3335" s="140" t="s">
        <v>30</v>
      </c>
      <c r="G3335" s="140" t="s">
        <v>21</v>
      </c>
      <c r="H3335" s="140" t="s">
        <v>53</v>
      </c>
      <c r="I3335" s="140" t="s">
        <v>21</v>
      </c>
      <c r="J3335" s="174"/>
    </row>
    <row r="3336" hidden="1" customHeight="1" spans="1:10">
      <c r="A3336" s="140" t="s">
        <v>563</v>
      </c>
      <c r="B3336" s="140" t="s">
        <v>398</v>
      </c>
      <c r="C3336" s="171">
        <v>45706</v>
      </c>
      <c r="D3336" s="172" t="s">
        <v>17</v>
      </c>
      <c r="E3336" s="140" t="s">
        <v>19</v>
      </c>
      <c r="F3336" s="140" t="s">
        <v>157</v>
      </c>
      <c r="G3336" s="140" t="s">
        <v>21</v>
      </c>
      <c r="H3336" s="140" t="s">
        <v>53</v>
      </c>
      <c r="I3336" s="140" t="s">
        <v>21</v>
      </c>
      <c r="J3336" s="174"/>
    </row>
    <row r="3337" hidden="1" customHeight="1" spans="1:10">
      <c r="A3337" s="140" t="s">
        <v>563</v>
      </c>
      <c r="B3337" s="140" t="s">
        <v>398</v>
      </c>
      <c r="C3337" s="171">
        <v>45707</v>
      </c>
      <c r="D3337" s="172" t="s">
        <v>18</v>
      </c>
      <c r="E3337" s="140" t="s">
        <v>19</v>
      </c>
      <c r="F3337" s="140" t="s">
        <v>30</v>
      </c>
      <c r="G3337" s="140" t="s">
        <v>21</v>
      </c>
      <c r="H3337" s="140" t="s">
        <v>215</v>
      </c>
      <c r="I3337" s="140" t="s">
        <v>21</v>
      </c>
      <c r="J3337" s="174"/>
    </row>
    <row r="3338" hidden="1" customHeight="1" spans="1:10">
      <c r="A3338" s="140" t="s">
        <v>563</v>
      </c>
      <c r="B3338" s="140" t="s">
        <v>398</v>
      </c>
      <c r="C3338" s="171">
        <v>45708</v>
      </c>
      <c r="D3338" s="172" t="s">
        <v>23</v>
      </c>
      <c r="E3338" s="140" t="s">
        <v>19</v>
      </c>
      <c r="F3338" s="140" t="s">
        <v>28</v>
      </c>
      <c r="G3338" s="140" t="s">
        <v>21</v>
      </c>
      <c r="H3338" s="140" t="s">
        <v>73</v>
      </c>
      <c r="I3338" s="140" t="s">
        <v>21</v>
      </c>
      <c r="J3338" s="174"/>
    </row>
    <row r="3339" hidden="1" customHeight="1" spans="1:10">
      <c r="A3339" s="140" t="s">
        <v>563</v>
      </c>
      <c r="B3339" s="140" t="s">
        <v>398</v>
      </c>
      <c r="C3339" s="171">
        <v>45709</v>
      </c>
      <c r="D3339" s="172" t="s">
        <v>25</v>
      </c>
      <c r="E3339" s="140" t="s">
        <v>19</v>
      </c>
      <c r="F3339" s="140" t="s">
        <v>154</v>
      </c>
      <c r="G3339" s="140" t="s">
        <v>21</v>
      </c>
      <c r="H3339" s="140" t="s">
        <v>170</v>
      </c>
      <c r="I3339" s="140" t="s">
        <v>21</v>
      </c>
      <c r="J3339" s="174"/>
    </row>
    <row r="3340" hidden="1" customHeight="1" spans="1:10">
      <c r="A3340" s="140" t="s">
        <v>563</v>
      </c>
      <c r="B3340" s="140" t="s">
        <v>398</v>
      </c>
      <c r="C3340" s="171">
        <v>45710</v>
      </c>
      <c r="D3340" s="172" t="s">
        <v>27</v>
      </c>
      <c r="E3340" s="140" t="s">
        <v>13</v>
      </c>
      <c r="F3340" s="140" t="s">
        <v>14</v>
      </c>
      <c r="G3340" s="140" t="s">
        <v>14</v>
      </c>
      <c r="H3340" s="140" t="s">
        <v>14</v>
      </c>
      <c r="I3340" s="140" t="s">
        <v>14</v>
      </c>
      <c r="J3340" s="174"/>
    </row>
    <row r="3341" hidden="1" customHeight="1" spans="1:10">
      <c r="A3341" s="140" t="s">
        <v>563</v>
      </c>
      <c r="B3341" s="140" t="s">
        <v>398</v>
      </c>
      <c r="C3341" s="171">
        <v>45711</v>
      </c>
      <c r="D3341" s="172" t="s">
        <v>15</v>
      </c>
      <c r="E3341" s="140" t="s">
        <v>13</v>
      </c>
      <c r="F3341" s="140" t="s">
        <v>14</v>
      </c>
      <c r="G3341" s="140" t="s">
        <v>14</v>
      </c>
      <c r="H3341" s="140" t="s">
        <v>14</v>
      </c>
      <c r="I3341" s="140" t="s">
        <v>14</v>
      </c>
      <c r="J3341" s="174"/>
    </row>
    <row r="3342" hidden="1" customHeight="1" spans="1:10">
      <c r="A3342" s="140" t="s">
        <v>563</v>
      </c>
      <c r="B3342" s="140" t="s">
        <v>398</v>
      </c>
      <c r="C3342" s="171">
        <v>45712</v>
      </c>
      <c r="D3342" s="172" t="s">
        <v>16</v>
      </c>
      <c r="E3342" s="140" t="s">
        <v>19</v>
      </c>
      <c r="F3342" s="140" t="s">
        <v>154</v>
      </c>
      <c r="G3342" s="140" t="s">
        <v>21</v>
      </c>
      <c r="H3342" s="140" t="s">
        <v>474</v>
      </c>
      <c r="I3342" s="140" t="s">
        <v>21</v>
      </c>
      <c r="J3342" s="174"/>
    </row>
    <row r="3343" hidden="1" customHeight="1" spans="1:10">
      <c r="A3343" s="140" t="s">
        <v>563</v>
      </c>
      <c r="B3343" s="140" t="s">
        <v>398</v>
      </c>
      <c r="C3343" s="171">
        <v>45713</v>
      </c>
      <c r="D3343" s="172" t="s">
        <v>17</v>
      </c>
      <c r="E3343" s="140" t="s">
        <v>19</v>
      </c>
      <c r="F3343" s="140" t="s">
        <v>154</v>
      </c>
      <c r="G3343" s="140" t="s">
        <v>21</v>
      </c>
      <c r="H3343" s="140" t="s">
        <v>206</v>
      </c>
      <c r="I3343" s="140" t="s">
        <v>21</v>
      </c>
      <c r="J3343" s="174"/>
    </row>
    <row r="3344" hidden="1" customHeight="1" spans="1:10">
      <c r="A3344" s="140" t="s">
        <v>563</v>
      </c>
      <c r="B3344" s="140" t="s">
        <v>398</v>
      </c>
      <c r="C3344" s="171">
        <v>45714</v>
      </c>
      <c r="D3344" s="172" t="s">
        <v>18</v>
      </c>
      <c r="E3344" s="140" t="s">
        <v>19</v>
      </c>
      <c r="F3344" s="140" t="s">
        <v>30</v>
      </c>
      <c r="G3344" s="140" t="s">
        <v>21</v>
      </c>
      <c r="H3344" s="140" t="s">
        <v>184</v>
      </c>
      <c r="I3344" s="140" t="s">
        <v>21</v>
      </c>
      <c r="J3344" s="174"/>
    </row>
    <row r="3345" hidden="1" customHeight="1" spans="1:10">
      <c r="A3345" s="140" t="s">
        <v>563</v>
      </c>
      <c r="B3345" s="140" t="s">
        <v>398</v>
      </c>
      <c r="C3345" s="171">
        <v>45715</v>
      </c>
      <c r="D3345" s="172" t="s">
        <v>23</v>
      </c>
      <c r="E3345" s="140" t="s">
        <v>19</v>
      </c>
      <c r="F3345" s="140" t="s">
        <v>30</v>
      </c>
      <c r="G3345" s="140" t="s">
        <v>21</v>
      </c>
      <c r="H3345" s="140" t="s">
        <v>116</v>
      </c>
      <c r="I3345" s="140" t="s">
        <v>21</v>
      </c>
      <c r="J3345" s="174"/>
    </row>
    <row r="3346" hidden="1" customHeight="1" spans="1:10">
      <c r="A3346" s="140" t="s">
        <v>563</v>
      </c>
      <c r="B3346" s="140" t="s">
        <v>398</v>
      </c>
      <c r="C3346" s="171">
        <v>45716</v>
      </c>
      <c r="D3346" s="172" t="s">
        <v>25</v>
      </c>
      <c r="E3346" s="140" t="s">
        <v>19</v>
      </c>
      <c r="F3346" s="140" t="s">
        <v>154</v>
      </c>
      <c r="G3346" s="140" t="s">
        <v>21</v>
      </c>
      <c r="H3346" s="140" t="s">
        <v>53</v>
      </c>
      <c r="I3346" s="140" t="s">
        <v>21</v>
      </c>
      <c r="J3346" s="174"/>
    </row>
    <row r="3347" hidden="1" customHeight="1" spans="1:10">
      <c r="A3347" s="140" t="s">
        <v>564</v>
      </c>
      <c r="B3347" s="140" t="s">
        <v>398</v>
      </c>
      <c r="C3347" s="171">
        <v>45689</v>
      </c>
      <c r="D3347" s="172" t="s">
        <v>12</v>
      </c>
      <c r="E3347" s="140" t="s">
        <v>13</v>
      </c>
      <c r="F3347" s="140" t="s">
        <v>14</v>
      </c>
      <c r="G3347" s="140" t="s">
        <v>14</v>
      </c>
      <c r="H3347" s="140" t="s">
        <v>14</v>
      </c>
      <c r="I3347" s="140" t="s">
        <v>14</v>
      </c>
      <c r="J3347" s="174"/>
    </row>
    <row r="3348" hidden="1" customHeight="1" spans="1:10">
      <c r="A3348" s="140" t="s">
        <v>564</v>
      </c>
      <c r="B3348" s="140" t="s">
        <v>398</v>
      </c>
      <c r="C3348" s="171">
        <v>45690</v>
      </c>
      <c r="D3348" s="172" t="s">
        <v>15</v>
      </c>
      <c r="E3348" s="140" t="s">
        <v>13</v>
      </c>
      <c r="F3348" s="140" t="s">
        <v>14</v>
      </c>
      <c r="G3348" s="140" t="s">
        <v>14</v>
      </c>
      <c r="H3348" s="140" t="s">
        <v>14</v>
      </c>
      <c r="I3348" s="140" t="s">
        <v>14</v>
      </c>
      <c r="J3348" s="174"/>
    </row>
    <row r="3349" hidden="1" customHeight="1" spans="1:10">
      <c r="A3349" s="140" t="s">
        <v>564</v>
      </c>
      <c r="B3349" s="140" t="s">
        <v>398</v>
      </c>
      <c r="C3349" s="171">
        <v>45691</v>
      </c>
      <c r="D3349" s="172" t="s">
        <v>16</v>
      </c>
      <c r="E3349" s="140" t="s">
        <v>13</v>
      </c>
      <c r="F3349" s="140" t="s">
        <v>14</v>
      </c>
      <c r="G3349" s="140" t="s">
        <v>14</v>
      </c>
      <c r="H3349" s="140" t="s">
        <v>14</v>
      </c>
      <c r="I3349" s="140" t="s">
        <v>14</v>
      </c>
      <c r="J3349" s="174"/>
    </row>
    <row r="3350" hidden="1" customHeight="1" spans="1:10">
      <c r="A3350" s="140" t="s">
        <v>564</v>
      </c>
      <c r="B3350" s="140" t="s">
        <v>398</v>
      </c>
      <c r="C3350" s="171">
        <v>45692</v>
      </c>
      <c r="D3350" s="172" t="s">
        <v>17</v>
      </c>
      <c r="E3350" s="140" t="s">
        <v>13</v>
      </c>
      <c r="F3350" s="140" t="s">
        <v>14</v>
      </c>
      <c r="G3350" s="140" t="s">
        <v>14</v>
      </c>
      <c r="H3350" s="140" t="s">
        <v>14</v>
      </c>
      <c r="I3350" s="140" t="s">
        <v>14</v>
      </c>
      <c r="J3350" s="174"/>
    </row>
    <row r="3351" customHeight="1" spans="1:10">
      <c r="A3351" s="140" t="s">
        <v>564</v>
      </c>
      <c r="B3351" s="140" t="s">
        <v>398</v>
      </c>
      <c r="C3351" s="171">
        <v>45693</v>
      </c>
      <c r="D3351" s="172" t="s">
        <v>18</v>
      </c>
      <c r="E3351" s="140" t="s">
        <v>19</v>
      </c>
      <c r="F3351" s="140" t="s">
        <v>14</v>
      </c>
      <c r="G3351" s="173" t="s">
        <v>68</v>
      </c>
      <c r="H3351" s="140" t="s">
        <v>14</v>
      </c>
      <c r="I3351" s="173" t="s">
        <v>68</v>
      </c>
      <c r="J3351" s="174" t="s">
        <v>234</v>
      </c>
    </row>
    <row r="3352" customHeight="1" spans="1:10">
      <c r="A3352" s="140" t="s">
        <v>564</v>
      </c>
      <c r="B3352" s="140" t="s">
        <v>398</v>
      </c>
      <c r="C3352" s="171">
        <v>45694</v>
      </c>
      <c r="D3352" s="172" t="s">
        <v>23</v>
      </c>
      <c r="E3352" s="140" t="s">
        <v>19</v>
      </c>
      <c r="F3352" s="140" t="s">
        <v>14</v>
      </c>
      <c r="G3352" s="173" t="s">
        <v>68</v>
      </c>
      <c r="H3352" s="140" t="s">
        <v>14</v>
      </c>
      <c r="I3352" s="173" t="s">
        <v>68</v>
      </c>
      <c r="J3352" s="174" t="s">
        <v>234</v>
      </c>
    </row>
    <row r="3353" hidden="1" customHeight="1" spans="1:10">
      <c r="A3353" s="140" t="s">
        <v>564</v>
      </c>
      <c r="B3353" s="140" t="s">
        <v>398</v>
      </c>
      <c r="C3353" s="171">
        <v>45695</v>
      </c>
      <c r="D3353" s="172" t="s">
        <v>25</v>
      </c>
      <c r="E3353" s="140" t="s">
        <v>19</v>
      </c>
      <c r="F3353" s="140" t="s">
        <v>193</v>
      </c>
      <c r="G3353" s="140" t="s">
        <v>21</v>
      </c>
      <c r="H3353" s="140" t="s">
        <v>215</v>
      </c>
      <c r="I3353" s="140" t="s">
        <v>21</v>
      </c>
      <c r="J3353" s="174"/>
    </row>
    <row r="3354" hidden="1" customHeight="1" spans="1:10">
      <c r="A3354" s="140" t="s">
        <v>564</v>
      </c>
      <c r="B3354" s="140" t="s">
        <v>398</v>
      </c>
      <c r="C3354" s="171">
        <v>45696</v>
      </c>
      <c r="D3354" s="172" t="s">
        <v>27</v>
      </c>
      <c r="E3354" s="140" t="s">
        <v>19</v>
      </c>
      <c r="F3354" s="140" t="s">
        <v>139</v>
      </c>
      <c r="G3354" s="140" t="s">
        <v>21</v>
      </c>
      <c r="H3354" s="140" t="s">
        <v>437</v>
      </c>
      <c r="I3354" s="140" t="s">
        <v>21</v>
      </c>
      <c r="J3354" s="174"/>
    </row>
    <row r="3355" hidden="1" customHeight="1" spans="1:10">
      <c r="A3355" s="140" t="s">
        <v>564</v>
      </c>
      <c r="B3355" s="140" t="s">
        <v>398</v>
      </c>
      <c r="C3355" s="171">
        <v>45697</v>
      </c>
      <c r="D3355" s="172" t="s">
        <v>15</v>
      </c>
      <c r="E3355" s="140" t="s">
        <v>13</v>
      </c>
      <c r="F3355" s="140" t="s">
        <v>14</v>
      </c>
      <c r="G3355" s="140" t="s">
        <v>14</v>
      </c>
      <c r="H3355" s="140" t="s">
        <v>14</v>
      </c>
      <c r="I3355" s="140" t="s">
        <v>14</v>
      </c>
      <c r="J3355" s="174"/>
    </row>
    <row r="3356" hidden="1" customHeight="1" spans="1:10">
      <c r="A3356" s="140" t="s">
        <v>564</v>
      </c>
      <c r="B3356" s="140" t="s">
        <v>398</v>
      </c>
      <c r="C3356" s="171">
        <v>45698</v>
      </c>
      <c r="D3356" s="172" t="s">
        <v>16</v>
      </c>
      <c r="E3356" s="140" t="s">
        <v>19</v>
      </c>
      <c r="F3356" s="140" t="s">
        <v>28</v>
      </c>
      <c r="G3356" s="140" t="s">
        <v>21</v>
      </c>
      <c r="H3356" s="140" t="s">
        <v>219</v>
      </c>
      <c r="I3356" s="140" t="s">
        <v>21</v>
      </c>
      <c r="J3356" s="174"/>
    </row>
    <row r="3357" hidden="1" customHeight="1" spans="1:10">
      <c r="A3357" s="140" t="s">
        <v>564</v>
      </c>
      <c r="B3357" s="140" t="s">
        <v>398</v>
      </c>
      <c r="C3357" s="171">
        <v>45699</v>
      </c>
      <c r="D3357" s="172" t="s">
        <v>17</v>
      </c>
      <c r="E3357" s="140" t="s">
        <v>19</v>
      </c>
      <c r="F3357" s="140" t="s">
        <v>36</v>
      </c>
      <c r="G3357" s="140" t="s">
        <v>21</v>
      </c>
      <c r="H3357" s="140" t="s">
        <v>453</v>
      </c>
      <c r="I3357" s="140" t="s">
        <v>21</v>
      </c>
      <c r="J3357" s="174"/>
    </row>
    <row r="3358" hidden="1" customHeight="1" spans="1:10">
      <c r="A3358" s="140" t="s">
        <v>564</v>
      </c>
      <c r="B3358" s="140" t="s">
        <v>398</v>
      </c>
      <c r="C3358" s="171">
        <v>45700</v>
      </c>
      <c r="D3358" s="172" t="s">
        <v>18</v>
      </c>
      <c r="E3358" s="140" t="s">
        <v>19</v>
      </c>
      <c r="F3358" s="140" t="s">
        <v>30</v>
      </c>
      <c r="G3358" s="140" t="s">
        <v>21</v>
      </c>
      <c r="H3358" s="140" t="s">
        <v>265</v>
      </c>
      <c r="I3358" s="140" t="s">
        <v>21</v>
      </c>
      <c r="J3358" s="174"/>
    </row>
    <row r="3359" hidden="1" customHeight="1" spans="1:10">
      <c r="A3359" s="140" t="s">
        <v>564</v>
      </c>
      <c r="B3359" s="140" t="s">
        <v>398</v>
      </c>
      <c r="C3359" s="171">
        <v>45701</v>
      </c>
      <c r="D3359" s="172" t="s">
        <v>23</v>
      </c>
      <c r="E3359" s="140" t="s">
        <v>19</v>
      </c>
      <c r="F3359" s="140" t="s">
        <v>154</v>
      </c>
      <c r="G3359" s="140" t="s">
        <v>21</v>
      </c>
      <c r="H3359" s="140" t="s">
        <v>364</v>
      </c>
      <c r="I3359" s="140" t="s">
        <v>21</v>
      </c>
      <c r="J3359" s="174"/>
    </row>
    <row r="3360" hidden="1" customHeight="1" spans="1:10">
      <c r="A3360" s="140" t="s">
        <v>564</v>
      </c>
      <c r="B3360" s="140" t="s">
        <v>398</v>
      </c>
      <c r="C3360" s="171">
        <v>45702</v>
      </c>
      <c r="D3360" s="172" t="s">
        <v>25</v>
      </c>
      <c r="E3360" s="140" t="s">
        <v>19</v>
      </c>
      <c r="F3360" s="140" t="s">
        <v>28</v>
      </c>
      <c r="G3360" s="140" t="s">
        <v>21</v>
      </c>
      <c r="H3360" s="140" t="s">
        <v>213</v>
      </c>
      <c r="I3360" s="140" t="s">
        <v>21</v>
      </c>
      <c r="J3360" s="174"/>
    </row>
    <row r="3361" hidden="1" customHeight="1" spans="1:10">
      <c r="A3361" s="140" t="s">
        <v>564</v>
      </c>
      <c r="B3361" s="140" t="s">
        <v>398</v>
      </c>
      <c r="C3361" s="171">
        <v>45703</v>
      </c>
      <c r="D3361" s="172" t="s">
        <v>27</v>
      </c>
      <c r="E3361" s="140" t="s">
        <v>13</v>
      </c>
      <c r="F3361" s="140" t="s">
        <v>14</v>
      </c>
      <c r="G3361" s="140" t="s">
        <v>14</v>
      </c>
      <c r="H3361" s="140" t="s">
        <v>14</v>
      </c>
      <c r="I3361" s="140" t="s">
        <v>14</v>
      </c>
      <c r="J3361" s="174"/>
    </row>
    <row r="3362" hidden="1" customHeight="1" spans="1:10">
      <c r="A3362" s="140" t="s">
        <v>564</v>
      </c>
      <c r="B3362" s="140" t="s">
        <v>398</v>
      </c>
      <c r="C3362" s="171">
        <v>45704</v>
      </c>
      <c r="D3362" s="172" t="s">
        <v>15</v>
      </c>
      <c r="E3362" s="140" t="s">
        <v>13</v>
      </c>
      <c r="F3362" s="140" t="s">
        <v>14</v>
      </c>
      <c r="G3362" s="140" t="s">
        <v>14</v>
      </c>
      <c r="H3362" s="140" t="s">
        <v>14</v>
      </c>
      <c r="I3362" s="140" t="s">
        <v>14</v>
      </c>
      <c r="J3362" s="174"/>
    </row>
    <row r="3363" hidden="1" customHeight="1" spans="1:10">
      <c r="A3363" s="140" t="s">
        <v>564</v>
      </c>
      <c r="B3363" s="140" t="s">
        <v>398</v>
      </c>
      <c r="C3363" s="171">
        <v>45705</v>
      </c>
      <c r="D3363" s="172" t="s">
        <v>16</v>
      </c>
      <c r="E3363" s="140" t="s">
        <v>19</v>
      </c>
      <c r="F3363" s="140" t="s">
        <v>135</v>
      </c>
      <c r="G3363" s="140" t="s">
        <v>21</v>
      </c>
      <c r="H3363" s="140" t="s">
        <v>78</v>
      </c>
      <c r="I3363" s="140" t="s">
        <v>21</v>
      </c>
      <c r="J3363" s="174"/>
    </row>
    <row r="3364" hidden="1" customHeight="1" spans="1:10">
      <c r="A3364" s="140" t="s">
        <v>564</v>
      </c>
      <c r="B3364" s="140" t="s">
        <v>398</v>
      </c>
      <c r="C3364" s="171">
        <v>45706</v>
      </c>
      <c r="D3364" s="172" t="s">
        <v>17</v>
      </c>
      <c r="E3364" s="140" t="s">
        <v>19</v>
      </c>
      <c r="F3364" s="140" t="s">
        <v>33</v>
      </c>
      <c r="G3364" s="140" t="s">
        <v>21</v>
      </c>
      <c r="H3364" s="140" t="s">
        <v>445</v>
      </c>
      <c r="I3364" s="140" t="s">
        <v>21</v>
      </c>
      <c r="J3364" s="174"/>
    </row>
    <row r="3365" hidden="1" customHeight="1" spans="1:10">
      <c r="A3365" s="140" t="s">
        <v>564</v>
      </c>
      <c r="B3365" s="140" t="s">
        <v>398</v>
      </c>
      <c r="C3365" s="171">
        <v>45707</v>
      </c>
      <c r="D3365" s="172" t="s">
        <v>18</v>
      </c>
      <c r="E3365" s="140" t="s">
        <v>19</v>
      </c>
      <c r="F3365" s="140" t="s">
        <v>28</v>
      </c>
      <c r="G3365" s="140" t="s">
        <v>21</v>
      </c>
      <c r="H3365" s="140" t="s">
        <v>168</v>
      </c>
      <c r="I3365" s="140" t="s">
        <v>21</v>
      </c>
      <c r="J3365" s="174"/>
    </row>
    <row r="3366" hidden="1" customHeight="1" spans="1:10">
      <c r="A3366" s="140" t="s">
        <v>564</v>
      </c>
      <c r="B3366" s="140" t="s">
        <v>398</v>
      </c>
      <c r="C3366" s="171">
        <v>45708</v>
      </c>
      <c r="D3366" s="172" t="s">
        <v>23</v>
      </c>
      <c r="E3366" s="140" t="s">
        <v>19</v>
      </c>
      <c r="F3366" s="140" t="s">
        <v>135</v>
      </c>
      <c r="G3366" s="140" t="s">
        <v>21</v>
      </c>
      <c r="H3366" s="140" t="s">
        <v>130</v>
      </c>
      <c r="I3366" s="140" t="s">
        <v>21</v>
      </c>
      <c r="J3366" s="174"/>
    </row>
    <row r="3367" customHeight="1" spans="1:10">
      <c r="A3367" s="140" t="s">
        <v>564</v>
      </c>
      <c r="B3367" s="140" t="s">
        <v>398</v>
      </c>
      <c r="C3367" s="171">
        <v>45709</v>
      </c>
      <c r="D3367" s="172" t="s">
        <v>25</v>
      </c>
      <c r="E3367" s="140" t="s">
        <v>19</v>
      </c>
      <c r="F3367" s="140" t="s">
        <v>154</v>
      </c>
      <c r="G3367" s="140" t="s">
        <v>21</v>
      </c>
      <c r="H3367" s="140" t="s">
        <v>14</v>
      </c>
      <c r="I3367" s="173" t="s">
        <v>68</v>
      </c>
      <c r="J3367" s="174" t="s">
        <v>69</v>
      </c>
    </row>
    <row r="3368" hidden="1" customHeight="1" spans="1:10">
      <c r="A3368" s="140" t="s">
        <v>564</v>
      </c>
      <c r="B3368" s="140" t="s">
        <v>398</v>
      </c>
      <c r="C3368" s="171">
        <v>45710</v>
      </c>
      <c r="D3368" s="172" t="s">
        <v>27</v>
      </c>
      <c r="E3368" s="140" t="s">
        <v>13</v>
      </c>
      <c r="F3368" s="140" t="s">
        <v>14</v>
      </c>
      <c r="G3368" s="140" t="s">
        <v>14</v>
      </c>
      <c r="H3368" s="140" t="s">
        <v>14</v>
      </c>
      <c r="I3368" s="140" t="s">
        <v>14</v>
      </c>
      <c r="J3368" s="174"/>
    </row>
    <row r="3369" hidden="1" customHeight="1" spans="1:10">
      <c r="A3369" s="140" t="s">
        <v>564</v>
      </c>
      <c r="B3369" s="140" t="s">
        <v>398</v>
      </c>
      <c r="C3369" s="171">
        <v>45711</v>
      </c>
      <c r="D3369" s="172" t="s">
        <v>15</v>
      </c>
      <c r="E3369" s="140" t="s">
        <v>13</v>
      </c>
      <c r="F3369" s="140" t="s">
        <v>14</v>
      </c>
      <c r="G3369" s="140" t="s">
        <v>14</v>
      </c>
      <c r="H3369" s="140" t="s">
        <v>14</v>
      </c>
      <c r="I3369" s="140" t="s">
        <v>14</v>
      </c>
      <c r="J3369" s="174"/>
    </row>
    <row r="3370" hidden="1" customHeight="1" spans="1:10">
      <c r="A3370" s="140" t="s">
        <v>564</v>
      </c>
      <c r="B3370" s="140" t="s">
        <v>398</v>
      </c>
      <c r="C3370" s="171">
        <v>45712</v>
      </c>
      <c r="D3370" s="172" t="s">
        <v>16</v>
      </c>
      <c r="E3370" s="140" t="s">
        <v>19</v>
      </c>
      <c r="F3370" s="140" t="s">
        <v>33</v>
      </c>
      <c r="G3370" s="140" t="s">
        <v>21</v>
      </c>
      <c r="H3370" s="140" t="s">
        <v>41</v>
      </c>
      <c r="I3370" s="140" t="s">
        <v>21</v>
      </c>
      <c r="J3370" s="174"/>
    </row>
    <row r="3371" hidden="1" customHeight="1" spans="1:10">
      <c r="A3371" s="140" t="s">
        <v>564</v>
      </c>
      <c r="B3371" s="140" t="s">
        <v>398</v>
      </c>
      <c r="C3371" s="171">
        <v>45713</v>
      </c>
      <c r="D3371" s="172" t="s">
        <v>17</v>
      </c>
      <c r="E3371" s="140" t="s">
        <v>19</v>
      </c>
      <c r="F3371" s="140" t="s">
        <v>28</v>
      </c>
      <c r="G3371" s="140" t="s">
        <v>21</v>
      </c>
      <c r="H3371" s="140" t="s">
        <v>382</v>
      </c>
      <c r="I3371" s="140" t="s">
        <v>21</v>
      </c>
      <c r="J3371" s="174"/>
    </row>
    <row r="3372" hidden="1" customHeight="1" spans="1:10">
      <c r="A3372" s="140" t="s">
        <v>564</v>
      </c>
      <c r="B3372" s="140" t="s">
        <v>398</v>
      </c>
      <c r="C3372" s="171">
        <v>45714</v>
      </c>
      <c r="D3372" s="172" t="s">
        <v>18</v>
      </c>
      <c r="E3372" s="140" t="s">
        <v>19</v>
      </c>
      <c r="F3372" s="140" t="s">
        <v>28</v>
      </c>
      <c r="G3372" s="140" t="s">
        <v>21</v>
      </c>
      <c r="H3372" s="140" t="s">
        <v>382</v>
      </c>
      <c r="I3372" s="140" t="s">
        <v>21</v>
      </c>
      <c r="J3372" s="174"/>
    </row>
    <row r="3373" hidden="1" customHeight="1" spans="1:10">
      <c r="A3373" s="140" t="s">
        <v>564</v>
      </c>
      <c r="B3373" s="140" t="s">
        <v>398</v>
      </c>
      <c r="C3373" s="171">
        <v>45715</v>
      </c>
      <c r="D3373" s="172" t="s">
        <v>23</v>
      </c>
      <c r="E3373" s="140" t="s">
        <v>19</v>
      </c>
      <c r="F3373" s="140" t="s">
        <v>117</v>
      </c>
      <c r="G3373" s="140" t="s">
        <v>21</v>
      </c>
      <c r="H3373" s="140" t="s">
        <v>375</v>
      </c>
      <c r="I3373" s="140" t="s">
        <v>21</v>
      </c>
      <c r="J3373" s="174"/>
    </row>
    <row r="3374" hidden="1" customHeight="1" spans="1:10">
      <c r="A3374" s="140" t="s">
        <v>564</v>
      </c>
      <c r="B3374" s="140" t="s">
        <v>398</v>
      </c>
      <c r="C3374" s="171">
        <v>45716</v>
      </c>
      <c r="D3374" s="172" t="s">
        <v>25</v>
      </c>
      <c r="E3374" s="140" t="s">
        <v>19</v>
      </c>
      <c r="F3374" s="140" t="s">
        <v>143</v>
      </c>
      <c r="G3374" s="140" t="s">
        <v>21</v>
      </c>
      <c r="H3374" s="140" t="s">
        <v>130</v>
      </c>
      <c r="I3374" s="140" t="s">
        <v>21</v>
      </c>
      <c r="J3374" s="174"/>
    </row>
    <row r="3375" hidden="1" customHeight="1" spans="1:10">
      <c r="A3375" s="140" t="s">
        <v>565</v>
      </c>
      <c r="B3375" s="140" t="s">
        <v>398</v>
      </c>
      <c r="C3375" s="171">
        <v>45689</v>
      </c>
      <c r="D3375" s="172" t="s">
        <v>12</v>
      </c>
      <c r="E3375" s="140" t="s">
        <v>13</v>
      </c>
      <c r="F3375" s="140" t="s">
        <v>14</v>
      </c>
      <c r="G3375" s="140" t="s">
        <v>14</v>
      </c>
      <c r="H3375" s="140" t="s">
        <v>14</v>
      </c>
      <c r="I3375" s="140" t="s">
        <v>14</v>
      </c>
      <c r="J3375" s="174"/>
    </row>
    <row r="3376" hidden="1" customHeight="1" spans="1:10">
      <c r="A3376" s="140" t="s">
        <v>565</v>
      </c>
      <c r="B3376" s="140" t="s">
        <v>398</v>
      </c>
      <c r="C3376" s="171">
        <v>45690</v>
      </c>
      <c r="D3376" s="172" t="s">
        <v>15</v>
      </c>
      <c r="E3376" s="140" t="s">
        <v>13</v>
      </c>
      <c r="F3376" s="140" t="s">
        <v>14</v>
      </c>
      <c r="G3376" s="140" t="s">
        <v>14</v>
      </c>
      <c r="H3376" s="140" t="s">
        <v>14</v>
      </c>
      <c r="I3376" s="140" t="s">
        <v>14</v>
      </c>
      <c r="J3376" s="174"/>
    </row>
    <row r="3377" hidden="1" customHeight="1" spans="1:10">
      <c r="A3377" s="140" t="s">
        <v>565</v>
      </c>
      <c r="B3377" s="140" t="s">
        <v>398</v>
      </c>
      <c r="C3377" s="171">
        <v>45691</v>
      </c>
      <c r="D3377" s="172" t="s">
        <v>16</v>
      </c>
      <c r="E3377" s="140" t="s">
        <v>13</v>
      </c>
      <c r="F3377" s="140" t="s">
        <v>14</v>
      </c>
      <c r="G3377" s="140" t="s">
        <v>14</v>
      </c>
      <c r="H3377" s="140" t="s">
        <v>14</v>
      </c>
      <c r="I3377" s="140" t="s">
        <v>14</v>
      </c>
      <c r="J3377" s="174"/>
    </row>
    <row r="3378" hidden="1" customHeight="1" spans="1:10">
      <c r="A3378" s="140" t="s">
        <v>565</v>
      </c>
      <c r="B3378" s="140" t="s">
        <v>398</v>
      </c>
      <c r="C3378" s="171">
        <v>45692</v>
      </c>
      <c r="D3378" s="172" t="s">
        <v>17</v>
      </c>
      <c r="E3378" s="140" t="s">
        <v>13</v>
      </c>
      <c r="F3378" s="140" t="s">
        <v>14</v>
      </c>
      <c r="G3378" s="140" t="s">
        <v>14</v>
      </c>
      <c r="H3378" s="140" t="s">
        <v>14</v>
      </c>
      <c r="I3378" s="140" t="s">
        <v>14</v>
      </c>
      <c r="J3378" s="174"/>
    </row>
    <row r="3379" hidden="1" customHeight="1" spans="1:10">
      <c r="A3379" s="140" t="s">
        <v>565</v>
      </c>
      <c r="B3379" s="140" t="s">
        <v>398</v>
      </c>
      <c r="C3379" s="171">
        <v>45693</v>
      </c>
      <c r="D3379" s="172" t="s">
        <v>18</v>
      </c>
      <c r="E3379" s="140" t="s">
        <v>19</v>
      </c>
      <c r="F3379" s="140" t="s">
        <v>150</v>
      </c>
      <c r="G3379" s="140" t="s">
        <v>21</v>
      </c>
      <c r="H3379" s="140" t="s">
        <v>89</v>
      </c>
      <c r="I3379" s="140" t="s">
        <v>21</v>
      </c>
      <c r="J3379" s="174"/>
    </row>
    <row r="3380" hidden="1" customHeight="1" spans="1:10">
      <c r="A3380" s="140" t="s">
        <v>565</v>
      </c>
      <c r="B3380" s="140" t="s">
        <v>398</v>
      </c>
      <c r="C3380" s="171">
        <v>45694</v>
      </c>
      <c r="D3380" s="172" t="s">
        <v>23</v>
      </c>
      <c r="E3380" s="140" t="s">
        <v>19</v>
      </c>
      <c r="F3380" s="140" t="s">
        <v>30</v>
      </c>
      <c r="G3380" s="140" t="s">
        <v>21</v>
      </c>
      <c r="H3380" s="140" t="s">
        <v>243</v>
      </c>
      <c r="I3380" s="140" t="s">
        <v>21</v>
      </c>
      <c r="J3380" s="174"/>
    </row>
    <row r="3381" hidden="1" customHeight="1" spans="1:10">
      <c r="A3381" s="140" t="s">
        <v>565</v>
      </c>
      <c r="B3381" s="140" t="s">
        <v>398</v>
      </c>
      <c r="C3381" s="171">
        <v>45695</v>
      </c>
      <c r="D3381" s="172" t="s">
        <v>25</v>
      </c>
      <c r="E3381" s="140" t="s">
        <v>19</v>
      </c>
      <c r="F3381" s="140" t="s">
        <v>36</v>
      </c>
      <c r="G3381" s="140" t="s">
        <v>21</v>
      </c>
      <c r="H3381" s="140" t="s">
        <v>174</v>
      </c>
      <c r="I3381" s="140" t="s">
        <v>21</v>
      </c>
      <c r="J3381" s="174"/>
    </row>
    <row r="3382" hidden="1" customHeight="1" spans="1:10">
      <c r="A3382" s="140" t="s">
        <v>565</v>
      </c>
      <c r="B3382" s="140" t="s">
        <v>398</v>
      </c>
      <c r="C3382" s="171">
        <v>45696</v>
      </c>
      <c r="D3382" s="172" t="s">
        <v>27</v>
      </c>
      <c r="E3382" s="140" t="s">
        <v>19</v>
      </c>
      <c r="F3382" s="140" t="s">
        <v>51</v>
      </c>
      <c r="G3382" s="140" t="s">
        <v>21</v>
      </c>
      <c r="H3382" s="140" t="s">
        <v>172</v>
      </c>
      <c r="I3382" s="140" t="s">
        <v>21</v>
      </c>
      <c r="J3382" s="174"/>
    </row>
    <row r="3383" hidden="1" customHeight="1" spans="1:10">
      <c r="A3383" s="140" t="s">
        <v>565</v>
      </c>
      <c r="B3383" s="140" t="s">
        <v>398</v>
      </c>
      <c r="C3383" s="171">
        <v>45697</v>
      </c>
      <c r="D3383" s="172" t="s">
        <v>15</v>
      </c>
      <c r="E3383" s="140" t="s">
        <v>13</v>
      </c>
      <c r="F3383" s="140" t="s">
        <v>14</v>
      </c>
      <c r="G3383" s="140" t="s">
        <v>14</v>
      </c>
      <c r="H3383" s="140" t="s">
        <v>14</v>
      </c>
      <c r="I3383" s="140" t="s">
        <v>14</v>
      </c>
      <c r="J3383" s="174"/>
    </row>
    <row r="3384" hidden="1" customHeight="1" spans="1:10">
      <c r="A3384" s="140" t="s">
        <v>565</v>
      </c>
      <c r="B3384" s="140" t="s">
        <v>398</v>
      </c>
      <c r="C3384" s="171">
        <v>45698</v>
      </c>
      <c r="D3384" s="172" t="s">
        <v>16</v>
      </c>
      <c r="E3384" s="140" t="s">
        <v>19</v>
      </c>
      <c r="F3384" s="140" t="s">
        <v>51</v>
      </c>
      <c r="G3384" s="140" t="s">
        <v>21</v>
      </c>
      <c r="H3384" s="140" t="s">
        <v>78</v>
      </c>
      <c r="I3384" s="140" t="s">
        <v>21</v>
      </c>
      <c r="J3384" s="174"/>
    </row>
    <row r="3385" customHeight="1" spans="1:10">
      <c r="A3385" s="140" t="s">
        <v>565</v>
      </c>
      <c r="B3385" s="140" t="s">
        <v>398</v>
      </c>
      <c r="C3385" s="171">
        <v>45699</v>
      </c>
      <c r="D3385" s="172" t="s">
        <v>17</v>
      </c>
      <c r="E3385" s="140" t="s">
        <v>19</v>
      </c>
      <c r="F3385" s="140" t="s">
        <v>33</v>
      </c>
      <c r="G3385" s="140" t="s">
        <v>21</v>
      </c>
      <c r="H3385" s="140" t="s">
        <v>14</v>
      </c>
      <c r="I3385" s="173" t="s">
        <v>68</v>
      </c>
      <c r="J3385" s="174" t="s">
        <v>93</v>
      </c>
    </row>
    <row r="3386" customHeight="1" spans="1:10">
      <c r="A3386" s="140" t="s">
        <v>565</v>
      </c>
      <c r="B3386" s="140" t="s">
        <v>398</v>
      </c>
      <c r="C3386" s="171">
        <v>45700</v>
      </c>
      <c r="D3386" s="172" t="s">
        <v>18</v>
      </c>
      <c r="E3386" s="140" t="s">
        <v>19</v>
      </c>
      <c r="F3386" s="140" t="s">
        <v>14</v>
      </c>
      <c r="G3386" s="173" t="s">
        <v>68</v>
      </c>
      <c r="H3386" s="140" t="s">
        <v>14</v>
      </c>
      <c r="I3386" s="173" t="s">
        <v>68</v>
      </c>
      <c r="J3386" s="174" t="s">
        <v>93</v>
      </c>
    </row>
    <row r="3387" customHeight="1" spans="1:10">
      <c r="A3387" s="140" t="s">
        <v>565</v>
      </c>
      <c r="B3387" s="140" t="s">
        <v>398</v>
      </c>
      <c r="C3387" s="171">
        <v>45701</v>
      </c>
      <c r="D3387" s="172" t="s">
        <v>23</v>
      </c>
      <c r="E3387" s="140" t="s">
        <v>19</v>
      </c>
      <c r="F3387" s="140" t="s">
        <v>14</v>
      </c>
      <c r="G3387" s="173" t="s">
        <v>68</v>
      </c>
      <c r="H3387" s="140" t="s">
        <v>14</v>
      </c>
      <c r="I3387" s="173" t="s">
        <v>68</v>
      </c>
      <c r="J3387" s="174" t="s">
        <v>93</v>
      </c>
    </row>
    <row r="3388" customHeight="1" spans="1:10">
      <c r="A3388" s="140" t="s">
        <v>565</v>
      </c>
      <c r="B3388" s="140" t="s">
        <v>398</v>
      </c>
      <c r="C3388" s="171">
        <v>45702</v>
      </c>
      <c r="D3388" s="172" t="s">
        <v>25</v>
      </c>
      <c r="E3388" s="140" t="s">
        <v>19</v>
      </c>
      <c r="F3388" s="140" t="s">
        <v>14</v>
      </c>
      <c r="G3388" s="173" t="s">
        <v>68</v>
      </c>
      <c r="H3388" s="140" t="s">
        <v>14</v>
      </c>
      <c r="I3388" s="173" t="s">
        <v>68</v>
      </c>
      <c r="J3388" s="174" t="s">
        <v>93</v>
      </c>
    </row>
    <row r="3389" hidden="1" customHeight="1" spans="1:10">
      <c r="A3389" s="140" t="s">
        <v>565</v>
      </c>
      <c r="B3389" s="140" t="s">
        <v>398</v>
      </c>
      <c r="C3389" s="171">
        <v>45703</v>
      </c>
      <c r="D3389" s="172" t="s">
        <v>27</v>
      </c>
      <c r="E3389" s="140" t="s">
        <v>13</v>
      </c>
      <c r="F3389" s="140" t="s">
        <v>14</v>
      </c>
      <c r="G3389" s="140" t="s">
        <v>14</v>
      </c>
      <c r="H3389" s="140" t="s">
        <v>14</v>
      </c>
      <c r="I3389" s="140" t="s">
        <v>14</v>
      </c>
      <c r="J3389" s="174"/>
    </row>
    <row r="3390" hidden="1" customHeight="1" spans="1:10">
      <c r="A3390" s="140" t="s">
        <v>565</v>
      </c>
      <c r="B3390" s="140" t="s">
        <v>398</v>
      </c>
      <c r="C3390" s="171">
        <v>45704</v>
      </c>
      <c r="D3390" s="172" t="s">
        <v>15</v>
      </c>
      <c r="E3390" s="140" t="s">
        <v>13</v>
      </c>
      <c r="F3390" s="140" t="s">
        <v>14</v>
      </c>
      <c r="G3390" s="140" t="s">
        <v>14</v>
      </c>
      <c r="H3390" s="140" t="s">
        <v>14</v>
      </c>
      <c r="I3390" s="140" t="s">
        <v>14</v>
      </c>
      <c r="J3390" s="174"/>
    </row>
    <row r="3391" hidden="1" customHeight="1" spans="1:10">
      <c r="A3391" s="140" t="s">
        <v>565</v>
      </c>
      <c r="B3391" s="140" t="s">
        <v>398</v>
      </c>
      <c r="C3391" s="171">
        <v>45705</v>
      </c>
      <c r="D3391" s="172" t="s">
        <v>16</v>
      </c>
      <c r="E3391" s="140" t="s">
        <v>19</v>
      </c>
      <c r="F3391" s="140" t="s">
        <v>46</v>
      </c>
      <c r="G3391" s="140" t="s">
        <v>21</v>
      </c>
      <c r="H3391" s="140" t="s">
        <v>73</v>
      </c>
      <c r="I3391" s="140" t="s">
        <v>21</v>
      </c>
      <c r="J3391" s="174"/>
    </row>
    <row r="3392" hidden="1" customHeight="1" spans="1:10">
      <c r="A3392" s="140" t="s">
        <v>565</v>
      </c>
      <c r="B3392" s="140" t="s">
        <v>398</v>
      </c>
      <c r="C3392" s="171">
        <v>45706</v>
      </c>
      <c r="D3392" s="172" t="s">
        <v>17</v>
      </c>
      <c r="E3392" s="140" t="s">
        <v>19</v>
      </c>
      <c r="F3392" s="140" t="s">
        <v>46</v>
      </c>
      <c r="G3392" s="140" t="s">
        <v>21</v>
      </c>
      <c r="H3392" s="140" t="s">
        <v>231</v>
      </c>
      <c r="I3392" s="140" t="s">
        <v>21</v>
      </c>
      <c r="J3392" s="174"/>
    </row>
    <row r="3393" hidden="1" customHeight="1" spans="1:10">
      <c r="A3393" s="140" t="s">
        <v>565</v>
      </c>
      <c r="B3393" s="140" t="s">
        <v>398</v>
      </c>
      <c r="C3393" s="171">
        <v>45707</v>
      </c>
      <c r="D3393" s="172" t="s">
        <v>18</v>
      </c>
      <c r="E3393" s="140" t="s">
        <v>19</v>
      </c>
      <c r="F3393" s="140" t="s">
        <v>33</v>
      </c>
      <c r="G3393" s="140" t="s">
        <v>21</v>
      </c>
      <c r="H3393" s="140" t="s">
        <v>316</v>
      </c>
      <c r="I3393" s="140" t="s">
        <v>21</v>
      </c>
      <c r="J3393" s="174"/>
    </row>
    <row r="3394" hidden="1" customHeight="1" spans="1:10">
      <c r="A3394" s="140" t="s">
        <v>565</v>
      </c>
      <c r="B3394" s="140" t="s">
        <v>398</v>
      </c>
      <c r="C3394" s="171">
        <v>45708</v>
      </c>
      <c r="D3394" s="172" t="s">
        <v>23</v>
      </c>
      <c r="E3394" s="140" t="s">
        <v>19</v>
      </c>
      <c r="F3394" s="140" t="s">
        <v>33</v>
      </c>
      <c r="G3394" s="140" t="s">
        <v>21</v>
      </c>
      <c r="H3394" s="140" t="s">
        <v>219</v>
      </c>
      <c r="I3394" s="140" t="s">
        <v>21</v>
      </c>
      <c r="J3394" s="174"/>
    </row>
    <row r="3395" customHeight="1" spans="1:10">
      <c r="A3395" s="140" t="s">
        <v>565</v>
      </c>
      <c r="B3395" s="140" t="s">
        <v>398</v>
      </c>
      <c r="C3395" s="171">
        <v>45709</v>
      </c>
      <c r="D3395" s="172" t="s">
        <v>25</v>
      </c>
      <c r="E3395" s="140" t="s">
        <v>19</v>
      </c>
      <c r="F3395" s="140" t="s">
        <v>14</v>
      </c>
      <c r="G3395" s="173" t="s">
        <v>68</v>
      </c>
      <c r="H3395" s="140" t="s">
        <v>161</v>
      </c>
      <c r="I3395" s="140" t="s">
        <v>21</v>
      </c>
      <c r="J3395" s="174" t="s">
        <v>69</v>
      </c>
    </row>
    <row r="3396" hidden="1" customHeight="1" spans="1:10">
      <c r="A3396" s="140" t="s">
        <v>565</v>
      </c>
      <c r="B3396" s="140" t="s">
        <v>398</v>
      </c>
      <c r="C3396" s="171">
        <v>45710</v>
      </c>
      <c r="D3396" s="172" t="s">
        <v>27</v>
      </c>
      <c r="E3396" s="140" t="s">
        <v>13</v>
      </c>
      <c r="F3396" s="140" t="s">
        <v>14</v>
      </c>
      <c r="G3396" s="140" t="s">
        <v>14</v>
      </c>
      <c r="H3396" s="140" t="s">
        <v>14</v>
      </c>
      <c r="I3396" s="140" t="s">
        <v>14</v>
      </c>
      <c r="J3396" s="174"/>
    </row>
    <row r="3397" hidden="1" customHeight="1" spans="1:10">
      <c r="A3397" s="140" t="s">
        <v>565</v>
      </c>
      <c r="B3397" s="140" t="s">
        <v>398</v>
      </c>
      <c r="C3397" s="171">
        <v>45711</v>
      </c>
      <c r="D3397" s="172" t="s">
        <v>15</v>
      </c>
      <c r="E3397" s="140" t="s">
        <v>13</v>
      </c>
      <c r="F3397" s="140" t="s">
        <v>14</v>
      </c>
      <c r="G3397" s="140" t="s">
        <v>14</v>
      </c>
      <c r="H3397" s="140" t="s">
        <v>14</v>
      </c>
      <c r="I3397" s="140" t="s">
        <v>14</v>
      </c>
      <c r="J3397" s="174"/>
    </row>
    <row r="3398" hidden="1" customHeight="1" spans="1:10">
      <c r="A3398" s="140" t="s">
        <v>565</v>
      </c>
      <c r="B3398" s="140" t="s">
        <v>398</v>
      </c>
      <c r="C3398" s="171">
        <v>45712</v>
      </c>
      <c r="D3398" s="172" t="s">
        <v>16</v>
      </c>
      <c r="E3398" s="140" t="s">
        <v>19</v>
      </c>
      <c r="F3398" s="140" t="s">
        <v>146</v>
      </c>
      <c r="G3398" s="140" t="s">
        <v>21</v>
      </c>
      <c r="H3398" s="140" t="s">
        <v>243</v>
      </c>
      <c r="I3398" s="140" t="s">
        <v>21</v>
      </c>
      <c r="J3398" s="174"/>
    </row>
    <row r="3399" hidden="1" customHeight="1" spans="1:10">
      <c r="A3399" s="140" t="s">
        <v>565</v>
      </c>
      <c r="B3399" s="140" t="s">
        <v>398</v>
      </c>
      <c r="C3399" s="171">
        <v>45713</v>
      </c>
      <c r="D3399" s="172" t="s">
        <v>17</v>
      </c>
      <c r="E3399" s="140" t="s">
        <v>19</v>
      </c>
      <c r="F3399" s="140" t="s">
        <v>154</v>
      </c>
      <c r="G3399" s="140" t="s">
        <v>21</v>
      </c>
      <c r="H3399" s="140" t="s">
        <v>566</v>
      </c>
      <c r="I3399" s="140" t="s">
        <v>21</v>
      </c>
      <c r="J3399" s="174"/>
    </row>
    <row r="3400" hidden="1" customHeight="1" spans="1:10">
      <c r="A3400" s="140" t="s">
        <v>565</v>
      </c>
      <c r="B3400" s="140" t="s">
        <v>398</v>
      </c>
      <c r="C3400" s="171">
        <v>45714</v>
      </c>
      <c r="D3400" s="172" t="s">
        <v>18</v>
      </c>
      <c r="E3400" s="140" t="s">
        <v>19</v>
      </c>
      <c r="F3400" s="140" t="s">
        <v>51</v>
      </c>
      <c r="G3400" s="140" t="s">
        <v>21</v>
      </c>
      <c r="H3400" s="140" t="s">
        <v>372</v>
      </c>
      <c r="I3400" s="140" t="s">
        <v>21</v>
      </c>
      <c r="J3400" s="174"/>
    </row>
    <row r="3401" hidden="1" customHeight="1" spans="1:10">
      <c r="A3401" s="140" t="s">
        <v>565</v>
      </c>
      <c r="B3401" s="140" t="s">
        <v>398</v>
      </c>
      <c r="C3401" s="171">
        <v>45715</v>
      </c>
      <c r="D3401" s="172" t="s">
        <v>23</v>
      </c>
      <c r="E3401" s="140" t="s">
        <v>19</v>
      </c>
      <c r="F3401" s="140" t="s">
        <v>36</v>
      </c>
      <c r="G3401" s="140" t="s">
        <v>21</v>
      </c>
      <c r="H3401" s="140" t="s">
        <v>41</v>
      </c>
      <c r="I3401" s="140" t="s">
        <v>21</v>
      </c>
      <c r="J3401" s="174"/>
    </row>
    <row r="3402" hidden="1" customHeight="1" spans="1:10">
      <c r="A3402" s="140" t="s">
        <v>565</v>
      </c>
      <c r="B3402" s="140" t="s">
        <v>398</v>
      </c>
      <c r="C3402" s="171">
        <v>45716</v>
      </c>
      <c r="D3402" s="172" t="s">
        <v>25</v>
      </c>
      <c r="E3402" s="140" t="s">
        <v>19</v>
      </c>
      <c r="F3402" s="140" t="s">
        <v>33</v>
      </c>
      <c r="G3402" s="140" t="s">
        <v>21</v>
      </c>
      <c r="H3402" s="140" t="s">
        <v>238</v>
      </c>
      <c r="I3402" s="140" t="s">
        <v>21</v>
      </c>
      <c r="J3402" s="174"/>
    </row>
    <row r="3403" hidden="1" customHeight="1" spans="1:10">
      <c r="A3403" s="140" t="s">
        <v>567</v>
      </c>
      <c r="B3403" s="140" t="s">
        <v>398</v>
      </c>
      <c r="C3403" s="171">
        <v>45689</v>
      </c>
      <c r="D3403" s="172" t="s">
        <v>12</v>
      </c>
      <c r="E3403" s="140" t="s">
        <v>13</v>
      </c>
      <c r="F3403" s="140" t="s">
        <v>14</v>
      </c>
      <c r="G3403" s="140" t="s">
        <v>14</v>
      </c>
      <c r="H3403" s="140" t="s">
        <v>14</v>
      </c>
      <c r="I3403" s="140" t="s">
        <v>14</v>
      </c>
      <c r="J3403" s="174"/>
    </row>
    <row r="3404" hidden="1" customHeight="1" spans="1:10">
      <c r="A3404" s="140" t="s">
        <v>567</v>
      </c>
      <c r="B3404" s="140" t="s">
        <v>398</v>
      </c>
      <c r="C3404" s="171">
        <v>45690</v>
      </c>
      <c r="D3404" s="172" t="s">
        <v>15</v>
      </c>
      <c r="E3404" s="140" t="s">
        <v>13</v>
      </c>
      <c r="F3404" s="140" t="s">
        <v>14</v>
      </c>
      <c r="G3404" s="140" t="s">
        <v>14</v>
      </c>
      <c r="H3404" s="140" t="s">
        <v>14</v>
      </c>
      <c r="I3404" s="140" t="s">
        <v>14</v>
      </c>
      <c r="J3404" s="174"/>
    </row>
    <row r="3405" hidden="1" customHeight="1" spans="1:10">
      <c r="A3405" s="140" t="s">
        <v>567</v>
      </c>
      <c r="B3405" s="140" t="s">
        <v>398</v>
      </c>
      <c r="C3405" s="171">
        <v>45691</v>
      </c>
      <c r="D3405" s="172" t="s">
        <v>16</v>
      </c>
      <c r="E3405" s="140" t="s">
        <v>13</v>
      </c>
      <c r="F3405" s="140" t="s">
        <v>14</v>
      </c>
      <c r="G3405" s="140" t="s">
        <v>14</v>
      </c>
      <c r="H3405" s="140" t="s">
        <v>14</v>
      </c>
      <c r="I3405" s="140" t="s">
        <v>14</v>
      </c>
      <c r="J3405" s="174"/>
    </row>
    <row r="3406" hidden="1" customHeight="1" spans="1:10">
      <c r="A3406" s="140" t="s">
        <v>567</v>
      </c>
      <c r="B3406" s="140" t="s">
        <v>398</v>
      </c>
      <c r="C3406" s="171">
        <v>45692</v>
      </c>
      <c r="D3406" s="172" t="s">
        <v>17</v>
      </c>
      <c r="E3406" s="140" t="s">
        <v>13</v>
      </c>
      <c r="F3406" s="140" t="s">
        <v>14</v>
      </c>
      <c r="G3406" s="140" t="s">
        <v>14</v>
      </c>
      <c r="H3406" s="140" t="s">
        <v>14</v>
      </c>
      <c r="I3406" s="140" t="s">
        <v>14</v>
      </c>
      <c r="J3406" s="174"/>
    </row>
    <row r="3407" hidden="1" customHeight="1" spans="1:10">
      <c r="A3407" s="140" t="s">
        <v>567</v>
      </c>
      <c r="B3407" s="140" t="s">
        <v>398</v>
      </c>
      <c r="C3407" s="171">
        <v>45693</v>
      </c>
      <c r="D3407" s="172" t="s">
        <v>18</v>
      </c>
      <c r="E3407" s="140" t="s">
        <v>19</v>
      </c>
      <c r="F3407" s="140" t="s">
        <v>146</v>
      </c>
      <c r="G3407" s="140" t="s">
        <v>21</v>
      </c>
      <c r="H3407" s="140" t="s">
        <v>53</v>
      </c>
      <c r="I3407" s="140" t="s">
        <v>21</v>
      </c>
      <c r="J3407" s="174"/>
    </row>
    <row r="3408" hidden="1" customHeight="1" spans="1:10">
      <c r="A3408" s="140" t="s">
        <v>567</v>
      </c>
      <c r="B3408" s="140" t="s">
        <v>398</v>
      </c>
      <c r="C3408" s="171">
        <v>45694</v>
      </c>
      <c r="D3408" s="172" t="s">
        <v>23</v>
      </c>
      <c r="E3408" s="140" t="s">
        <v>19</v>
      </c>
      <c r="F3408" s="140" t="s">
        <v>139</v>
      </c>
      <c r="G3408" s="140" t="s">
        <v>21</v>
      </c>
      <c r="H3408" s="140" t="s">
        <v>50</v>
      </c>
      <c r="I3408" s="140" t="s">
        <v>21</v>
      </c>
      <c r="J3408" s="174"/>
    </row>
    <row r="3409" hidden="1" customHeight="1" spans="1:10">
      <c r="A3409" s="140" t="s">
        <v>567</v>
      </c>
      <c r="B3409" s="140" t="s">
        <v>398</v>
      </c>
      <c r="C3409" s="171">
        <v>45695</v>
      </c>
      <c r="D3409" s="172" t="s">
        <v>25</v>
      </c>
      <c r="E3409" s="140" t="s">
        <v>19</v>
      </c>
      <c r="F3409" s="140" t="s">
        <v>193</v>
      </c>
      <c r="G3409" s="140" t="s">
        <v>21</v>
      </c>
      <c r="H3409" s="140" t="s">
        <v>170</v>
      </c>
      <c r="I3409" s="140" t="s">
        <v>21</v>
      </c>
      <c r="J3409" s="174"/>
    </row>
    <row r="3410" customHeight="1" spans="1:10">
      <c r="A3410" s="140" t="s">
        <v>567</v>
      </c>
      <c r="B3410" s="140" t="s">
        <v>398</v>
      </c>
      <c r="C3410" s="171">
        <v>45696</v>
      </c>
      <c r="D3410" s="172" t="s">
        <v>27</v>
      </c>
      <c r="E3410" s="140" t="s">
        <v>19</v>
      </c>
      <c r="F3410" s="140" t="s">
        <v>14</v>
      </c>
      <c r="G3410" s="173" t="s">
        <v>68</v>
      </c>
      <c r="H3410" s="140" t="s">
        <v>14</v>
      </c>
      <c r="I3410" s="173" t="s">
        <v>68</v>
      </c>
      <c r="J3410" s="174" t="s">
        <v>234</v>
      </c>
    </row>
    <row r="3411" hidden="1" customHeight="1" spans="1:10">
      <c r="A3411" s="140" t="s">
        <v>567</v>
      </c>
      <c r="B3411" s="140" t="s">
        <v>398</v>
      </c>
      <c r="C3411" s="171">
        <v>45697</v>
      </c>
      <c r="D3411" s="172" t="s">
        <v>15</v>
      </c>
      <c r="E3411" s="140" t="s">
        <v>13</v>
      </c>
      <c r="F3411" s="140" t="s">
        <v>14</v>
      </c>
      <c r="G3411" s="140" t="s">
        <v>14</v>
      </c>
      <c r="H3411" s="140" t="s">
        <v>14</v>
      </c>
      <c r="I3411" s="140" t="s">
        <v>14</v>
      </c>
      <c r="J3411" s="174"/>
    </row>
    <row r="3412" hidden="1" customHeight="1" spans="1:10">
      <c r="A3412" s="140" t="s">
        <v>567</v>
      </c>
      <c r="B3412" s="140" t="s">
        <v>398</v>
      </c>
      <c r="C3412" s="171">
        <v>45698</v>
      </c>
      <c r="D3412" s="172" t="s">
        <v>16</v>
      </c>
      <c r="E3412" s="140" t="s">
        <v>19</v>
      </c>
      <c r="F3412" s="140" t="s">
        <v>154</v>
      </c>
      <c r="G3412" s="140" t="s">
        <v>21</v>
      </c>
      <c r="H3412" s="140" t="s">
        <v>50</v>
      </c>
      <c r="I3412" s="140" t="s">
        <v>21</v>
      </c>
      <c r="J3412" s="174"/>
    </row>
    <row r="3413" hidden="1" customHeight="1" spans="1:10">
      <c r="A3413" s="140" t="s">
        <v>567</v>
      </c>
      <c r="B3413" s="140" t="s">
        <v>398</v>
      </c>
      <c r="C3413" s="171">
        <v>45699</v>
      </c>
      <c r="D3413" s="172" t="s">
        <v>17</v>
      </c>
      <c r="E3413" s="140" t="s">
        <v>19</v>
      </c>
      <c r="F3413" s="140" t="s">
        <v>28</v>
      </c>
      <c r="G3413" s="140" t="s">
        <v>21</v>
      </c>
      <c r="H3413" s="140" t="s">
        <v>191</v>
      </c>
      <c r="I3413" s="140" t="s">
        <v>21</v>
      </c>
      <c r="J3413" s="174"/>
    </row>
    <row r="3414" hidden="1" customHeight="1" spans="1:10">
      <c r="A3414" s="140" t="s">
        <v>567</v>
      </c>
      <c r="B3414" s="140" t="s">
        <v>398</v>
      </c>
      <c r="C3414" s="171">
        <v>45700</v>
      </c>
      <c r="D3414" s="172" t="s">
        <v>18</v>
      </c>
      <c r="E3414" s="140" t="s">
        <v>19</v>
      </c>
      <c r="F3414" s="140" t="s">
        <v>193</v>
      </c>
      <c r="G3414" s="140" t="s">
        <v>21</v>
      </c>
      <c r="H3414" s="140" t="s">
        <v>191</v>
      </c>
      <c r="I3414" s="140" t="s">
        <v>21</v>
      </c>
      <c r="J3414" s="174"/>
    </row>
    <row r="3415" hidden="1" customHeight="1" spans="1:10">
      <c r="A3415" s="140" t="s">
        <v>567</v>
      </c>
      <c r="B3415" s="140" t="s">
        <v>398</v>
      </c>
      <c r="C3415" s="171">
        <v>45701</v>
      </c>
      <c r="D3415" s="172" t="s">
        <v>23</v>
      </c>
      <c r="E3415" s="140" t="s">
        <v>19</v>
      </c>
      <c r="F3415" s="140" t="s">
        <v>146</v>
      </c>
      <c r="G3415" s="140" t="s">
        <v>21</v>
      </c>
      <c r="H3415" s="140" t="s">
        <v>168</v>
      </c>
      <c r="I3415" s="140" t="s">
        <v>21</v>
      </c>
      <c r="J3415" s="174"/>
    </row>
    <row r="3416" hidden="1" customHeight="1" spans="1:10">
      <c r="A3416" s="140" t="s">
        <v>567</v>
      </c>
      <c r="B3416" s="140" t="s">
        <v>398</v>
      </c>
      <c r="C3416" s="171">
        <v>45702</v>
      </c>
      <c r="D3416" s="172" t="s">
        <v>25</v>
      </c>
      <c r="E3416" s="140" t="s">
        <v>19</v>
      </c>
      <c r="F3416" s="140" t="s">
        <v>30</v>
      </c>
      <c r="G3416" s="140" t="s">
        <v>21</v>
      </c>
      <c r="H3416" s="140" t="s">
        <v>231</v>
      </c>
      <c r="I3416" s="140" t="s">
        <v>21</v>
      </c>
      <c r="J3416" s="174"/>
    </row>
    <row r="3417" hidden="1" customHeight="1" spans="1:10">
      <c r="A3417" s="140" t="s">
        <v>567</v>
      </c>
      <c r="B3417" s="140" t="s">
        <v>398</v>
      </c>
      <c r="C3417" s="171">
        <v>45703</v>
      </c>
      <c r="D3417" s="172" t="s">
        <v>27</v>
      </c>
      <c r="E3417" s="140" t="s">
        <v>13</v>
      </c>
      <c r="F3417" s="140" t="s">
        <v>14</v>
      </c>
      <c r="G3417" s="140" t="s">
        <v>14</v>
      </c>
      <c r="H3417" s="140" t="s">
        <v>14</v>
      </c>
      <c r="I3417" s="140" t="s">
        <v>14</v>
      </c>
      <c r="J3417" s="174"/>
    </row>
    <row r="3418" hidden="1" customHeight="1" spans="1:10">
      <c r="A3418" s="140" t="s">
        <v>567</v>
      </c>
      <c r="B3418" s="140" t="s">
        <v>398</v>
      </c>
      <c r="C3418" s="171">
        <v>45704</v>
      </c>
      <c r="D3418" s="172" t="s">
        <v>15</v>
      </c>
      <c r="E3418" s="140" t="s">
        <v>13</v>
      </c>
      <c r="F3418" s="140" t="s">
        <v>14</v>
      </c>
      <c r="G3418" s="140" t="s">
        <v>14</v>
      </c>
      <c r="H3418" s="140" t="s">
        <v>14</v>
      </c>
      <c r="I3418" s="140" t="s">
        <v>14</v>
      </c>
      <c r="J3418" s="174"/>
    </row>
    <row r="3419" hidden="1" customHeight="1" spans="1:10">
      <c r="A3419" s="140" t="s">
        <v>567</v>
      </c>
      <c r="B3419" s="140" t="s">
        <v>398</v>
      </c>
      <c r="C3419" s="171">
        <v>45705</v>
      </c>
      <c r="D3419" s="172" t="s">
        <v>16</v>
      </c>
      <c r="E3419" s="140" t="s">
        <v>19</v>
      </c>
      <c r="F3419" s="140" t="s">
        <v>146</v>
      </c>
      <c r="G3419" s="140" t="s">
        <v>21</v>
      </c>
      <c r="H3419" s="140" t="s">
        <v>45</v>
      </c>
      <c r="I3419" s="140" t="s">
        <v>21</v>
      </c>
      <c r="J3419" s="174"/>
    </row>
    <row r="3420" hidden="1" customHeight="1" spans="1:10">
      <c r="A3420" s="140" t="s">
        <v>567</v>
      </c>
      <c r="B3420" s="140" t="s">
        <v>398</v>
      </c>
      <c r="C3420" s="171">
        <v>45706</v>
      </c>
      <c r="D3420" s="172" t="s">
        <v>17</v>
      </c>
      <c r="E3420" s="140" t="s">
        <v>19</v>
      </c>
      <c r="F3420" s="140" t="s">
        <v>146</v>
      </c>
      <c r="G3420" s="140" t="s">
        <v>21</v>
      </c>
      <c r="H3420" s="140" t="s">
        <v>170</v>
      </c>
      <c r="I3420" s="140" t="s">
        <v>21</v>
      </c>
      <c r="J3420" s="174"/>
    </row>
    <row r="3421" hidden="1" customHeight="1" spans="1:10">
      <c r="A3421" s="140" t="s">
        <v>567</v>
      </c>
      <c r="B3421" s="140" t="s">
        <v>398</v>
      </c>
      <c r="C3421" s="171">
        <v>45707</v>
      </c>
      <c r="D3421" s="172" t="s">
        <v>18</v>
      </c>
      <c r="E3421" s="140" t="s">
        <v>19</v>
      </c>
      <c r="F3421" s="140" t="s">
        <v>28</v>
      </c>
      <c r="G3421" s="140" t="s">
        <v>21</v>
      </c>
      <c r="H3421" s="140" t="s">
        <v>191</v>
      </c>
      <c r="I3421" s="140" t="s">
        <v>21</v>
      </c>
      <c r="J3421" s="174"/>
    </row>
    <row r="3422" hidden="1" customHeight="1" spans="1:10">
      <c r="A3422" s="140" t="s">
        <v>567</v>
      </c>
      <c r="B3422" s="140" t="s">
        <v>398</v>
      </c>
      <c r="C3422" s="171">
        <v>45708</v>
      </c>
      <c r="D3422" s="172" t="s">
        <v>23</v>
      </c>
      <c r="E3422" s="140" t="s">
        <v>19</v>
      </c>
      <c r="F3422" s="140" t="s">
        <v>154</v>
      </c>
      <c r="G3422" s="140" t="s">
        <v>21</v>
      </c>
      <c r="H3422" s="140" t="s">
        <v>50</v>
      </c>
      <c r="I3422" s="140" t="s">
        <v>21</v>
      </c>
      <c r="J3422" s="174"/>
    </row>
    <row r="3423" hidden="1" customHeight="1" spans="1:10">
      <c r="A3423" s="140" t="s">
        <v>567</v>
      </c>
      <c r="B3423" s="140" t="s">
        <v>398</v>
      </c>
      <c r="C3423" s="171">
        <v>45709</v>
      </c>
      <c r="D3423" s="172" t="s">
        <v>25</v>
      </c>
      <c r="E3423" s="140" t="s">
        <v>19</v>
      </c>
      <c r="F3423" s="140" t="s">
        <v>154</v>
      </c>
      <c r="G3423" s="140" t="s">
        <v>21</v>
      </c>
      <c r="H3423" s="140" t="s">
        <v>235</v>
      </c>
      <c r="I3423" s="140" t="s">
        <v>21</v>
      </c>
      <c r="J3423" s="174"/>
    </row>
    <row r="3424" hidden="1" customHeight="1" spans="1:10">
      <c r="A3424" s="140" t="s">
        <v>567</v>
      </c>
      <c r="B3424" s="140" t="s">
        <v>398</v>
      </c>
      <c r="C3424" s="171">
        <v>45710</v>
      </c>
      <c r="D3424" s="172" t="s">
        <v>27</v>
      </c>
      <c r="E3424" s="140" t="s">
        <v>13</v>
      </c>
      <c r="F3424" s="140" t="s">
        <v>14</v>
      </c>
      <c r="G3424" s="140" t="s">
        <v>14</v>
      </c>
      <c r="H3424" s="140" t="s">
        <v>14</v>
      </c>
      <c r="I3424" s="140" t="s">
        <v>14</v>
      </c>
      <c r="J3424" s="174"/>
    </row>
    <row r="3425" hidden="1" customHeight="1" spans="1:10">
      <c r="A3425" s="140" t="s">
        <v>567</v>
      </c>
      <c r="B3425" s="140" t="s">
        <v>398</v>
      </c>
      <c r="C3425" s="171">
        <v>45711</v>
      </c>
      <c r="D3425" s="172" t="s">
        <v>15</v>
      </c>
      <c r="E3425" s="140" t="s">
        <v>13</v>
      </c>
      <c r="F3425" s="140" t="s">
        <v>14</v>
      </c>
      <c r="G3425" s="140" t="s">
        <v>14</v>
      </c>
      <c r="H3425" s="140" t="s">
        <v>14</v>
      </c>
      <c r="I3425" s="140" t="s">
        <v>14</v>
      </c>
      <c r="J3425" s="174"/>
    </row>
    <row r="3426" hidden="1" customHeight="1" spans="1:10">
      <c r="A3426" s="140" t="s">
        <v>567</v>
      </c>
      <c r="B3426" s="140" t="s">
        <v>398</v>
      </c>
      <c r="C3426" s="171">
        <v>45712</v>
      </c>
      <c r="D3426" s="172" t="s">
        <v>16</v>
      </c>
      <c r="E3426" s="140" t="s">
        <v>19</v>
      </c>
      <c r="F3426" s="140" t="s">
        <v>28</v>
      </c>
      <c r="G3426" s="140" t="s">
        <v>21</v>
      </c>
      <c r="H3426" s="140" t="s">
        <v>50</v>
      </c>
      <c r="I3426" s="140" t="s">
        <v>21</v>
      </c>
      <c r="J3426" s="174"/>
    </row>
    <row r="3427" hidden="1" customHeight="1" spans="1:10">
      <c r="A3427" s="140" t="s">
        <v>567</v>
      </c>
      <c r="B3427" s="140" t="s">
        <v>398</v>
      </c>
      <c r="C3427" s="171">
        <v>45713</v>
      </c>
      <c r="D3427" s="172" t="s">
        <v>17</v>
      </c>
      <c r="E3427" s="140" t="s">
        <v>19</v>
      </c>
      <c r="F3427" s="140" t="s">
        <v>150</v>
      </c>
      <c r="G3427" s="140" t="s">
        <v>21</v>
      </c>
      <c r="H3427" s="140" t="s">
        <v>212</v>
      </c>
      <c r="I3427" s="140" t="s">
        <v>21</v>
      </c>
      <c r="J3427" s="174"/>
    </row>
    <row r="3428" hidden="1" customHeight="1" spans="1:10">
      <c r="A3428" s="140" t="s">
        <v>567</v>
      </c>
      <c r="B3428" s="140" t="s">
        <v>398</v>
      </c>
      <c r="C3428" s="171">
        <v>45714</v>
      </c>
      <c r="D3428" s="172" t="s">
        <v>18</v>
      </c>
      <c r="E3428" s="140" t="s">
        <v>19</v>
      </c>
      <c r="F3428" s="140" t="s">
        <v>193</v>
      </c>
      <c r="G3428" s="140" t="s">
        <v>21</v>
      </c>
      <c r="H3428" s="140" t="s">
        <v>191</v>
      </c>
      <c r="I3428" s="140" t="s">
        <v>21</v>
      </c>
      <c r="J3428" s="174"/>
    </row>
    <row r="3429" customHeight="1" spans="1:10">
      <c r="A3429" s="140" t="s">
        <v>567</v>
      </c>
      <c r="B3429" s="140" t="s">
        <v>398</v>
      </c>
      <c r="C3429" s="171">
        <v>45715</v>
      </c>
      <c r="D3429" s="172" t="s">
        <v>23</v>
      </c>
      <c r="E3429" s="140" t="s">
        <v>19</v>
      </c>
      <c r="F3429" s="140" t="s">
        <v>14</v>
      </c>
      <c r="G3429" s="173" t="s">
        <v>68</v>
      </c>
      <c r="H3429" s="140" t="s">
        <v>14</v>
      </c>
      <c r="I3429" s="173" t="s">
        <v>68</v>
      </c>
      <c r="J3429" s="174" t="s">
        <v>234</v>
      </c>
    </row>
    <row r="3430" hidden="1" customHeight="1" spans="1:10">
      <c r="A3430" s="140" t="s">
        <v>567</v>
      </c>
      <c r="B3430" s="140" t="s">
        <v>398</v>
      </c>
      <c r="C3430" s="171">
        <v>45716</v>
      </c>
      <c r="D3430" s="172" t="s">
        <v>25</v>
      </c>
      <c r="E3430" s="140" t="s">
        <v>19</v>
      </c>
      <c r="F3430" s="140" t="s">
        <v>146</v>
      </c>
      <c r="G3430" s="140" t="s">
        <v>21</v>
      </c>
      <c r="H3430" s="140" t="s">
        <v>210</v>
      </c>
      <c r="I3430" s="140" t="s">
        <v>21</v>
      </c>
      <c r="J3430" s="174"/>
    </row>
    <row r="3431" hidden="1" customHeight="1" spans="1:10">
      <c r="A3431" s="140" t="s">
        <v>568</v>
      </c>
      <c r="B3431" s="140" t="s">
        <v>569</v>
      </c>
      <c r="C3431" s="171">
        <v>45689</v>
      </c>
      <c r="D3431" s="172" t="s">
        <v>12</v>
      </c>
      <c r="E3431" s="140" t="s">
        <v>13</v>
      </c>
      <c r="F3431" s="140" t="s">
        <v>14</v>
      </c>
      <c r="G3431" s="140" t="s">
        <v>14</v>
      </c>
      <c r="H3431" s="140" t="s">
        <v>14</v>
      </c>
      <c r="I3431" s="140" t="s">
        <v>14</v>
      </c>
      <c r="J3431" s="174"/>
    </row>
    <row r="3432" hidden="1" customHeight="1" spans="1:10">
      <c r="A3432" s="140" t="s">
        <v>568</v>
      </c>
      <c r="B3432" s="140" t="s">
        <v>569</v>
      </c>
      <c r="C3432" s="171">
        <v>45690</v>
      </c>
      <c r="D3432" s="172" t="s">
        <v>15</v>
      </c>
      <c r="E3432" s="140" t="s">
        <v>13</v>
      </c>
      <c r="F3432" s="140" t="s">
        <v>570</v>
      </c>
      <c r="G3432" s="140" t="s">
        <v>21</v>
      </c>
      <c r="H3432" s="140" t="s">
        <v>571</v>
      </c>
      <c r="I3432" s="140" t="s">
        <v>21</v>
      </c>
      <c r="J3432" s="174"/>
    </row>
    <row r="3433" hidden="1" customHeight="1" spans="1:10">
      <c r="A3433" s="140" t="s">
        <v>568</v>
      </c>
      <c r="B3433" s="140" t="s">
        <v>569</v>
      </c>
      <c r="C3433" s="171">
        <v>45691</v>
      </c>
      <c r="D3433" s="172" t="s">
        <v>16</v>
      </c>
      <c r="E3433" s="140" t="s">
        <v>13</v>
      </c>
      <c r="F3433" s="140" t="s">
        <v>572</v>
      </c>
      <c r="G3433" s="140" t="s">
        <v>21</v>
      </c>
      <c r="H3433" s="140" t="s">
        <v>419</v>
      </c>
      <c r="I3433" s="140" t="s">
        <v>21</v>
      </c>
      <c r="J3433" s="174"/>
    </row>
    <row r="3434" hidden="1" customHeight="1" spans="1:10">
      <c r="A3434" s="140" t="s">
        <v>568</v>
      </c>
      <c r="B3434" s="140" t="s">
        <v>569</v>
      </c>
      <c r="C3434" s="171">
        <v>45692</v>
      </c>
      <c r="D3434" s="172" t="s">
        <v>17</v>
      </c>
      <c r="E3434" s="140" t="s">
        <v>13</v>
      </c>
      <c r="F3434" s="140" t="s">
        <v>14</v>
      </c>
      <c r="G3434" s="140" t="s">
        <v>14</v>
      </c>
      <c r="H3434" s="140" t="s">
        <v>14</v>
      </c>
      <c r="I3434" s="140" t="s">
        <v>14</v>
      </c>
      <c r="J3434" s="174"/>
    </row>
    <row r="3435" hidden="1" customHeight="1" spans="1:10">
      <c r="A3435" s="140" t="s">
        <v>568</v>
      </c>
      <c r="B3435" s="140" t="s">
        <v>569</v>
      </c>
      <c r="C3435" s="171">
        <v>45693</v>
      </c>
      <c r="D3435" s="172" t="s">
        <v>18</v>
      </c>
      <c r="E3435" s="140" t="s">
        <v>19</v>
      </c>
      <c r="F3435" s="140" t="s">
        <v>28</v>
      </c>
      <c r="G3435" s="140" t="s">
        <v>21</v>
      </c>
      <c r="H3435" s="140" t="s">
        <v>176</v>
      </c>
      <c r="I3435" s="140" t="s">
        <v>21</v>
      </c>
      <c r="J3435" s="174"/>
    </row>
    <row r="3436" hidden="1" customHeight="1" spans="1:10">
      <c r="A3436" s="140" t="s">
        <v>568</v>
      </c>
      <c r="B3436" s="140" t="s">
        <v>569</v>
      </c>
      <c r="C3436" s="171">
        <v>45694</v>
      </c>
      <c r="D3436" s="172" t="s">
        <v>23</v>
      </c>
      <c r="E3436" s="140" t="s">
        <v>19</v>
      </c>
      <c r="F3436" s="140" t="s">
        <v>28</v>
      </c>
      <c r="G3436" s="140" t="s">
        <v>21</v>
      </c>
      <c r="H3436" s="140" t="s">
        <v>254</v>
      </c>
      <c r="I3436" s="140" t="s">
        <v>21</v>
      </c>
      <c r="J3436" s="174"/>
    </row>
    <row r="3437" hidden="1" customHeight="1" spans="1:10">
      <c r="A3437" s="140" t="s">
        <v>568</v>
      </c>
      <c r="B3437" s="140" t="s">
        <v>569</v>
      </c>
      <c r="C3437" s="171">
        <v>45695</v>
      </c>
      <c r="D3437" s="172" t="s">
        <v>25</v>
      </c>
      <c r="E3437" s="140" t="s">
        <v>19</v>
      </c>
      <c r="F3437" s="140" t="s">
        <v>36</v>
      </c>
      <c r="G3437" s="140" t="s">
        <v>21</v>
      </c>
      <c r="H3437" s="140" t="s">
        <v>109</v>
      </c>
      <c r="I3437" s="140" t="s">
        <v>21</v>
      </c>
      <c r="J3437" s="174"/>
    </row>
    <row r="3438" hidden="1" customHeight="1" spans="1:10">
      <c r="A3438" s="140" t="s">
        <v>568</v>
      </c>
      <c r="B3438" s="140" t="s">
        <v>569</v>
      </c>
      <c r="C3438" s="171">
        <v>45696</v>
      </c>
      <c r="D3438" s="172" t="s">
        <v>27</v>
      </c>
      <c r="E3438" s="140" t="s">
        <v>19</v>
      </c>
      <c r="F3438" s="140" t="s">
        <v>33</v>
      </c>
      <c r="G3438" s="140" t="s">
        <v>21</v>
      </c>
      <c r="H3438" s="140" t="s">
        <v>392</v>
      </c>
      <c r="I3438" s="140" t="s">
        <v>21</v>
      </c>
      <c r="J3438" s="174"/>
    </row>
    <row r="3439" hidden="1" customHeight="1" spans="1:10">
      <c r="A3439" s="140" t="s">
        <v>568</v>
      </c>
      <c r="B3439" s="140" t="s">
        <v>569</v>
      </c>
      <c r="C3439" s="171">
        <v>45697</v>
      </c>
      <c r="D3439" s="172" t="s">
        <v>15</v>
      </c>
      <c r="E3439" s="140" t="s">
        <v>13</v>
      </c>
      <c r="F3439" s="140" t="s">
        <v>573</v>
      </c>
      <c r="G3439" s="140" t="s">
        <v>21</v>
      </c>
      <c r="H3439" s="140" t="s">
        <v>202</v>
      </c>
      <c r="I3439" s="140" t="s">
        <v>21</v>
      </c>
      <c r="J3439" s="174"/>
    </row>
    <row r="3440" hidden="1" customHeight="1" spans="1:10">
      <c r="A3440" s="140" t="s">
        <v>568</v>
      </c>
      <c r="B3440" s="140" t="s">
        <v>569</v>
      </c>
      <c r="C3440" s="171">
        <v>45698</v>
      </c>
      <c r="D3440" s="172" t="s">
        <v>16</v>
      </c>
      <c r="E3440" s="140" t="s">
        <v>19</v>
      </c>
      <c r="F3440" s="140" t="s">
        <v>51</v>
      </c>
      <c r="G3440" s="140" t="s">
        <v>21</v>
      </c>
      <c r="H3440" s="140" t="s">
        <v>417</v>
      </c>
      <c r="I3440" s="140" t="s">
        <v>21</v>
      </c>
      <c r="J3440" s="174"/>
    </row>
    <row r="3441" hidden="1" customHeight="1" spans="1:10">
      <c r="A3441" s="140" t="s">
        <v>568</v>
      </c>
      <c r="B3441" s="140" t="s">
        <v>569</v>
      </c>
      <c r="C3441" s="171">
        <v>45699</v>
      </c>
      <c r="D3441" s="172" t="s">
        <v>17</v>
      </c>
      <c r="E3441" s="140" t="s">
        <v>19</v>
      </c>
      <c r="F3441" s="140" t="s">
        <v>46</v>
      </c>
      <c r="G3441" s="140" t="s">
        <v>21</v>
      </c>
      <c r="H3441" s="140" t="s">
        <v>125</v>
      </c>
      <c r="I3441" s="140" t="s">
        <v>21</v>
      </c>
      <c r="J3441" s="174"/>
    </row>
    <row r="3442" hidden="1" customHeight="1" spans="1:10">
      <c r="A3442" s="140" t="s">
        <v>568</v>
      </c>
      <c r="B3442" s="140" t="s">
        <v>569</v>
      </c>
      <c r="C3442" s="171">
        <v>45700</v>
      </c>
      <c r="D3442" s="172" t="s">
        <v>18</v>
      </c>
      <c r="E3442" s="140" t="s">
        <v>19</v>
      </c>
      <c r="F3442" s="140" t="s">
        <v>33</v>
      </c>
      <c r="G3442" s="140" t="s">
        <v>21</v>
      </c>
      <c r="H3442" s="140" t="s">
        <v>66</v>
      </c>
      <c r="I3442" s="140" t="s">
        <v>21</v>
      </c>
      <c r="J3442" s="174"/>
    </row>
    <row r="3443" hidden="1" customHeight="1" spans="1:10">
      <c r="A3443" s="140" t="s">
        <v>568</v>
      </c>
      <c r="B3443" s="140" t="s">
        <v>569</v>
      </c>
      <c r="C3443" s="171">
        <v>45701</v>
      </c>
      <c r="D3443" s="172" t="s">
        <v>23</v>
      </c>
      <c r="E3443" s="140" t="s">
        <v>19</v>
      </c>
      <c r="F3443" s="140" t="s">
        <v>43</v>
      </c>
      <c r="G3443" s="140" t="s">
        <v>21</v>
      </c>
      <c r="H3443" s="140" t="s">
        <v>371</v>
      </c>
      <c r="I3443" s="140" t="s">
        <v>21</v>
      </c>
      <c r="J3443" s="174"/>
    </row>
    <row r="3444" hidden="1" customHeight="1" spans="1:10">
      <c r="A3444" s="140" t="s">
        <v>568</v>
      </c>
      <c r="B3444" s="140" t="s">
        <v>569</v>
      </c>
      <c r="C3444" s="171">
        <v>45702</v>
      </c>
      <c r="D3444" s="172" t="s">
        <v>25</v>
      </c>
      <c r="E3444" s="140" t="s">
        <v>19</v>
      </c>
      <c r="F3444" s="140" t="s">
        <v>33</v>
      </c>
      <c r="G3444" s="140" t="s">
        <v>21</v>
      </c>
      <c r="H3444" s="140" t="s">
        <v>361</v>
      </c>
      <c r="I3444" s="140" t="s">
        <v>21</v>
      </c>
      <c r="J3444" s="174"/>
    </row>
    <row r="3445" hidden="1" customHeight="1" spans="1:10">
      <c r="A3445" s="140" t="s">
        <v>568</v>
      </c>
      <c r="B3445" s="140" t="s">
        <v>569</v>
      </c>
      <c r="C3445" s="171">
        <v>45703</v>
      </c>
      <c r="D3445" s="172" t="s">
        <v>27</v>
      </c>
      <c r="E3445" s="140" t="s">
        <v>13</v>
      </c>
      <c r="F3445" s="140" t="s">
        <v>574</v>
      </c>
      <c r="G3445" s="140" t="s">
        <v>21</v>
      </c>
      <c r="H3445" s="140" t="s">
        <v>575</v>
      </c>
      <c r="I3445" s="140" t="s">
        <v>21</v>
      </c>
      <c r="J3445" s="174"/>
    </row>
    <row r="3446" hidden="1" customHeight="1" spans="1:10">
      <c r="A3446" s="140" t="s">
        <v>568</v>
      </c>
      <c r="B3446" s="140" t="s">
        <v>569</v>
      </c>
      <c r="C3446" s="171">
        <v>45704</v>
      </c>
      <c r="D3446" s="172" t="s">
        <v>15</v>
      </c>
      <c r="E3446" s="140" t="s">
        <v>13</v>
      </c>
      <c r="F3446" s="140" t="s">
        <v>576</v>
      </c>
      <c r="G3446" s="140" t="s">
        <v>21</v>
      </c>
      <c r="H3446" s="140" t="s">
        <v>577</v>
      </c>
      <c r="I3446" s="140" t="s">
        <v>21</v>
      </c>
      <c r="J3446" s="174"/>
    </row>
    <row r="3447" hidden="1" customHeight="1" spans="1:10">
      <c r="A3447" s="140" t="s">
        <v>568</v>
      </c>
      <c r="B3447" s="140" t="s">
        <v>569</v>
      </c>
      <c r="C3447" s="171">
        <v>45705</v>
      </c>
      <c r="D3447" s="172" t="s">
        <v>16</v>
      </c>
      <c r="E3447" s="140" t="s">
        <v>19</v>
      </c>
      <c r="F3447" s="140" t="s">
        <v>139</v>
      </c>
      <c r="G3447" s="140" t="s">
        <v>21</v>
      </c>
      <c r="H3447" s="140" t="s">
        <v>273</v>
      </c>
      <c r="I3447" s="140" t="s">
        <v>21</v>
      </c>
      <c r="J3447" s="174"/>
    </row>
    <row r="3448" customHeight="1" spans="1:10">
      <c r="A3448" s="140" t="s">
        <v>568</v>
      </c>
      <c r="B3448" s="140" t="s">
        <v>569</v>
      </c>
      <c r="C3448" s="171">
        <v>45706</v>
      </c>
      <c r="D3448" s="172" t="s">
        <v>17</v>
      </c>
      <c r="E3448" s="140" t="s">
        <v>19</v>
      </c>
      <c r="F3448" s="140" t="s">
        <v>14</v>
      </c>
      <c r="G3448" s="173" t="s">
        <v>68</v>
      </c>
      <c r="H3448" s="140" t="s">
        <v>14</v>
      </c>
      <c r="I3448" s="173" t="s">
        <v>68</v>
      </c>
      <c r="J3448" s="174" t="s">
        <v>93</v>
      </c>
    </row>
    <row r="3449" customHeight="1" spans="1:10">
      <c r="A3449" s="140" t="s">
        <v>568</v>
      </c>
      <c r="B3449" s="140" t="s">
        <v>569</v>
      </c>
      <c r="C3449" s="171">
        <v>45707</v>
      </c>
      <c r="D3449" s="172" t="s">
        <v>18</v>
      </c>
      <c r="E3449" s="140" t="s">
        <v>19</v>
      </c>
      <c r="F3449" s="140" t="s">
        <v>14</v>
      </c>
      <c r="G3449" s="173" t="s">
        <v>68</v>
      </c>
      <c r="H3449" s="140" t="s">
        <v>14</v>
      </c>
      <c r="I3449" s="173" t="s">
        <v>68</v>
      </c>
      <c r="J3449" s="174" t="s">
        <v>93</v>
      </c>
    </row>
    <row r="3450" customHeight="1" spans="1:10">
      <c r="A3450" s="140" t="s">
        <v>568</v>
      </c>
      <c r="B3450" s="140" t="s">
        <v>569</v>
      </c>
      <c r="C3450" s="171">
        <v>45708</v>
      </c>
      <c r="D3450" s="172" t="s">
        <v>23</v>
      </c>
      <c r="E3450" s="140" t="s">
        <v>19</v>
      </c>
      <c r="F3450" s="140" t="s">
        <v>14</v>
      </c>
      <c r="G3450" s="173" t="s">
        <v>68</v>
      </c>
      <c r="H3450" s="140" t="s">
        <v>14</v>
      </c>
      <c r="I3450" s="173" t="s">
        <v>68</v>
      </c>
      <c r="J3450" s="174" t="s">
        <v>93</v>
      </c>
    </row>
    <row r="3451" hidden="1" customHeight="1" spans="1:10">
      <c r="A3451" s="140" t="s">
        <v>568</v>
      </c>
      <c r="B3451" s="140" t="s">
        <v>569</v>
      </c>
      <c r="C3451" s="171">
        <v>45709</v>
      </c>
      <c r="D3451" s="172" t="s">
        <v>25</v>
      </c>
      <c r="E3451" s="140" t="s">
        <v>19</v>
      </c>
      <c r="F3451" s="140" t="s">
        <v>51</v>
      </c>
      <c r="G3451" s="140" t="s">
        <v>21</v>
      </c>
      <c r="H3451" s="140" t="s">
        <v>82</v>
      </c>
      <c r="I3451" s="140" t="s">
        <v>21</v>
      </c>
      <c r="J3451" s="174"/>
    </row>
    <row r="3452" hidden="1" customHeight="1" spans="1:10">
      <c r="A3452" s="140" t="s">
        <v>568</v>
      </c>
      <c r="B3452" s="140" t="s">
        <v>569</v>
      </c>
      <c r="C3452" s="171">
        <v>45710</v>
      </c>
      <c r="D3452" s="172" t="s">
        <v>27</v>
      </c>
      <c r="E3452" s="140" t="s">
        <v>13</v>
      </c>
      <c r="F3452" s="140" t="s">
        <v>357</v>
      </c>
      <c r="G3452" s="140" t="s">
        <v>21</v>
      </c>
      <c r="H3452" s="140" t="s">
        <v>578</v>
      </c>
      <c r="I3452" s="140" t="s">
        <v>21</v>
      </c>
      <c r="J3452" s="174"/>
    </row>
    <row r="3453" hidden="1" customHeight="1" spans="1:10">
      <c r="A3453" s="140" t="s">
        <v>568</v>
      </c>
      <c r="B3453" s="140" t="s">
        <v>569</v>
      </c>
      <c r="C3453" s="171">
        <v>45711</v>
      </c>
      <c r="D3453" s="172" t="s">
        <v>15</v>
      </c>
      <c r="E3453" s="140" t="s">
        <v>13</v>
      </c>
      <c r="F3453" s="140" t="s">
        <v>579</v>
      </c>
      <c r="G3453" s="140" t="s">
        <v>21</v>
      </c>
      <c r="H3453" s="140" t="s">
        <v>580</v>
      </c>
      <c r="I3453" s="140" t="s">
        <v>21</v>
      </c>
      <c r="J3453" s="174"/>
    </row>
    <row r="3454" hidden="1" customHeight="1" spans="1:10">
      <c r="A3454" s="140" t="s">
        <v>568</v>
      </c>
      <c r="B3454" s="140" t="s">
        <v>569</v>
      </c>
      <c r="C3454" s="171">
        <v>45712</v>
      </c>
      <c r="D3454" s="172" t="s">
        <v>16</v>
      </c>
      <c r="E3454" s="140" t="s">
        <v>19</v>
      </c>
      <c r="F3454" s="140" t="s">
        <v>36</v>
      </c>
      <c r="G3454" s="140" t="s">
        <v>21</v>
      </c>
      <c r="H3454" s="140" t="s">
        <v>375</v>
      </c>
      <c r="I3454" s="140" t="s">
        <v>21</v>
      </c>
      <c r="J3454" s="174"/>
    </row>
    <row r="3455" hidden="1" customHeight="1" spans="1:10">
      <c r="A3455" s="140" t="s">
        <v>568</v>
      </c>
      <c r="B3455" s="140" t="s">
        <v>569</v>
      </c>
      <c r="C3455" s="171">
        <v>45713</v>
      </c>
      <c r="D3455" s="172" t="s">
        <v>17</v>
      </c>
      <c r="E3455" s="140" t="s">
        <v>19</v>
      </c>
      <c r="F3455" s="140" t="s">
        <v>30</v>
      </c>
      <c r="G3455" s="140" t="s">
        <v>21</v>
      </c>
      <c r="H3455" s="140" t="s">
        <v>345</v>
      </c>
      <c r="I3455" s="140" t="s">
        <v>21</v>
      </c>
      <c r="J3455" s="174"/>
    </row>
    <row r="3456" hidden="1" customHeight="1" spans="1:10">
      <c r="A3456" s="140" t="s">
        <v>568</v>
      </c>
      <c r="B3456" s="140" t="s">
        <v>569</v>
      </c>
      <c r="C3456" s="171">
        <v>45714</v>
      </c>
      <c r="D3456" s="172" t="s">
        <v>18</v>
      </c>
      <c r="E3456" s="140" t="s">
        <v>19</v>
      </c>
      <c r="F3456" s="140" t="s">
        <v>46</v>
      </c>
      <c r="G3456" s="140" t="s">
        <v>21</v>
      </c>
      <c r="H3456" s="140" t="s">
        <v>66</v>
      </c>
      <c r="I3456" s="140" t="s">
        <v>21</v>
      </c>
      <c r="J3456" s="174"/>
    </row>
    <row r="3457" hidden="1" customHeight="1" spans="1:10">
      <c r="A3457" s="140" t="s">
        <v>568</v>
      </c>
      <c r="B3457" s="140" t="s">
        <v>569</v>
      </c>
      <c r="C3457" s="171">
        <v>45715</v>
      </c>
      <c r="D3457" s="172" t="s">
        <v>23</v>
      </c>
      <c r="E3457" s="140" t="s">
        <v>19</v>
      </c>
      <c r="F3457" s="140" t="s">
        <v>33</v>
      </c>
      <c r="G3457" s="140" t="s">
        <v>21</v>
      </c>
      <c r="H3457" s="140" t="s">
        <v>399</v>
      </c>
      <c r="I3457" s="140" t="s">
        <v>21</v>
      </c>
      <c r="J3457" s="174"/>
    </row>
    <row r="3458" customHeight="1" spans="1:10">
      <c r="A3458" s="140" t="s">
        <v>568</v>
      </c>
      <c r="B3458" s="140" t="s">
        <v>569</v>
      </c>
      <c r="C3458" s="171">
        <v>45716</v>
      </c>
      <c r="D3458" s="172" t="s">
        <v>25</v>
      </c>
      <c r="E3458" s="140" t="s">
        <v>19</v>
      </c>
      <c r="F3458" s="140" t="s">
        <v>14</v>
      </c>
      <c r="G3458" s="173" t="s">
        <v>68</v>
      </c>
      <c r="H3458" s="140" t="s">
        <v>14</v>
      </c>
      <c r="I3458" s="173" t="s">
        <v>68</v>
      </c>
      <c r="J3458" s="174" t="s">
        <v>69</v>
      </c>
    </row>
    <row r="3459" hidden="1" customHeight="1" spans="1:10">
      <c r="A3459" s="140" t="s">
        <v>581</v>
      </c>
      <c r="B3459" s="140" t="s">
        <v>569</v>
      </c>
      <c r="C3459" s="171">
        <v>45689</v>
      </c>
      <c r="D3459" s="172" t="s">
        <v>12</v>
      </c>
      <c r="E3459" s="140" t="s">
        <v>13</v>
      </c>
      <c r="F3459" s="140" t="s">
        <v>14</v>
      </c>
      <c r="G3459" s="140" t="s">
        <v>14</v>
      </c>
      <c r="H3459" s="140" t="s">
        <v>14</v>
      </c>
      <c r="I3459" s="140" t="s">
        <v>14</v>
      </c>
      <c r="J3459" s="174"/>
    </row>
    <row r="3460" hidden="1" customHeight="1" spans="1:10">
      <c r="A3460" s="140" t="s">
        <v>581</v>
      </c>
      <c r="B3460" s="140" t="s">
        <v>569</v>
      </c>
      <c r="C3460" s="171">
        <v>45690</v>
      </c>
      <c r="D3460" s="172" t="s">
        <v>15</v>
      </c>
      <c r="E3460" s="140" t="s">
        <v>13</v>
      </c>
      <c r="F3460" s="140" t="s">
        <v>14</v>
      </c>
      <c r="G3460" s="140" t="s">
        <v>14</v>
      </c>
      <c r="H3460" s="140" t="s">
        <v>14</v>
      </c>
      <c r="I3460" s="140" t="s">
        <v>14</v>
      </c>
      <c r="J3460" s="174"/>
    </row>
    <row r="3461" hidden="1" customHeight="1" spans="1:10">
      <c r="A3461" s="140" t="s">
        <v>581</v>
      </c>
      <c r="B3461" s="140" t="s">
        <v>569</v>
      </c>
      <c r="C3461" s="171">
        <v>45691</v>
      </c>
      <c r="D3461" s="172" t="s">
        <v>16</v>
      </c>
      <c r="E3461" s="140" t="s">
        <v>13</v>
      </c>
      <c r="F3461" s="140" t="s">
        <v>14</v>
      </c>
      <c r="G3461" s="140" t="s">
        <v>14</v>
      </c>
      <c r="H3461" s="140" t="s">
        <v>14</v>
      </c>
      <c r="I3461" s="140" t="s">
        <v>14</v>
      </c>
      <c r="J3461" s="174"/>
    </row>
    <row r="3462" hidden="1" customHeight="1" spans="1:10">
      <c r="A3462" s="140" t="s">
        <v>581</v>
      </c>
      <c r="B3462" s="140" t="s">
        <v>569</v>
      </c>
      <c r="C3462" s="171">
        <v>45692</v>
      </c>
      <c r="D3462" s="172" t="s">
        <v>17</v>
      </c>
      <c r="E3462" s="140" t="s">
        <v>13</v>
      </c>
      <c r="F3462" s="140" t="s">
        <v>14</v>
      </c>
      <c r="G3462" s="140" t="s">
        <v>14</v>
      </c>
      <c r="H3462" s="140" t="s">
        <v>14</v>
      </c>
      <c r="I3462" s="140" t="s">
        <v>14</v>
      </c>
      <c r="J3462" s="174"/>
    </row>
    <row r="3463" hidden="1" customHeight="1" spans="1:10">
      <c r="A3463" s="140" t="s">
        <v>581</v>
      </c>
      <c r="B3463" s="140" t="s">
        <v>569</v>
      </c>
      <c r="C3463" s="171">
        <v>45693</v>
      </c>
      <c r="D3463" s="172" t="s">
        <v>18</v>
      </c>
      <c r="E3463" s="140" t="s">
        <v>19</v>
      </c>
      <c r="F3463" s="140" t="s">
        <v>110</v>
      </c>
      <c r="G3463" s="140" t="s">
        <v>21</v>
      </c>
      <c r="H3463" s="140" t="s">
        <v>88</v>
      </c>
      <c r="I3463" s="140" t="s">
        <v>21</v>
      </c>
      <c r="J3463" s="174"/>
    </row>
    <row r="3464" hidden="1" customHeight="1" spans="1:10">
      <c r="A3464" s="140" t="s">
        <v>581</v>
      </c>
      <c r="B3464" s="140" t="s">
        <v>569</v>
      </c>
      <c r="C3464" s="171">
        <v>45694</v>
      </c>
      <c r="D3464" s="172" t="s">
        <v>23</v>
      </c>
      <c r="E3464" s="140" t="s">
        <v>19</v>
      </c>
      <c r="F3464" s="140" t="s">
        <v>146</v>
      </c>
      <c r="G3464" s="140" t="s">
        <v>21</v>
      </c>
      <c r="H3464" s="140" t="s">
        <v>387</v>
      </c>
      <c r="I3464" s="140" t="s">
        <v>21</v>
      </c>
      <c r="J3464" s="174"/>
    </row>
    <row r="3465" customHeight="1" spans="1:10">
      <c r="A3465" s="140" t="s">
        <v>581</v>
      </c>
      <c r="B3465" s="140" t="s">
        <v>569</v>
      </c>
      <c r="C3465" s="171">
        <v>45695</v>
      </c>
      <c r="D3465" s="172" t="s">
        <v>25</v>
      </c>
      <c r="E3465" s="140" t="s">
        <v>19</v>
      </c>
      <c r="F3465" s="140" t="s">
        <v>135</v>
      </c>
      <c r="G3465" s="140" t="s">
        <v>21</v>
      </c>
      <c r="H3465" s="140" t="s">
        <v>14</v>
      </c>
      <c r="I3465" s="173" t="s">
        <v>68</v>
      </c>
      <c r="J3465" s="174" t="s">
        <v>69</v>
      </c>
    </row>
    <row r="3466" customHeight="1" spans="1:10">
      <c r="A3466" s="140" t="s">
        <v>581</v>
      </c>
      <c r="B3466" s="140" t="s">
        <v>569</v>
      </c>
      <c r="C3466" s="171">
        <v>45696</v>
      </c>
      <c r="D3466" s="172" t="s">
        <v>27</v>
      </c>
      <c r="E3466" s="140" t="s">
        <v>19</v>
      </c>
      <c r="F3466" s="140" t="s">
        <v>177</v>
      </c>
      <c r="G3466" s="140" t="s">
        <v>21</v>
      </c>
      <c r="H3466" s="140" t="s">
        <v>14</v>
      </c>
      <c r="I3466" s="173" t="s">
        <v>68</v>
      </c>
      <c r="J3466" s="174" t="s">
        <v>69</v>
      </c>
    </row>
    <row r="3467" hidden="1" customHeight="1" spans="1:10">
      <c r="A3467" s="140" t="s">
        <v>581</v>
      </c>
      <c r="B3467" s="140" t="s">
        <v>569</v>
      </c>
      <c r="C3467" s="171">
        <v>45697</v>
      </c>
      <c r="D3467" s="172" t="s">
        <v>15</v>
      </c>
      <c r="E3467" s="140" t="s">
        <v>13</v>
      </c>
      <c r="F3467" s="140" t="s">
        <v>14</v>
      </c>
      <c r="G3467" s="140" t="s">
        <v>14</v>
      </c>
      <c r="H3467" s="140" t="s">
        <v>14</v>
      </c>
      <c r="I3467" s="140" t="s">
        <v>14</v>
      </c>
      <c r="J3467" s="174"/>
    </row>
    <row r="3468" hidden="1" customHeight="1" spans="1:10">
      <c r="A3468" s="140" t="s">
        <v>581</v>
      </c>
      <c r="B3468" s="140" t="s">
        <v>569</v>
      </c>
      <c r="C3468" s="171">
        <v>45698</v>
      </c>
      <c r="D3468" s="172" t="s">
        <v>16</v>
      </c>
      <c r="E3468" s="140" t="s">
        <v>19</v>
      </c>
      <c r="F3468" s="140" t="s">
        <v>107</v>
      </c>
      <c r="G3468" s="140" t="s">
        <v>21</v>
      </c>
      <c r="H3468" s="140" t="s">
        <v>163</v>
      </c>
      <c r="I3468" s="140" t="s">
        <v>21</v>
      </c>
      <c r="J3468" s="174"/>
    </row>
    <row r="3469" hidden="1" customHeight="1" spans="1:10">
      <c r="A3469" s="140" t="s">
        <v>581</v>
      </c>
      <c r="B3469" s="140" t="s">
        <v>569</v>
      </c>
      <c r="C3469" s="171">
        <v>45699</v>
      </c>
      <c r="D3469" s="172" t="s">
        <v>17</v>
      </c>
      <c r="E3469" s="140" t="s">
        <v>19</v>
      </c>
      <c r="F3469" s="140" t="s">
        <v>188</v>
      </c>
      <c r="G3469" s="140" t="s">
        <v>21</v>
      </c>
      <c r="H3469" s="140" t="s">
        <v>517</v>
      </c>
      <c r="I3469" s="140" t="s">
        <v>21</v>
      </c>
      <c r="J3469" s="174"/>
    </row>
    <row r="3470" customHeight="1" spans="1:10">
      <c r="A3470" s="140" t="s">
        <v>581</v>
      </c>
      <c r="B3470" s="140" t="s">
        <v>569</v>
      </c>
      <c r="C3470" s="171">
        <v>45700</v>
      </c>
      <c r="D3470" s="172" t="s">
        <v>18</v>
      </c>
      <c r="E3470" s="140" t="s">
        <v>19</v>
      </c>
      <c r="F3470" s="140" t="s">
        <v>14</v>
      </c>
      <c r="G3470" s="173" t="s">
        <v>68</v>
      </c>
      <c r="H3470" s="140" t="s">
        <v>202</v>
      </c>
      <c r="I3470" s="140" t="s">
        <v>21</v>
      </c>
      <c r="J3470" s="174" t="s">
        <v>136</v>
      </c>
    </row>
    <row r="3471" hidden="1" customHeight="1" spans="1:10">
      <c r="A3471" s="140" t="s">
        <v>581</v>
      </c>
      <c r="B3471" s="140" t="s">
        <v>569</v>
      </c>
      <c r="C3471" s="171">
        <v>45701</v>
      </c>
      <c r="D3471" s="172" t="s">
        <v>23</v>
      </c>
      <c r="E3471" s="140" t="s">
        <v>19</v>
      </c>
      <c r="F3471" s="140" t="s">
        <v>108</v>
      </c>
      <c r="G3471" s="140" t="s">
        <v>21</v>
      </c>
      <c r="H3471" s="140" t="s">
        <v>130</v>
      </c>
      <c r="I3471" s="140" t="s">
        <v>21</v>
      </c>
      <c r="J3471" s="174"/>
    </row>
    <row r="3472" customHeight="1" spans="1:10">
      <c r="A3472" s="140" t="s">
        <v>581</v>
      </c>
      <c r="B3472" s="140" t="s">
        <v>569</v>
      </c>
      <c r="C3472" s="171">
        <v>45702</v>
      </c>
      <c r="D3472" s="172" t="s">
        <v>25</v>
      </c>
      <c r="E3472" s="140" t="s">
        <v>19</v>
      </c>
      <c r="F3472" s="140" t="s">
        <v>110</v>
      </c>
      <c r="G3472" s="140" t="s">
        <v>21</v>
      </c>
      <c r="H3472" s="140" t="s">
        <v>14</v>
      </c>
      <c r="I3472" s="173" t="s">
        <v>68</v>
      </c>
      <c r="J3472" s="174" t="s">
        <v>69</v>
      </c>
    </row>
    <row r="3473" hidden="1" customHeight="1" spans="1:10">
      <c r="A3473" s="140" t="s">
        <v>581</v>
      </c>
      <c r="B3473" s="140" t="s">
        <v>569</v>
      </c>
      <c r="C3473" s="171">
        <v>45703</v>
      </c>
      <c r="D3473" s="172" t="s">
        <v>27</v>
      </c>
      <c r="E3473" s="140" t="s">
        <v>13</v>
      </c>
      <c r="F3473" s="140" t="s">
        <v>582</v>
      </c>
      <c r="G3473" s="140" t="s">
        <v>21</v>
      </c>
      <c r="H3473" s="140" t="s">
        <v>14</v>
      </c>
      <c r="I3473" s="140" t="s">
        <v>14</v>
      </c>
      <c r="J3473" s="174"/>
    </row>
    <row r="3474" hidden="1" customHeight="1" spans="1:10">
      <c r="A3474" s="140" t="s">
        <v>581</v>
      </c>
      <c r="B3474" s="140" t="s">
        <v>569</v>
      </c>
      <c r="C3474" s="171">
        <v>45704</v>
      </c>
      <c r="D3474" s="172" t="s">
        <v>15</v>
      </c>
      <c r="E3474" s="140" t="s">
        <v>13</v>
      </c>
      <c r="F3474" s="140" t="s">
        <v>14</v>
      </c>
      <c r="G3474" s="140" t="s">
        <v>14</v>
      </c>
      <c r="H3474" s="140" t="s">
        <v>14</v>
      </c>
      <c r="I3474" s="140" t="s">
        <v>14</v>
      </c>
      <c r="J3474" s="174"/>
    </row>
    <row r="3475" hidden="1" customHeight="1" spans="1:10">
      <c r="A3475" s="140" t="s">
        <v>581</v>
      </c>
      <c r="B3475" s="140" t="s">
        <v>569</v>
      </c>
      <c r="C3475" s="171">
        <v>45705</v>
      </c>
      <c r="D3475" s="172" t="s">
        <v>16</v>
      </c>
      <c r="E3475" s="140" t="s">
        <v>19</v>
      </c>
      <c r="F3475" s="140" t="s">
        <v>143</v>
      </c>
      <c r="G3475" s="140" t="s">
        <v>21</v>
      </c>
      <c r="H3475" s="140" t="s">
        <v>321</v>
      </c>
      <c r="I3475" s="140" t="s">
        <v>21</v>
      </c>
      <c r="J3475" s="174"/>
    </row>
    <row r="3476" hidden="1" customHeight="1" spans="1:10">
      <c r="A3476" s="140" t="s">
        <v>581</v>
      </c>
      <c r="B3476" s="140" t="s">
        <v>569</v>
      </c>
      <c r="C3476" s="171">
        <v>45706</v>
      </c>
      <c r="D3476" s="172" t="s">
        <v>17</v>
      </c>
      <c r="E3476" s="140" t="s">
        <v>19</v>
      </c>
      <c r="F3476" s="140" t="s">
        <v>177</v>
      </c>
      <c r="G3476" s="140" t="s">
        <v>21</v>
      </c>
      <c r="H3476" s="140" t="s">
        <v>496</v>
      </c>
      <c r="I3476" s="140" t="s">
        <v>21</v>
      </c>
      <c r="J3476" s="174"/>
    </row>
    <row r="3477" hidden="1" customHeight="1" spans="1:10">
      <c r="A3477" s="140" t="s">
        <v>581</v>
      </c>
      <c r="B3477" s="140" t="s">
        <v>569</v>
      </c>
      <c r="C3477" s="171">
        <v>45707</v>
      </c>
      <c r="D3477" s="172" t="s">
        <v>18</v>
      </c>
      <c r="E3477" s="140" t="s">
        <v>19</v>
      </c>
      <c r="F3477" s="140" t="s">
        <v>129</v>
      </c>
      <c r="G3477" s="140" t="s">
        <v>21</v>
      </c>
      <c r="H3477" s="140" t="s">
        <v>35</v>
      </c>
      <c r="I3477" s="140" t="s">
        <v>21</v>
      </c>
      <c r="J3477" s="174"/>
    </row>
    <row r="3478" hidden="1" customHeight="1" spans="1:10">
      <c r="A3478" s="140" t="s">
        <v>581</v>
      </c>
      <c r="B3478" s="140" t="s">
        <v>569</v>
      </c>
      <c r="C3478" s="171">
        <v>45708</v>
      </c>
      <c r="D3478" s="172" t="s">
        <v>23</v>
      </c>
      <c r="E3478" s="140" t="s">
        <v>19</v>
      </c>
      <c r="F3478" s="140" t="s">
        <v>146</v>
      </c>
      <c r="G3478" s="140" t="s">
        <v>21</v>
      </c>
      <c r="H3478" s="140" t="s">
        <v>266</v>
      </c>
      <c r="I3478" s="140" t="s">
        <v>21</v>
      </c>
      <c r="J3478" s="174"/>
    </row>
    <row r="3479" customHeight="1" spans="1:10">
      <c r="A3479" s="140" t="s">
        <v>581</v>
      </c>
      <c r="B3479" s="140" t="s">
        <v>569</v>
      </c>
      <c r="C3479" s="171">
        <v>45709</v>
      </c>
      <c r="D3479" s="172" t="s">
        <v>25</v>
      </c>
      <c r="E3479" s="140" t="s">
        <v>19</v>
      </c>
      <c r="F3479" s="140" t="s">
        <v>14</v>
      </c>
      <c r="G3479" s="173" t="s">
        <v>68</v>
      </c>
      <c r="H3479" s="140" t="s">
        <v>402</v>
      </c>
      <c r="I3479" s="140" t="s">
        <v>21</v>
      </c>
      <c r="J3479" s="174" t="s">
        <v>136</v>
      </c>
    </row>
    <row r="3480" hidden="1" customHeight="1" spans="1:10">
      <c r="A3480" s="140" t="s">
        <v>581</v>
      </c>
      <c r="B3480" s="140" t="s">
        <v>569</v>
      </c>
      <c r="C3480" s="171">
        <v>45710</v>
      </c>
      <c r="D3480" s="172" t="s">
        <v>27</v>
      </c>
      <c r="E3480" s="140" t="s">
        <v>13</v>
      </c>
      <c r="F3480" s="140" t="s">
        <v>126</v>
      </c>
      <c r="G3480" s="140" t="s">
        <v>21</v>
      </c>
      <c r="H3480" s="140" t="s">
        <v>583</v>
      </c>
      <c r="I3480" s="140" t="s">
        <v>21</v>
      </c>
      <c r="J3480" s="174"/>
    </row>
    <row r="3481" hidden="1" customHeight="1" spans="1:10">
      <c r="A3481" s="140" t="s">
        <v>581</v>
      </c>
      <c r="B3481" s="140" t="s">
        <v>569</v>
      </c>
      <c r="C3481" s="171">
        <v>45711</v>
      </c>
      <c r="D3481" s="172" t="s">
        <v>15</v>
      </c>
      <c r="E3481" s="140" t="s">
        <v>13</v>
      </c>
      <c r="F3481" s="140" t="s">
        <v>14</v>
      </c>
      <c r="G3481" s="140" t="s">
        <v>14</v>
      </c>
      <c r="H3481" s="140" t="s">
        <v>14</v>
      </c>
      <c r="I3481" s="140" t="s">
        <v>14</v>
      </c>
      <c r="J3481" s="174"/>
    </row>
    <row r="3482" hidden="1" customHeight="1" spans="1:10">
      <c r="A3482" s="140" t="s">
        <v>581</v>
      </c>
      <c r="B3482" s="140" t="s">
        <v>569</v>
      </c>
      <c r="C3482" s="171">
        <v>45712</v>
      </c>
      <c r="D3482" s="172" t="s">
        <v>16</v>
      </c>
      <c r="E3482" s="140" t="s">
        <v>19</v>
      </c>
      <c r="F3482" s="140" t="s">
        <v>110</v>
      </c>
      <c r="G3482" s="140" t="s">
        <v>21</v>
      </c>
      <c r="H3482" s="140" t="s">
        <v>371</v>
      </c>
      <c r="I3482" s="140" t="s">
        <v>21</v>
      </c>
      <c r="J3482" s="174"/>
    </row>
    <row r="3483" hidden="1" customHeight="1" spans="1:10">
      <c r="A3483" s="140" t="s">
        <v>581</v>
      </c>
      <c r="B3483" s="140" t="s">
        <v>569</v>
      </c>
      <c r="C3483" s="171">
        <v>45713</v>
      </c>
      <c r="D3483" s="172" t="s">
        <v>17</v>
      </c>
      <c r="E3483" s="140" t="s">
        <v>19</v>
      </c>
      <c r="F3483" s="140" t="s">
        <v>107</v>
      </c>
      <c r="G3483" s="140" t="s">
        <v>21</v>
      </c>
      <c r="H3483" s="140" t="s">
        <v>459</v>
      </c>
      <c r="I3483" s="140" t="s">
        <v>21</v>
      </c>
      <c r="J3483" s="174"/>
    </row>
    <row r="3484" hidden="1" customHeight="1" spans="1:10">
      <c r="A3484" s="140" t="s">
        <v>581</v>
      </c>
      <c r="B3484" s="140" t="s">
        <v>569</v>
      </c>
      <c r="C3484" s="171">
        <v>45714</v>
      </c>
      <c r="D3484" s="172" t="s">
        <v>18</v>
      </c>
      <c r="E3484" s="140" t="s">
        <v>19</v>
      </c>
      <c r="F3484" s="140" t="s">
        <v>40</v>
      </c>
      <c r="G3484" s="140" t="s">
        <v>21</v>
      </c>
      <c r="H3484" s="140" t="s">
        <v>584</v>
      </c>
      <c r="I3484" s="140" t="s">
        <v>21</v>
      </c>
      <c r="J3484" s="174"/>
    </row>
    <row r="3485" customHeight="1" spans="1:10">
      <c r="A3485" s="140" t="s">
        <v>581</v>
      </c>
      <c r="B3485" s="140" t="s">
        <v>569</v>
      </c>
      <c r="C3485" s="171">
        <v>45715</v>
      </c>
      <c r="D3485" s="172" t="s">
        <v>23</v>
      </c>
      <c r="E3485" s="140" t="s">
        <v>19</v>
      </c>
      <c r="F3485" s="140" t="s">
        <v>14</v>
      </c>
      <c r="G3485" s="173" t="s">
        <v>68</v>
      </c>
      <c r="H3485" s="140" t="s">
        <v>14</v>
      </c>
      <c r="I3485" s="173" t="s">
        <v>68</v>
      </c>
      <c r="J3485" s="174" t="s">
        <v>93</v>
      </c>
    </row>
    <row r="3486" hidden="1" customHeight="1" spans="1:10">
      <c r="A3486" s="140" t="s">
        <v>581</v>
      </c>
      <c r="B3486" s="140" t="s">
        <v>569</v>
      </c>
      <c r="C3486" s="171">
        <v>45716</v>
      </c>
      <c r="D3486" s="172" t="s">
        <v>25</v>
      </c>
      <c r="E3486" s="140" t="s">
        <v>19</v>
      </c>
      <c r="F3486" s="140" t="s">
        <v>40</v>
      </c>
      <c r="G3486" s="140" t="s">
        <v>21</v>
      </c>
      <c r="H3486" s="140" t="s">
        <v>364</v>
      </c>
      <c r="I3486" s="140" t="s">
        <v>21</v>
      </c>
      <c r="J3486" s="174"/>
    </row>
  </sheetData>
  <autoFilter xmlns:etc="http://www.wps.cn/officeDocument/2017/etCustomData" ref="A1:J3486" etc:filterBottomFollowUsedRange="0">
    <filterColumn colId="9">
      <filters>
        <filter val="忘打卡"/>
        <filter val="年休假"/>
        <filter val="备注"/>
        <filter val="调休1H"/>
        <filter val="调休2H"/>
        <filter val="调休3H"/>
        <filter val="调休8H"/>
        <filter val="调休0.5H"/>
        <filter val="调休2.5H"/>
        <filter val="调休4.5H"/>
        <filter val="入职"/>
        <filter val="出差"/>
        <filter val="市内出差"/>
      </filters>
    </filterColumn>
    <extLst/>
  </autoFilter>
  <mergeCells count="1">
    <mergeCell ref="A1:J1"/>
  </mergeCells>
  <pageMargins left="0.700694444444445" right="0.700694444444445" top="0.751388888888889" bottom="0.751388888888889" header="0.298611111111111" footer="0.298611111111111"/>
  <pageSetup paperSize="9" scale="92" fitToHeight="0" orientation="portrait" horizontalDpi="600"/>
  <headerFooter>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48576"/>
  <sheetViews>
    <sheetView workbookViewId="0">
      <pane ySplit="1" topLeftCell="A2" activePane="bottomLeft" state="frozen"/>
      <selection/>
      <selection pane="bottomLeft" activeCell="W35" sqref="W35"/>
    </sheetView>
  </sheetViews>
  <sheetFormatPr defaultColWidth="9" defaultRowHeight="20.1" customHeight="1"/>
  <cols>
    <col min="1" max="1" width="9" style="128" customWidth="1"/>
    <col min="2" max="2" width="9" style="129" customWidth="1"/>
    <col min="3" max="3" width="9" style="130" customWidth="1"/>
    <col min="4" max="4" width="9" style="131" customWidth="1"/>
    <col min="5" max="5" width="2.21818181818182" style="132" customWidth="1"/>
    <col min="6" max="6" width="9" style="132" customWidth="1"/>
    <col min="7" max="7" width="9" style="133" customWidth="1"/>
    <col min="8" max="8" width="9" style="128"/>
    <col min="9" max="9" width="9" style="134" customWidth="1"/>
    <col min="10" max="10" width="2.21818181818182" style="132" customWidth="1"/>
    <col min="11" max="11" width="6.78181818181818" style="128" hidden="1" customWidth="1"/>
    <col min="12" max="12" width="8.66363636363636" style="135" hidden="1" customWidth="1"/>
    <col min="13" max="13" width="8.44545454545455" style="130" hidden="1" customWidth="1"/>
    <col min="14" max="14" width="13.7818181818182" style="130" hidden="1" customWidth="1"/>
    <col min="15" max="15" width="2.66363636363636" style="132" hidden="1" customWidth="1"/>
    <col min="16" max="16" width="9" style="128" customWidth="1"/>
    <col min="17" max="17" width="9" style="133" customWidth="1"/>
    <col min="18" max="18" width="9" style="130" customWidth="1"/>
    <col min="19" max="19" width="9" style="131" customWidth="1"/>
    <col min="20" max="20" width="2.21818181818182" style="132" customWidth="1"/>
    <col min="21" max="16384" width="9" style="136"/>
  </cols>
  <sheetData>
    <row r="1" s="127" customFormat="1" ht="28" customHeight="1" spans="1:20">
      <c r="A1" s="132" t="s">
        <v>585</v>
      </c>
      <c r="B1" s="137" t="s">
        <v>586</v>
      </c>
      <c r="C1" s="132" t="s">
        <v>585</v>
      </c>
      <c r="D1" s="138" t="s">
        <v>587</v>
      </c>
      <c r="E1" s="132"/>
      <c r="F1" s="132" t="s">
        <v>585</v>
      </c>
      <c r="G1" s="139" t="s">
        <v>588</v>
      </c>
      <c r="H1" s="132" t="s">
        <v>585</v>
      </c>
      <c r="I1" s="138" t="s">
        <v>589</v>
      </c>
      <c r="J1" s="132"/>
      <c r="K1" s="132" t="s">
        <v>585</v>
      </c>
      <c r="L1" s="147" t="s">
        <v>590</v>
      </c>
      <c r="M1" s="132" t="s">
        <v>585</v>
      </c>
      <c r="N1" s="132" t="s">
        <v>590</v>
      </c>
      <c r="O1" s="132"/>
      <c r="P1" s="132" t="s">
        <v>585</v>
      </c>
      <c r="Q1" s="139" t="s">
        <v>591</v>
      </c>
      <c r="R1" s="132" t="s">
        <v>585</v>
      </c>
      <c r="S1" s="138" t="s">
        <v>592</v>
      </c>
      <c r="T1" s="132"/>
    </row>
    <row r="2" customHeight="1" spans="1:22">
      <c r="A2" s="140" t="s">
        <v>85</v>
      </c>
      <c r="B2" s="141">
        <v>1</v>
      </c>
      <c r="C2" s="142" t="str">
        <f t="array" ref="C2">INDEX(A:A,MIN(IF(COUNTIF(C$1:C1,$A$2:$A$569),2^16,ROW($2:$569))))&amp;""</f>
        <v>李文华</v>
      </c>
      <c r="D2" s="143">
        <f t="shared" ref="D2:D17" si="0">SUMPRODUCT(($A$2:$A$569=C2)*($B$2:$B$569))</f>
        <v>7</v>
      </c>
      <c r="F2" s="140" t="s">
        <v>120</v>
      </c>
      <c r="G2" s="144">
        <v>0.5</v>
      </c>
      <c r="H2" s="142" t="str">
        <f t="array" ref="H2">INDEX(F:F,MIN(IF(COUNTIF(H$1:H1,$F$2:$F$569),2^16,ROW($2:$569))))&amp;""</f>
        <v>王扩军</v>
      </c>
      <c r="I2" s="143">
        <f>SUMPRODUCT(($F$2:$F$569=H2)*($G$2:$G$569))</f>
        <v>0.5</v>
      </c>
      <c r="K2" s="148"/>
      <c r="L2" s="149"/>
      <c r="M2" s="142" t="str">
        <f t="array" ref="M2">INDEX(K:K,MIN(IF(COUNTIF(M$1:M1,$K$2:$K$100),2^16,ROW($2:$100))))&amp;""</f>
        <v/>
      </c>
      <c r="N2" s="150">
        <f>SUMPRODUCT(($K$2:$K$100=M2)*($L$2:$L$100))</f>
        <v>0</v>
      </c>
      <c r="P2" s="140" t="s">
        <v>10</v>
      </c>
      <c r="Q2" s="152">
        <v>1</v>
      </c>
      <c r="R2" s="142" t="str" cm="1">
        <f t="array" ref="R2">INDEX(P:P,MIN(IF(COUNTIF(R$1:R1,$P$2:$P$1500),2^16,ROW($2:$1500))))&amp;""</f>
        <v>何威迪</v>
      </c>
      <c r="S2" s="143" cm="1">
        <f t="array" ref="S2">SUMPRODUCT(($P$2:$P$1500=R2)*($Q$2:$Q$1500))</f>
        <v>8</v>
      </c>
      <c r="V2" s="153"/>
    </row>
    <row r="3" customHeight="1" spans="1:22">
      <c r="A3" s="140" t="s">
        <v>85</v>
      </c>
      <c r="B3" s="141">
        <v>1</v>
      </c>
      <c r="C3" s="142" t="str">
        <f t="array" ref="C3">INDEX(A:A,MIN(IF(COUNTIF(C$1:C2,$A$2:$A$569),2^16,ROW($2:$569))))&amp;""</f>
        <v>刘晓峰</v>
      </c>
      <c r="D3" s="143">
        <f t="shared" si="0"/>
        <v>5</v>
      </c>
      <c r="F3" s="140" t="s">
        <v>216</v>
      </c>
      <c r="G3" s="144">
        <v>0.5</v>
      </c>
      <c r="H3" s="142" t="str">
        <f t="array" ref="H3">INDEX(F:F,MIN(IF(COUNTIF(H$1:H2,$F$2:$F$569),2^16,ROW($2:$569))))&amp;""</f>
        <v>连成鹏</v>
      </c>
      <c r="I3" s="143">
        <f t="shared" ref="I3:I34" si="1">SUMPRODUCT(($F$2:$F$569=H3)*($G$2:$G$569))</f>
        <v>1</v>
      </c>
      <c r="K3" s="148"/>
      <c r="L3" s="149"/>
      <c r="M3" s="142" t="str">
        <f t="array" ref="M3">INDEX(K:K,MIN(IF(COUNTIF(M$1:M2,$K$2:$K$100),2^16,ROW($2:$100))))&amp;""</f>
        <v/>
      </c>
      <c r="N3" s="150">
        <f t="shared" ref="N3:N60" si="2">SUMPRODUCT(($K$2:$K$100=M3)*($L$2:$L$100))</f>
        <v>0</v>
      </c>
      <c r="P3" s="140" t="s">
        <v>10</v>
      </c>
      <c r="Q3" s="152">
        <v>1</v>
      </c>
      <c r="R3" s="142" t="str" cm="1">
        <f t="array" ref="R3">INDEX(P:P,MIN(IF(COUNTIF(R$1:R2,$P$2:$P$1500),2^16,ROW($2:$1500))))&amp;""</f>
        <v>李季</v>
      </c>
      <c r="S3" s="143" cm="1">
        <f t="array" ref="S3">SUMPRODUCT(($P$2:$P$1500=R3)*($Q$2:$Q$1500))</f>
        <v>5</v>
      </c>
      <c r="V3" s="154"/>
    </row>
    <row r="4" customHeight="1" spans="1:22">
      <c r="A4" s="140" t="s">
        <v>85</v>
      </c>
      <c r="B4" s="141">
        <v>1</v>
      </c>
      <c r="C4" s="142" t="str">
        <f t="array" ref="C4">INDEX(A:A,MIN(IF(COUNTIF(C$1:C3,$A$2:$A$569),2^16,ROW($2:$569))))&amp;""</f>
        <v>戴梦莹</v>
      </c>
      <c r="D4" s="143">
        <f t="shared" si="0"/>
        <v>1</v>
      </c>
      <c r="F4" s="140" t="s">
        <v>216</v>
      </c>
      <c r="G4" s="144">
        <v>0.5</v>
      </c>
      <c r="H4" s="142" t="str">
        <f t="array" ref="H4">INDEX(F:F,MIN(IF(COUNTIF(H$1:H3,$F$2:$F$569),2^16,ROW($2:$569))))&amp;""</f>
        <v>张景雲</v>
      </c>
      <c r="I4" s="143">
        <f t="shared" si="1"/>
        <v>1</v>
      </c>
      <c r="K4" s="148"/>
      <c r="L4" s="149"/>
      <c r="M4" s="142" t="str">
        <f t="array" ref="M4">INDEX(K:K,MIN(IF(COUNTIF(M$1:M3,$K$2:$K$100),2^16,ROW($2:$100))))&amp;""</f>
        <v/>
      </c>
      <c r="N4" s="150">
        <f t="shared" si="2"/>
        <v>0</v>
      </c>
      <c r="P4" s="140" t="s">
        <v>10</v>
      </c>
      <c r="Q4" s="152">
        <v>1</v>
      </c>
      <c r="R4" s="142" t="str" cm="1">
        <f t="array" ref="R4">INDEX(P:P,MIN(IF(COUNTIF(R$1:R3,$P$2:$P$1500),2^16,ROW($2:$1500))))&amp;""</f>
        <v>李文华</v>
      </c>
      <c r="S4" s="143" cm="1">
        <f t="array" ref="S4">SUMPRODUCT(($P$2:$P$1500=R4)*($Q$2:$Q$1500))</f>
        <v>5</v>
      </c>
      <c r="V4" s="153"/>
    </row>
    <row r="5" customHeight="1" spans="1:22">
      <c r="A5" s="140" t="s">
        <v>85</v>
      </c>
      <c r="B5" s="141">
        <v>1</v>
      </c>
      <c r="C5" s="142" t="str">
        <f t="array" ref="C5">INDEX(A:A,MIN(IF(COUNTIF(C$1:C4,$A$2:$A$569),2^16,ROW($2:$569))))&amp;""</f>
        <v>连成鹏</v>
      </c>
      <c r="D5" s="143">
        <f t="shared" si="0"/>
        <v>4</v>
      </c>
      <c r="F5" s="140" t="s">
        <v>233</v>
      </c>
      <c r="G5" s="144">
        <v>1</v>
      </c>
      <c r="H5" s="142" t="str">
        <f t="array" ref="H5">INDEX(F:F,MIN(IF(COUNTIF(H$1:H4,$F$2:$F$569),2^16,ROW($2:$569))))&amp;""</f>
        <v>曹超</v>
      </c>
      <c r="I5" s="143">
        <f t="shared" si="1"/>
        <v>1</v>
      </c>
      <c r="K5" s="148"/>
      <c r="L5" s="149"/>
      <c r="M5" s="142" t="str">
        <f t="array" ref="M5">INDEX(K:K,MIN(IF(COUNTIF(M$1:M4,$K$2:$K$100),2^16,ROW($2:$100))))&amp;""</f>
        <v/>
      </c>
      <c r="N5" s="150">
        <f t="shared" si="2"/>
        <v>0</v>
      </c>
      <c r="P5" s="140" t="s">
        <v>10</v>
      </c>
      <c r="Q5" s="152">
        <v>1</v>
      </c>
      <c r="R5" s="142" t="str" cm="1">
        <f t="array" ref="R5">INDEX(P:P,MIN(IF(COUNTIF(R$1:R4,$P$2:$P$1500),2^16,ROW($2:$1500))))&amp;""</f>
        <v>刘晓峰</v>
      </c>
      <c r="S5" s="143" cm="1">
        <f t="array" ref="S5">SUMPRODUCT(($P$2:$P$1500=R5)*($Q$2:$Q$1500))</f>
        <v>6</v>
      </c>
      <c r="V5" s="154"/>
    </row>
    <row r="6" customHeight="1" spans="1:22">
      <c r="A6" s="140" t="s">
        <v>85</v>
      </c>
      <c r="B6" s="141">
        <v>1</v>
      </c>
      <c r="C6" s="142" t="str">
        <f t="array" ref="C6">INDEX(A:A,MIN(IF(COUNTIF(C$1:C5,$A$2:$A$569),2^16,ROW($2:$569))))&amp;""</f>
        <v>廖勇江</v>
      </c>
      <c r="D6" s="143">
        <f t="shared" si="0"/>
        <v>2</v>
      </c>
      <c r="F6" s="140" t="s">
        <v>242</v>
      </c>
      <c r="G6" s="144">
        <v>1</v>
      </c>
      <c r="H6" s="142" t="str">
        <f t="array" ref="H6">INDEX(F:F,MIN(IF(COUNTIF(H$1:H5,$F$2:$F$569),2^16,ROW($2:$569))))&amp;""</f>
        <v>黄杨蕊</v>
      </c>
      <c r="I6" s="143">
        <f t="shared" si="1"/>
        <v>2</v>
      </c>
      <c r="K6" s="148"/>
      <c r="L6" s="149"/>
      <c r="M6" s="142" t="str">
        <f t="array" ref="M6">INDEX(K:K,MIN(IF(COUNTIF(M$1:M5,$K$2:$K$100),2^16,ROW($2:$100))))&amp;""</f>
        <v/>
      </c>
      <c r="N6" s="150">
        <f t="shared" si="2"/>
        <v>0</v>
      </c>
      <c r="P6" s="140" t="s">
        <v>10</v>
      </c>
      <c r="Q6" s="152">
        <v>1</v>
      </c>
      <c r="R6" s="142" t="str" cm="1">
        <f t="array" ref="R6">INDEX(P:P,MIN(IF(COUNTIF(R$1:R5,$P$2:$P$1500),2^16,ROW($2:$1500))))&amp;""</f>
        <v>王扩军</v>
      </c>
      <c r="S6" s="143" cm="1">
        <f t="array" ref="S6">SUMPRODUCT(($P$2:$P$1500=R6)*($Q$2:$Q$1500))</f>
        <v>7.5</v>
      </c>
      <c r="V6" s="153"/>
    </row>
    <row r="7" customHeight="1" spans="1:22">
      <c r="A7" s="140" t="s">
        <v>85</v>
      </c>
      <c r="B7" s="141">
        <v>1</v>
      </c>
      <c r="C7" s="142" t="str">
        <f t="array" ref="C7">INDEX(A:A,MIN(IF(COUNTIF(C$1:C6,$A$2:$A$569),2^16,ROW($2:$569))))&amp;""</f>
        <v>刘青</v>
      </c>
      <c r="D7" s="143">
        <f t="shared" si="0"/>
        <v>1</v>
      </c>
      <c r="F7" s="140" t="s">
        <v>246</v>
      </c>
      <c r="G7" s="144">
        <v>1</v>
      </c>
      <c r="H7" s="142" t="str">
        <f t="array" ref="H7">INDEX(F:F,MIN(IF(COUNTIF(H$1:H6,$F$2:$F$569),2^16,ROW($2:$569))))&amp;""</f>
        <v>李芳</v>
      </c>
      <c r="I7" s="143">
        <f t="shared" si="1"/>
        <v>0.5</v>
      </c>
      <c r="K7" s="148"/>
      <c r="L7" s="149"/>
      <c r="M7" s="142" t="str">
        <f t="array" ref="M7">INDEX(K:K,MIN(IF(COUNTIF(M$1:M6,$K$2:$K$100),2^16,ROW($2:$100))))&amp;""</f>
        <v/>
      </c>
      <c r="N7" s="150">
        <f t="shared" si="2"/>
        <v>0</v>
      </c>
      <c r="P7" s="140" t="s">
        <v>10</v>
      </c>
      <c r="Q7" s="152">
        <v>1</v>
      </c>
      <c r="R7" s="142" t="str" cm="1">
        <f t="array" ref="R7">INDEX(P:P,MIN(IF(COUNTIF(R$1:R6,$P$2:$P$1500),2^16,ROW($2:$1500))))&amp;""</f>
        <v>戴梦莹</v>
      </c>
      <c r="S7" s="143" cm="1">
        <f t="array" ref="S7">SUMPRODUCT(($P$2:$P$1500=R7)*($Q$2:$Q$1500))</f>
        <v>6</v>
      </c>
      <c r="V7" s="153"/>
    </row>
    <row r="8" customHeight="1" spans="1:22">
      <c r="A8" s="140" t="s">
        <v>85</v>
      </c>
      <c r="B8" s="141">
        <v>1</v>
      </c>
      <c r="C8" s="142" t="str">
        <f t="array" ref="C8">INDEX(A:A,MIN(IF(COUNTIF(C$1:C7,$A$2:$A$569),2^16,ROW($2:$569))))&amp;""</f>
        <v>杨善平</v>
      </c>
      <c r="D8" s="143">
        <f t="shared" si="0"/>
        <v>2</v>
      </c>
      <c r="F8" s="140" t="s">
        <v>246</v>
      </c>
      <c r="G8" s="144">
        <v>1</v>
      </c>
      <c r="H8" s="142" t="str">
        <f t="array" ref="H8">INDEX(F:F,MIN(IF(COUNTIF(H$1:H7,$F$2:$F$569),2^16,ROW($2:$569))))&amp;""</f>
        <v>李旭</v>
      </c>
      <c r="I8" s="143">
        <f t="shared" si="1"/>
        <v>1</v>
      </c>
      <c r="K8" s="148"/>
      <c r="L8" s="149"/>
      <c r="M8" s="142" t="str">
        <f t="array" ref="M8">INDEX(K:K,MIN(IF(COUNTIF(M$1:M7,$K$2:$K$100),2^16,ROW($2:$100))))&amp;""</f>
        <v/>
      </c>
      <c r="N8" s="150">
        <f t="shared" si="2"/>
        <v>0</v>
      </c>
      <c r="P8" s="140" t="s">
        <v>10</v>
      </c>
      <c r="Q8" s="152">
        <v>1</v>
      </c>
      <c r="R8" s="142" t="str" cm="1">
        <f t="array" ref="R8">INDEX(P:P,MIN(IF(COUNTIF(R$1:R7,$P$2:$P$1500),2^16,ROW($2:$1500))))&amp;""</f>
        <v>楼晓丽</v>
      </c>
      <c r="S8" s="143" cm="1">
        <f t="array" ref="S8">SUMPRODUCT(($P$2:$P$1500=R8)*($Q$2:$Q$1500))</f>
        <v>2</v>
      </c>
      <c r="V8" s="153"/>
    </row>
    <row r="9" customHeight="1" spans="1:22">
      <c r="A9" s="140" t="s">
        <v>104</v>
      </c>
      <c r="B9" s="141">
        <v>1</v>
      </c>
      <c r="C9" s="142" t="str">
        <f t="array" ref="C9">INDEX(A:A,MIN(IF(COUNTIF(C$1:C8,$A$2:$A$569),2^16,ROW($2:$569))))&amp;""</f>
        <v>冯瀚</v>
      </c>
      <c r="D9" s="143">
        <f t="shared" si="0"/>
        <v>1</v>
      </c>
      <c r="F9" s="140" t="s">
        <v>247</v>
      </c>
      <c r="G9" s="144">
        <v>0.5</v>
      </c>
      <c r="H9" s="142" t="str">
        <f t="array" ref="H9">INDEX(F:F,MIN(IF(COUNTIF(H$1:H8,$F$2:$F$569),2^16,ROW($2:$569))))&amp;""</f>
        <v>秦文近</v>
      </c>
      <c r="I9" s="143">
        <f t="shared" si="1"/>
        <v>5</v>
      </c>
      <c r="K9" s="148"/>
      <c r="L9" s="149"/>
      <c r="M9" s="142" t="str">
        <f t="array" ref="M9">INDEX(K:K,MIN(IF(COUNTIF(M$1:M8,$K$2:$K$100),2^16,ROW($2:$100))))&amp;""</f>
        <v/>
      </c>
      <c r="N9" s="150">
        <f t="shared" si="2"/>
        <v>0</v>
      </c>
      <c r="P9" s="140" t="s">
        <v>10</v>
      </c>
      <c r="Q9" s="152">
        <v>1</v>
      </c>
      <c r="R9" s="142" t="str" cm="1">
        <f t="array" ref="R9">INDEX(P:P,MIN(IF(COUNTIF(R$1:R8,$P$2:$P$1500),2^16,ROW($2:$1500))))&amp;""</f>
        <v>郭海桃</v>
      </c>
      <c r="S9" s="143" cm="1">
        <f t="array" ref="S9">SUMPRODUCT(($P$2:$P$1500=R9)*($Q$2:$Q$1500))</f>
        <v>7</v>
      </c>
      <c r="V9" s="153"/>
    </row>
    <row r="10" customHeight="1" spans="1:22">
      <c r="A10" s="140" t="s">
        <v>104</v>
      </c>
      <c r="B10" s="141">
        <v>1</v>
      </c>
      <c r="C10" s="142" t="str">
        <f t="array" ref="C10">INDEX(A:A,MIN(IF(COUNTIF(C$1:C9,$A$2:$A$569),2^16,ROW($2:$569))))&amp;""</f>
        <v>金永利</v>
      </c>
      <c r="D10" s="143">
        <f t="shared" si="0"/>
        <v>1</v>
      </c>
      <c r="F10" s="140" t="s">
        <v>253</v>
      </c>
      <c r="G10" s="144">
        <v>1</v>
      </c>
      <c r="H10" s="142" t="str">
        <f t="array" ref="H10">INDEX(F:F,MIN(IF(COUNTIF(H$1:H9,$F$2:$F$569),2^16,ROW($2:$569))))&amp;""</f>
        <v>吴鑫卓</v>
      </c>
      <c r="I10" s="143">
        <f t="shared" si="1"/>
        <v>3</v>
      </c>
      <c r="K10" s="148"/>
      <c r="L10" s="149"/>
      <c r="M10" s="142" t="str">
        <f t="array" ref="M10">INDEX(K:K,MIN(IF(COUNTIF(M$1:M9,$K$2:$K$100),2^16,ROW($2:$100))))&amp;""</f>
        <v/>
      </c>
      <c r="N10" s="150">
        <f t="shared" si="2"/>
        <v>0</v>
      </c>
      <c r="P10" s="140" t="s">
        <v>56</v>
      </c>
      <c r="Q10" s="152">
        <v>1</v>
      </c>
      <c r="R10" s="142" t="str" cm="1">
        <f t="array" ref="R10">INDEX(P:P,MIN(IF(COUNTIF(R$1:R9,$P$2:$P$1500),2^16,ROW($2:$1500))))&amp;""</f>
        <v>林贤顺</v>
      </c>
      <c r="S10" s="143" cm="1">
        <f t="array" ref="S10">SUMPRODUCT(($P$2:$P$1500=R10)*($Q$2:$Q$1500))</f>
        <v>6</v>
      </c>
      <c r="V10" s="153"/>
    </row>
    <row r="11" customHeight="1" spans="1:22">
      <c r="A11" s="140" t="s">
        <v>104</v>
      </c>
      <c r="B11" s="141">
        <v>1</v>
      </c>
      <c r="C11" s="142" t="str">
        <f t="array" ref="C11">INDEX(A:A,MIN(IF(COUNTIF(C$1:C10,$A$2:$A$569),2^16,ROW($2:$569))))&amp;""</f>
        <v>杨卉卉</v>
      </c>
      <c r="D11" s="143">
        <f t="shared" si="0"/>
        <v>1</v>
      </c>
      <c r="F11" s="140" t="s">
        <v>261</v>
      </c>
      <c r="G11" s="144">
        <v>1</v>
      </c>
      <c r="H11" s="142" t="str">
        <f t="array" ref="H11">INDEX(F:F,MIN(IF(COUNTIF(H$1:H10,$F$2:$F$569),2^16,ROW($2:$569))))&amp;""</f>
        <v>杨坤</v>
      </c>
      <c r="I11" s="143">
        <f t="shared" si="1"/>
        <v>0.5</v>
      </c>
      <c r="K11" s="148"/>
      <c r="L11" s="149"/>
      <c r="M11" s="142" t="str">
        <f t="array" ref="M11">INDEX(K:K,MIN(IF(COUNTIF(M$1:M10,$K$2:$K$100),2^16,ROW($2:$100))))&amp;""</f>
        <v/>
      </c>
      <c r="N11" s="150">
        <f t="shared" si="2"/>
        <v>0</v>
      </c>
      <c r="P11" s="140" t="s">
        <v>56</v>
      </c>
      <c r="Q11" s="152">
        <v>1</v>
      </c>
      <c r="R11" s="142" t="str" cm="1">
        <f t="array" ref="R11">INDEX(P:P,MIN(IF(COUNTIF(R$1:R10,$P$2:$P$1500),2^16,ROW($2:$1500))))&amp;""</f>
        <v>李雪霁</v>
      </c>
      <c r="S11" s="143" cm="1">
        <f t="array" ref="S11">SUMPRODUCT(($P$2:$P$1500=R11)*($Q$2:$Q$1500))</f>
        <v>1</v>
      </c>
      <c r="V11" s="154"/>
    </row>
    <row r="12" customHeight="1" spans="1:22">
      <c r="A12" s="140" t="s">
        <v>104</v>
      </c>
      <c r="B12" s="141">
        <v>1</v>
      </c>
      <c r="C12" s="142" t="str">
        <f t="array" ref="C12">INDEX(A:A,MIN(IF(COUNTIF(C$1:C11,$A$2:$A$569),2^16,ROW($2:$569))))&amp;""</f>
        <v>丁哲伟</v>
      </c>
      <c r="D12" s="143">
        <f t="shared" si="0"/>
        <v>2</v>
      </c>
      <c r="F12" s="140" t="s">
        <v>261</v>
      </c>
      <c r="G12" s="144">
        <v>1</v>
      </c>
      <c r="H12" s="142" t="str">
        <f t="array" ref="H12">INDEX(F:F,MIN(IF(COUNTIF(H$1:H11,$F$2:$F$569),2^16,ROW($2:$569))))&amp;""</f>
        <v>杨雨晨</v>
      </c>
      <c r="I12" s="143">
        <f t="shared" si="1"/>
        <v>1</v>
      </c>
      <c r="K12" s="148"/>
      <c r="L12" s="149"/>
      <c r="M12" s="142" t="str">
        <f t="array" ref="M12">INDEX(K:K,MIN(IF(COUNTIF(M$1:M11,$K$2:$K$100),2^16,ROW($2:$100))))&amp;""</f>
        <v/>
      </c>
      <c r="N12" s="150">
        <f t="shared" si="2"/>
        <v>0</v>
      </c>
      <c r="P12" s="140" t="s">
        <v>56</v>
      </c>
      <c r="Q12" s="152">
        <v>1</v>
      </c>
      <c r="R12" s="142" t="str" cm="1">
        <f t="array" ref="R12">INDEX(P:P,MIN(IF(COUNTIF(R$1:R11,$P$2:$P$1500),2^16,ROW($2:$1500))))&amp;""</f>
        <v>宋佳慧</v>
      </c>
      <c r="S12" s="143" cm="1">
        <f t="array" ref="S12">SUMPRODUCT(($P$2:$P$1500=R12)*($Q$2:$Q$1500))</f>
        <v>6</v>
      </c>
      <c r="V12" s="154"/>
    </row>
    <row r="13" customHeight="1" spans="1:22">
      <c r="A13" s="140" t="s">
        <v>104</v>
      </c>
      <c r="B13" s="141">
        <v>1</v>
      </c>
      <c r="C13" s="142" t="str">
        <f t="array" ref="C13">INDEX(A:A,MIN(IF(COUNTIF(C$1:C12,$A$2:$A$569),2^16,ROW($2:$569))))&amp;""</f>
        <v>朱万胜</v>
      </c>
      <c r="D13" s="143">
        <f t="shared" si="0"/>
        <v>5</v>
      </c>
      <c r="F13" s="140" t="s">
        <v>261</v>
      </c>
      <c r="G13" s="144">
        <v>1</v>
      </c>
      <c r="H13" s="145" t="str">
        <f t="array" ref="H13">INDEX(F:F,MIN(IF(COUNTIF(H$1:H12,$F$2:$F$569),2^16,ROW($2:$569))))&amp;""</f>
        <v>周逸轩</v>
      </c>
      <c r="I13" s="143">
        <f t="shared" si="1"/>
        <v>0.5</v>
      </c>
      <c r="K13" s="148"/>
      <c r="L13" s="149"/>
      <c r="M13" s="142" t="str">
        <f t="array" ref="M13">INDEX(K:K,MIN(IF(COUNTIF(M$1:M12,$K$2:$K$100),2^16,ROW($2:$100))))&amp;""</f>
        <v/>
      </c>
      <c r="N13" s="150">
        <f t="shared" si="2"/>
        <v>0</v>
      </c>
      <c r="P13" s="140" t="s">
        <v>56</v>
      </c>
      <c r="Q13" s="152">
        <v>1</v>
      </c>
      <c r="R13" s="142" t="str" cm="1">
        <f t="array" ref="R13">INDEX(P:P,MIN(IF(COUNTIF(R$1:R12,$P$2:$P$1500),2^16,ROW($2:$1500))))&amp;""</f>
        <v>连成鹏</v>
      </c>
      <c r="S13" s="143" cm="1">
        <f t="array" ref="S13">SUMPRODUCT(($P$2:$P$1500=R13)*($Q$2:$Q$1500))</f>
        <v>5</v>
      </c>
      <c r="V13" s="154"/>
    </row>
    <row r="14" customHeight="1" spans="1:22">
      <c r="A14" s="140" t="s">
        <v>148</v>
      </c>
      <c r="B14" s="141">
        <v>1</v>
      </c>
      <c r="C14" s="142" t="str">
        <f t="array" ref="C14">INDEX(A:A,MIN(IF(COUNTIF(C$1:C13,$A$2:$A$569),2^16,ROW($2:$569))))&amp;""</f>
        <v>刘帅</v>
      </c>
      <c r="D14" s="143">
        <f t="shared" si="0"/>
        <v>1</v>
      </c>
      <c r="F14" s="140" t="s">
        <v>261</v>
      </c>
      <c r="G14" s="144">
        <v>1</v>
      </c>
      <c r="H14" s="142" t="str">
        <f t="array" ref="H14">INDEX(F:F,MIN(IF(COUNTIF(H$1:H13,$F$2:$F$569),2^16,ROW($2:$569))))&amp;""</f>
        <v>孙伟</v>
      </c>
      <c r="I14" s="143">
        <f t="shared" si="1"/>
        <v>0.5</v>
      </c>
      <c r="K14" s="148"/>
      <c r="L14" s="149"/>
      <c r="M14" s="142" t="str">
        <f t="array" ref="M14">INDEX(K:K,MIN(IF(COUNTIF(M$1:M13,$K$2:$K$100),2^16,ROW($2:$100))))&amp;""</f>
        <v/>
      </c>
      <c r="N14" s="150">
        <f t="shared" si="2"/>
        <v>0</v>
      </c>
      <c r="P14" s="140" t="s">
        <v>56</v>
      </c>
      <c r="Q14" s="152">
        <v>1</v>
      </c>
      <c r="R14" s="142" t="str" cm="1">
        <f t="array" ref="R14">INDEX(P:P,MIN(IF(COUNTIF(R$1:R13,$P$2:$P$1500),2^16,ROW($2:$1500))))&amp;""</f>
        <v>孙倩</v>
      </c>
      <c r="S14" s="143" cm="1">
        <f t="array" ref="S14">SUMPRODUCT(($P$2:$P$1500=R14)*($Q$2:$Q$1500))</f>
        <v>7</v>
      </c>
      <c r="V14" s="154"/>
    </row>
    <row r="15" customHeight="1" spans="1:22">
      <c r="A15" s="140" t="s">
        <v>216</v>
      </c>
      <c r="B15" s="141">
        <v>1</v>
      </c>
      <c r="C15" s="142" t="str">
        <f t="array" ref="C15">INDEX(A:A,MIN(IF(COUNTIF(C$1:C14,$A$2:$A$569),2^16,ROW($2:$569))))&amp;""</f>
        <v>徐晋</v>
      </c>
      <c r="D15" s="143">
        <f t="shared" si="0"/>
        <v>4</v>
      </c>
      <c r="F15" s="140" t="s">
        <v>261</v>
      </c>
      <c r="G15" s="144">
        <v>1</v>
      </c>
      <c r="H15" s="142" t="str">
        <f t="array" ref="H15">INDEX(F:F,MIN(IF(COUNTIF(H$1:H14,$F$2:$F$569),2^16,ROW($2:$569))))&amp;""</f>
        <v>翁宋兵</v>
      </c>
      <c r="I15" s="143">
        <f t="shared" si="1"/>
        <v>0.5</v>
      </c>
      <c r="K15" s="148"/>
      <c r="L15" s="149"/>
      <c r="M15" s="142" t="str">
        <f t="array" ref="M15">INDEX(K:K,MIN(IF(COUNTIF(M$1:M14,$K$2:$K$100),2^16,ROW($2:$100))))&amp;""</f>
        <v/>
      </c>
      <c r="N15" s="150">
        <f t="shared" si="2"/>
        <v>0</v>
      </c>
      <c r="P15" s="140" t="s">
        <v>85</v>
      </c>
      <c r="Q15" s="152">
        <v>1</v>
      </c>
      <c r="R15" s="142" t="str" cm="1">
        <f t="array" ref="R15">INDEX(P:P,MIN(IF(COUNTIF(R$1:R14,$P$2:$P$1500),2^16,ROW($2:$1500))))&amp;""</f>
        <v>张景雲</v>
      </c>
      <c r="S15" s="143" cm="1">
        <f t="array" ref="S15">SUMPRODUCT(($P$2:$P$1500=R15)*($Q$2:$Q$1500))</f>
        <v>7</v>
      </c>
      <c r="V15" s="154"/>
    </row>
    <row r="16" customHeight="1" spans="1:22">
      <c r="A16" s="140" t="s">
        <v>216</v>
      </c>
      <c r="B16" s="141">
        <v>1</v>
      </c>
      <c r="C16" s="142" t="str">
        <f t="array" ref="C16">INDEX(A:A,MIN(IF(COUNTIF(C$1:C15,$A$2:$A$569),2^16,ROW($2:$569))))&amp;""</f>
        <v>林扬宣</v>
      </c>
      <c r="D16" s="143">
        <f t="shared" si="0"/>
        <v>3</v>
      </c>
      <c r="F16" s="140" t="s">
        <v>264</v>
      </c>
      <c r="G16" s="144">
        <v>1</v>
      </c>
      <c r="H16" s="142" t="str">
        <f t="array" ref="H16">INDEX(F:F,MIN(IF(COUNTIF(H$1:H15,$F$2:$F$569),2^16,ROW($2:$569))))&amp;""</f>
        <v>陈林</v>
      </c>
      <c r="I16" s="143">
        <f t="shared" si="1"/>
        <v>0.5</v>
      </c>
      <c r="K16" s="148"/>
      <c r="L16" s="149"/>
      <c r="M16" s="142" t="str">
        <f t="array" ref="M16">INDEX(K:K,MIN(IF(COUNTIF(M$1:M15,$K$2:$K$100),2^16,ROW($2:$100))))&amp;""</f>
        <v/>
      </c>
      <c r="N16" s="150">
        <f t="shared" si="2"/>
        <v>0</v>
      </c>
      <c r="P16" s="140" t="s">
        <v>85</v>
      </c>
      <c r="Q16" s="152">
        <v>1</v>
      </c>
      <c r="R16" s="142" t="str" cm="1">
        <f t="array" ref="R16">INDEX(P:P,MIN(IF(COUNTIF(R$1:R15,$P$2:$P$1500),2^16,ROW($2:$1500))))&amp;""</f>
        <v>边皖佳</v>
      </c>
      <c r="S16" s="143" cm="1">
        <f t="array" ref="S16">SUMPRODUCT(($P$2:$P$1500=R16)*($Q$2:$Q$1500))</f>
        <v>7</v>
      </c>
      <c r="V16" s="154"/>
    </row>
    <row r="17" customHeight="1" spans="1:22">
      <c r="A17" s="140" t="s">
        <v>216</v>
      </c>
      <c r="B17" s="141">
        <v>1</v>
      </c>
      <c r="C17" s="142" t="str">
        <f t="array" ref="C17">INDEX(A:A,MIN(IF(COUNTIF(C$1:C16,$A$2:$A$569),2^16,ROW($2:$569))))&amp;""</f>
        <v>王兵</v>
      </c>
      <c r="D17" s="143">
        <f t="shared" si="0"/>
        <v>1</v>
      </c>
      <c r="F17" s="140" t="s">
        <v>264</v>
      </c>
      <c r="G17" s="144">
        <v>0.5</v>
      </c>
      <c r="H17" s="142" t="str">
        <f t="array" ref="H17">INDEX(F:F,MIN(IF(COUNTIF(H$1:H16,$F$2:$F$569),2^16,ROW($2:$569))))&amp;""</f>
        <v>张燕</v>
      </c>
      <c r="I17" s="143">
        <f t="shared" si="1"/>
        <v>2</v>
      </c>
      <c r="K17" s="148"/>
      <c r="L17" s="149"/>
      <c r="M17" s="142" t="str">
        <f t="array" ref="M17">INDEX(K:K,MIN(IF(COUNTIF(M$1:M16,$K$2:$K$100),2^16,ROW($2:$100))))&amp;""</f>
        <v/>
      </c>
      <c r="N17" s="150">
        <f t="shared" si="2"/>
        <v>0</v>
      </c>
      <c r="P17" s="140" t="s">
        <v>85</v>
      </c>
      <c r="Q17" s="152">
        <v>1</v>
      </c>
      <c r="R17" s="142" t="str" cm="1">
        <f t="array" ref="R17">INDEX(P:P,MIN(IF(COUNTIF(R$1:R16,$P$2:$P$1500),2^16,ROW($2:$1500))))&amp;""</f>
        <v>曹超</v>
      </c>
      <c r="S17" s="143" cm="1">
        <f t="array" ref="S17">SUMPRODUCT(($P$2:$P$1500=R17)*($Q$2:$Q$1500))</f>
        <v>8</v>
      </c>
      <c r="V17" s="154"/>
    </row>
    <row r="18" customHeight="1" spans="1:22">
      <c r="A18" s="140" t="s">
        <v>216</v>
      </c>
      <c r="B18" s="141">
        <v>1</v>
      </c>
      <c r="C18" s="142" t="str">
        <f t="array" ref="C18">INDEX(A:A,MIN(IF(COUNTIF(C$1:C17,$A$2:$A$569),2^16,ROW($2:$569))))&amp;""</f>
        <v/>
      </c>
      <c r="D18" s="143"/>
      <c r="F18" s="140" t="s">
        <v>264</v>
      </c>
      <c r="G18" s="144">
        <v>0.5</v>
      </c>
      <c r="H18" s="142" t="str">
        <f t="array" ref="H18">INDEX(F:F,MIN(IF(COUNTIF(H$1:H17,$F$2:$F$569),2^16,ROW($2:$569))))&amp;""</f>
        <v>干然草</v>
      </c>
      <c r="I18" s="143">
        <f t="shared" si="1"/>
        <v>1</v>
      </c>
      <c r="K18" s="148"/>
      <c r="L18" s="149"/>
      <c r="M18" s="142" t="str">
        <f t="array" ref="M18">INDEX(K:K,MIN(IF(COUNTIF(M$1:M17,$K$2:$K$100),2^16,ROW($2:$100))))&amp;""</f>
        <v/>
      </c>
      <c r="N18" s="150">
        <f t="shared" si="2"/>
        <v>0</v>
      </c>
      <c r="P18" s="140" t="s">
        <v>85</v>
      </c>
      <c r="Q18" s="152">
        <v>1</v>
      </c>
      <c r="R18" s="142" t="str" cm="1">
        <f t="array" ref="R18">INDEX(P:P,MIN(IF(COUNTIF(R$1:R17,$P$2:$P$1500),2^16,ROW($2:$1500))))&amp;""</f>
        <v>陈远发</v>
      </c>
      <c r="S18" s="143" cm="1">
        <f t="array" ref="S18">SUMPRODUCT(($P$2:$P$1500=R18)*($Q$2:$Q$1500))</f>
        <v>8</v>
      </c>
      <c r="V18" s="154"/>
    </row>
    <row r="19" customHeight="1" spans="1:22">
      <c r="A19" s="140" t="s">
        <v>317</v>
      </c>
      <c r="B19" s="141">
        <v>1</v>
      </c>
      <c r="C19" s="142" t="str">
        <f t="array" ref="C19">INDEX(A:A,MIN(IF(COUNTIF(C$1:C18,$A$2:$A$569),2^16,ROW($2:$569))))&amp;""</f>
        <v/>
      </c>
      <c r="D19" s="143"/>
      <c r="F19" s="140" t="s">
        <v>264</v>
      </c>
      <c r="G19" s="144">
        <v>0.5</v>
      </c>
      <c r="H19" s="142" t="str">
        <f t="array" ref="H19">INDEX(F:F,MIN(IF(COUNTIF(H$1:H18,$F$2:$F$569),2^16,ROW($2:$569))))&amp;""</f>
        <v>李林翰</v>
      </c>
      <c r="I19" s="143">
        <f t="shared" si="1"/>
        <v>1</v>
      </c>
      <c r="K19" s="148"/>
      <c r="L19" s="149"/>
      <c r="M19" s="142" t="str">
        <f t="array" ref="M19">INDEX(K:K,MIN(IF(COUNTIF(M$1:M18,$K$2:$K$100),2^16,ROW($2:$100))))&amp;""</f>
        <v/>
      </c>
      <c r="N19" s="150">
        <f t="shared" si="2"/>
        <v>0</v>
      </c>
      <c r="P19" s="140" t="s">
        <v>85</v>
      </c>
      <c r="Q19" s="152">
        <v>1</v>
      </c>
      <c r="R19" s="145" t="str" cm="1">
        <f t="array" ref="R19">INDEX(P:P,MIN(IF(COUNTIF(R$1:R18,$P$2:$P$1500),2^16,ROW($2:$1500))))&amp;""</f>
        <v>黄杨蕊</v>
      </c>
      <c r="S19" s="143" cm="1">
        <f t="array" ref="S19">SUMPRODUCT(($P$2:$P$1500=R19)*($Q$2:$Q$1500))</f>
        <v>6</v>
      </c>
      <c r="V19" s="154"/>
    </row>
    <row r="20" customHeight="1" spans="1:22">
      <c r="A20" s="140" t="s">
        <v>317</v>
      </c>
      <c r="B20" s="141">
        <v>1</v>
      </c>
      <c r="C20" s="142" t="str">
        <f t="array" ref="C20">INDEX(A:A,MIN(IF(COUNTIF(C$1:C19,$A$2:$A$569),2^16,ROW($2:$569))))&amp;""</f>
        <v/>
      </c>
      <c r="D20" s="143"/>
      <c r="F20" s="140" t="s">
        <v>264</v>
      </c>
      <c r="G20" s="144">
        <v>0.5</v>
      </c>
      <c r="H20" s="142" t="str">
        <f t="array" ref="H20">INDEX(F:F,MIN(IF(COUNTIF(H$1:H19,$F$2:$F$569),2^16,ROW($2:$569))))&amp;""</f>
        <v>陈斌</v>
      </c>
      <c r="I20" s="143">
        <f t="shared" si="1"/>
        <v>2</v>
      </c>
      <c r="K20" s="148"/>
      <c r="L20" s="149"/>
      <c r="M20" s="142" t="str">
        <f t="array" ref="M20">INDEX(K:K,MIN(IF(COUNTIF(M$1:M19,$K$2:$K$100),2^16,ROW($2:$100))))&amp;""</f>
        <v/>
      </c>
      <c r="N20" s="150">
        <f t="shared" si="2"/>
        <v>0</v>
      </c>
      <c r="P20" s="140" t="s">
        <v>104</v>
      </c>
      <c r="Q20" s="152">
        <v>1</v>
      </c>
      <c r="R20" s="142" t="str" cm="1">
        <f t="array" ref="R20">INDEX(P:P,MIN(IF(COUNTIF(R$1:R19,$P$2:$P$1500),2^16,ROW($2:$1500))))&amp;""</f>
        <v>李芳</v>
      </c>
      <c r="S20" s="143" cm="1">
        <f t="array" ref="S20">SUMPRODUCT(($P$2:$P$1500=R20)*($Q$2:$Q$1500))</f>
        <v>9</v>
      </c>
      <c r="V20" s="154"/>
    </row>
    <row r="21" customHeight="1" spans="1:22">
      <c r="A21" s="140" t="s">
        <v>369</v>
      </c>
      <c r="B21" s="141">
        <v>1</v>
      </c>
      <c r="C21" s="142" t="str">
        <f t="array" ref="C21">INDEX(A:A,MIN(IF(COUNTIF(C$1:C20,$A$2:$A$569),2^16,ROW($2:$569))))&amp;""</f>
        <v/>
      </c>
      <c r="D21" s="143"/>
      <c r="F21" s="140" t="s">
        <v>271</v>
      </c>
      <c r="G21" s="144">
        <v>0.5</v>
      </c>
      <c r="H21" s="142" t="str">
        <f t="array" ref="H21">INDEX(F:F,MIN(IF(COUNTIF(H$1:H20,$F$2:$F$569),2^16,ROW($2:$569))))&amp;""</f>
        <v>陈为泽</v>
      </c>
      <c r="I21" s="143">
        <f t="shared" si="1"/>
        <v>0.5</v>
      </c>
      <c r="K21" s="148"/>
      <c r="L21" s="149"/>
      <c r="M21" s="142" t="str">
        <f t="array" ref="M21">INDEX(K:K,MIN(IF(COUNTIF(M$1:M20,$K$2:$K$100),2^16,ROW($2:$100))))&amp;""</f>
        <v/>
      </c>
      <c r="N21" s="150">
        <f t="shared" si="2"/>
        <v>0</v>
      </c>
      <c r="P21" s="140" t="s">
        <v>104</v>
      </c>
      <c r="Q21" s="152">
        <v>1</v>
      </c>
      <c r="R21" s="142" t="str" cm="1">
        <f t="array" ref="R21">INDEX(P:P,MIN(IF(COUNTIF(R$1:R20,$P$2:$P$1500),2^16,ROW($2:$1500))))&amp;""</f>
        <v>李旭</v>
      </c>
      <c r="S21" s="143" cm="1">
        <f t="array" ref="S21">SUMPRODUCT(($P$2:$P$1500=R21)*($Q$2:$Q$1500))</f>
        <v>10.5</v>
      </c>
      <c r="V21" s="154"/>
    </row>
    <row r="22" customHeight="1" spans="1:22">
      <c r="A22" s="140" t="s">
        <v>384</v>
      </c>
      <c r="B22" s="141">
        <v>1</v>
      </c>
      <c r="C22" s="142" t="str">
        <f t="array" ref="C22">INDEX(A:A,MIN(IF(COUNTIF(C$1:C21,$A$2:$A$569),2^16,ROW($2:$569))))&amp;""</f>
        <v/>
      </c>
      <c r="D22" s="143"/>
      <c r="F22" s="140" t="s">
        <v>275</v>
      </c>
      <c r="G22" s="144">
        <v>1</v>
      </c>
      <c r="H22" s="142" t="str">
        <f t="array" ref="H22">INDEX(F:F,MIN(IF(COUNTIF(H$1:H21,$F$2:$F$569),2^16,ROW($2:$569))))&amp;""</f>
        <v>夏雨捷</v>
      </c>
      <c r="I22" s="143">
        <f t="shared" si="1"/>
        <v>1</v>
      </c>
      <c r="K22" s="148"/>
      <c r="L22" s="149"/>
      <c r="M22" s="142" t="str">
        <f t="array" ref="M22">INDEX(K:K,MIN(IF(COUNTIF(M$1:M21,$K$2:$K$100),2^16,ROW($2:$100))))&amp;""</f>
        <v/>
      </c>
      <c r="N22" s="150">
        <f t="shared" si="2"/>
        <v>0</v>
      </c>
      <c r="P22" s="140" t="s">
        <v>104</v>
      </c>
      <c r="Q22" s="152">
        <v>1</v>
      </c>
      <c r="R22" s="142" t="str" cm="1">
        <f t="array" ref="R22">INDEX(P:P,MIN(IF(COUNTIF(R$1:R21,$P$2:$P$1500),2^16,ROW($2:$1500))))&amp;""</f>
        <v>陆巧玲</v>
      </c>
      <c r="S22" s="143" cm="1">
        <f t="array" ref="S22">SUMPRODUCT(($P$2:$P$1500=R22)*($Q$2:$Q$1500))</f>
        <v>7</v>
      </c>
      <c r="V22" s="154"/>
    </row>
    <row r="23" customHeight="1" spans="1:22">
      <c r="A23" s="140" t="s">
        <v>384</v>
      </c>
      <c r="B23" s="141">
        <v>1</v>
      </c>
      <c r="C23" s="142" t="str">
        <f t="array" ref="C23">INDEX(A:A,MIN(IF(COUNTIF(C$1:C22,$A$2:$A$569),2^16,ROW($2:$569))))&amp;""</f>
        <v/>
      </c>
      <c r="D23" s="143"/>
      <c r="F23" s="140" t="s">
        <v>282</v>
      </c>
      <c r="G23" s="144">
        <v>0.5</v>
      </c>
      <c r="H23" s="142" t="str">
        <f t="array" ref="H23">INDEX(F:F,MIN(IF(COUNTIF(H$1:H22,$F$2:$F$569),2^16,ROW($2:$569))))&amp;""</f>
        <v>杨善平</v>
      </c>
      <c r="I23" s="143">
        <f t="shared" si="1"/>
        <v>2</v>
      </c>
      <c r="K23" s="148"/>
      <c r="L23" s="149"/>
      <c r="M23" s="142" t="str">
        <f t="array" ref="M23">INDEX(K:K,MIN(IF(COUNTIF(M$1:M22,$K$2:$K$100),2^16,ROW($2:$100))))&amp;""</f>
        <v/>
      </c>
      <c r="N23" s="150">
        <f t="shared" si="2"/>
        <v>0</v>
      </c>
      <c r="P23" s="140" t="s">
        <v>104</v>
      </c>
      <c r="Q23" s="152">
        <v>1</v>
      </c>
      <c r="R23" s="142" t="str" cm="1">
        <f t="array" ref="R23">INDEX(P:P,MIN(IF(COUNTIF(R$1:R22,$P$2:$P$1500),2^16,ROW($2:$1500))))&amp;""</f>
        <v>秦文近</v>
      </c>
      <c r="S23" s="143" cm="1">
        <f t="array" ref="S23">SUMPRODUCT(($P$2:$P$1500=R23)*($Q$2:$Q$1500))</f>
        <v>5.5</v>
      </c>
      <c r="V23" s="154"/>
    </row>
    <row r="24" customHeight="1" spans="1:22">
      <c r="A24" s="140" t="s">
        <v>432</v>
      </c>
      <c r="B24" s="141">
        <v>1</v>
      </c>
      <c r="C24" s="142" t="str">
        <f t="array" ref="C24">INDEX(A:A,MIN(IF(COUNTIF(C$1:C23,$A$2:$A$569),2^16,ROW($2:$569))))&amp;""</f>
        <v/>
      </c>
      <c r="D24" s="143"/>
      <c r="F24" s="140" t="s">
        <v>286</v>
      </c>
      <c r="G24" s="144">
        <v>0.5</v>
      </c>
      <c r="H24" s="142" t="str">
        <f t="array" ref="H24">INDEX(F:F,MIN(IF(COUNTIF(H$1:H23,$F$2:$F$569),2^16,ROW($2:$569))))&amp;""</f>
        <v>林杨杨</v>
      </c>
      <c r="I24" s="143">
        <f t="shared" si="1"/>
        <v>1</v>
      </c>
      <c r="K24" s="148"/>
      <c r="L24" s="149"/>
      <c r="M24" s="142" t="str">
        <f t="array" ref="M24">INDEX(K:K,MIN(IF(COUNTIF(M$1:M23,$K$2:$K$100),2^16,ROW($2:$100))))&amp;""</f>
        <v/>
      </c>
      <c r="N24" s="150">
        <f t="shared" si="2"/>
        <v>0</v>
      </c>
      <c r="P24" s="140" t="s">
        <v>104</v>
      </c>
      <c r="Q24" s="152">
        <v>1</v>
      </c>
      <c r="R24" s="142" t="str" cm="1">
        <f t="array" ref="R24">INDEX(P:P,MIN(IF(COUNTIF(R$1:R23,$P$2:$P$1500),2^16,ROW($2:$1500))))&amp;""</f>
        <v>王银军</v>
      </c>
      <c r="S24" s="143" cm="1">
        <f t="array" ref="S24">SUMPRODUCT(($P$2:$P$1500=R24)*($Q$2:$Q$1500))</f>
        <v>7</v>
      </c>
      <c r="V24" s="154"/>
    </row>
    <row r="25" customHeight="1" spans="1:22">
      <c r="A25" s="140" t="s">
        <v>446</v>
      </c>
      <c r="B25" s="141">
        <v>1</v>
      </c>
      <c r="C25" s="142" t="str">
        <f t="array" ref="C25">INDEX(A:A,MIN(IF(COUNTIF(C$1:C24,$A$2:$A$569),2^16,ROW($2:$569))))&amp;""</f>
        <v/>
      </c>
      <c r="D25" s="143"/>
      <c r="F25" s="140" t="s">
        <v>291</v>
      </c>
      <c r="G25" s="144">
        <v>0.5</v>
      </c>
      <c r="H25" s="142" t="str">
        <f t="array" ref="H25">INDEX(F:F,MIN(IF(COUNTIF(H$1:H24,$F$2:$F$569),2^16,ROW($2:$569))))&amp;""</f>
        <v>旷世麟</v>
      </c>
      <c r="I25" s="143">
        <f t="shared" si="1"/>
        <v>1</v>
      </c>
      <c r="K25" s="151"/>
      <c r="L25" s="149"/>
      <c r="M25" s="142" t="str">
        <f t="array" ref="M25">INDEX(K:K,MIN(IF(COUNTIF(M$1:M24,$K$2:$K$100),2^16,ROW($2:$100))))&amp;""</f>
        <v/>
      </c>
      <c r="N25" s="150">
        <f t="shared" si="2"/>
        <v>0</v>
      </c>
      <c r="P25" s="140" t="s">
        <v>104</v>
      </c>
      <c r="Q25" s="152">
        <v>1</v>
      </c>
      <c r="R25" s="142" t="str" cm="1">
        <f t="array" ref="R25">INDEX(P:P,MIN(IF(COUNTIF(R$1:R24,$P$2:$P$1500),2^16,ROW($2:$1500))))&amp;""</f>
        <v>吴鑫卓</v>
      </c>
      <c r="S25" s="143" cm="1">
        <f t="array" ref="S25">SUMPRODUCT(($P$2:$P$1500=R25)*($Q$2:$Q$1500))</f>
        <v>9</v>
      </c>
      <c r="V25" s="154"/>
    </row>
    <row r="26" customHeight="1" spans="1:22">
      <c r="A26" s="140" t="s">
        <v>495</v>
      </c>
      <c r="B26" s="141">
        <v>1</v>
      </c>
      <c r="C26" s="142" t="str">
        <f t="array" ref="C26">INDEX(A:A,MIN(IF(COUNTIF(C$1:C25,$A$2:$A$56),2^16,ROW($2:$56))))&amp;""</f>
        <v/>
      </c>
      <c r="D26" s="143"/>
      <c r="F26" s="140" t="s">
        <v>294</v>
      </c>
      <c r="G26" s="144">
        <v>0.5</v>
      </c>
      <c r="H26" s="142" t="str">
        <f t="array" ref="H26">INDEX(F:F,MIN(IF(COUNTIF(H$1:H25,$F$2:$F$569),2^16,ROW($2:$569))))&amp;""</f>
        <v>赵继宝</v>
      </c>
      <c r="I26" s="143">
        <f t="shared" si="1"/>
        <v>1</v>
      </c>
      <c r="K26" s="148"/>
      <c r="L26" s="149"/>
      <c r="M26" s="142" t="str">
        <f t="array" ref="M26">INDEX(K:K,MIN(IF(COUNTIF(M$1:M25,$K$2:$K$100),2^16,ROW($2:$100))))&amp;""</f>
        <v/>
      </c>
      <c r="N26" s="150">
        <f t="shared" si="2"/>
        <v>0</v>
      </c>
      <c r="P26" s="140" t="s">
        <v>120</v>
      </c>
      <c r="Q26" s="152">
        <v>1</v>
      </c>
      <c r="R26" s="142" t="str" cm="1">
        <f t="array" ref="R26">INDEX(P:P,MIN(IF(COUNTIF(R$1:R25,$P$2:$P$1500),2^16,ROW($2:$1500))))&amp;""</f>
        <v>杨坤</v>
      </c>
      <c r="S26" s="143" cm="1">
        <f t="array" ref="S26">SUMPRODUCT(($P$2:$P$1500=R26)*($Q$2:$Q$1500))</f>
        <v>9</v>
      </c>
      <c r="V26" s="154"/>
    </row>
    <row r="27" customHeight="1" spans="1:22">
      <c r="A27" s="140" t="s">
        <v>512</v>
      </c>
      <c r="B27" s="141">
        <v>1</v>
      </c>
      <c r="C27" s="142" t="str">
        <f t="array" ref="C27">INDEX(A:A,MIN(IF(COUNTIF(C$1:C26,$A$2:$A$56),2^16,ROW($2:$56))))&amp;""</f>
        <v/>
      </c>
      <c r="D27" s="143"/>
      <c r="F27" s="140" t="s">
        <v>310</v>
      </c>
      <c r="G27" s="144">
        <v>1</v>
      </c>
      <c r="H27" s="142" t="str">
        <f t="array" ref="H27">INDEX(F:F,MIN(IF(COUNTIF(H$1:H26,$F$2:$F$569),2^16,ROW($2:$569))))&amp;""</f>
        <v>冯瀚</v>
      </c>
      <c r="I27" s="143">
        <f t="shared" si="1"/>
        <v>0.5</v>
      </c>
      <c r="K27" s="148"/>
      <c r="L27" s="149"/>
      <c r="M27" s="142" t="str">
        <f t="array" ref="M27">INDEX(K:K,MIN(IF(COUNTIF(M$1:M26,$K$2:$K$100),2^16,ROW($2:$100))))&amp;""</f>
        <v/>
      </c>
      <c r="N27" s="150">
        <f t="shared" si="2"/>
        <v>0</v>
      </c>
      <c r="P27" s="140" t="s">
        <v>120</v>
      </c>
      <c r="Q27" s="152">
        <v>1</v>
      </c>
      <c r="R27" s="142" t="str" cm="1">
        <f t="array" ref="R27">INDEX(P:P,MIN(IF(COUNTIF(R$1:R26,$P$2:$P$1500),2^16,ROW($2:$1500))))&amp;""</f>
        <v>杨雨晨</v>
      </c>
      <c r="S27" s="143" cm="1">
        <f t="array" ref="S27">SUMPRODUCT(($P$2:$P$1500=R27)*($Q$2:$Q$1500))</f>
        <v>7</v>
      </c>
      <c r="V27" s="154"/>
    </row>
    <row r="28" customHeight="1" spans="1:22">
      <c r="A28" s="140" t="s">
        <v>512</v>
      </c>
      <c r="B28" s="141">
        <v>1</v>
      </c>
      <c r="C28" s="142" t="str">
        <f t="array" ref="C28">INDEX(A:A,MIN(IF(COUNTIF(C$1:C27,$A$2:$A$56),2^16,ROW($2:$56))))&amp;""</f>
        <v/>
      </c>
      <c r="D28" s="143"/>
      <c r="F28" s="140" t="s">
        <v>310</v>
      </c>
      <c r="G28" s="144">
        <v>1</v>
      </c>
      <c r="H28" s="142" t="str">
        <f t="array" ref="H28">INDEX(F:F,MIN(IF(COUNTIF(H$1:H27,$F$2:$F$569),2^16,ROW($2:$569))))&amp;""</f>
        <v>黄驰洋</v>
      </c>
      <c r="I28" s="143">
        <f t="shared" si="1"/>
        <v>2</v>
      </c>
      <c r="K28" s="148"/>
      <c r="L28" s="149"/>
      <c r="M28" s="142" t="str">
        <f t="array" ref="M28">INDEX(K:K,MIN(IF(COUNTIF(M$1:M27,$K$2:$K$100),2^16,ROW($2:$100))))&amp;""</f>
        <v/>
      </c>
      <c r="N28" s="150">
        <f t="shared" si="2"/>
        <v>0</v>
      </c>
      <c r="P28" s="140" t="s">
        <v>120</v>
      </c>
      <c r="Q28" s="152">
        <v>1</v>
      </c>
      <c r="R28" s="142" t="str" cm="1">
        <f t="array" ref="R28">INDEX(P:P,MIN(IF(COUNTIF(R$1:R27,$P$2:$P$1500),2^16,ROW($2:$1500))))&amp;""</f>
        <v>余乐</v>
      </c>
      <c r="S28" s="143" cm="1">
        <f t="array" ref="S28">SUMPRODUCT(($P$2:$P$1500=R28)*($Q$2:$Q$1500))</f>
        <v>7</v>
      </c>
      <c r="V28" s="154"/>
    </row>
    <row r="29" customHeight="1" spans="1:22">
      <c r="A29" s="140" t="s">
        <v>543</v>
      </c>
      <c r="B29" s="141">
        <v>1</v>
      </c>
      <c r="C29" s="142" t="str">
        <f t="array" ref="C29">INDEX(A:A,MIN(IF(COUNTIF(C$1:C28,$A$2:$A$56),2^16,ROW($2:$56))))&amp;""</f>
        <v/>
      </c>
      <c r="D29" s="143"/>
      <c r="F29" s="140" t="s">
        <v>329</v>
      </c>
      <c r="G29" s="144">
        <v>1</v>
      </c>
      <c r="H29" s="142" t="str">
        <f t="array" ref="H29">INDEX(F:F,MIN(IF(COUNTIF(H$1:H28,$F$2:$F$569),2^16,ROW($2:$569))))&amp;""</f>
        <v>马振斌</v>
      </c>
      <c r="I29" s="143">
        <f t="shared" si="1"/>
        <v>1</v>
      </c>
      <c r="K29" s="148"/>
      <c r="L29" s="149"/>
      <c r="M29" s="142" t="str">
        <f t="array" ref="M29">INDEX(K:K,MIN(IF(COUNTIF(M$1:M28,$K$2:$K$100),2^16,ROW($2:$100))))&amp;""</f>
        <v/>
      </c>
      <c r="N29" s="150">
        <f t="shared" si="2"/>
        <v>0</v>
      </c>
      <c r="P29" s="140" t="s">
        <v>120</v>
      </c>
      <c r="Q29" s="152">
        <v>1</v>
      </c>
      <c r="R29" s="142" t="str" cm="1">
        <f t="array" ref="R29">INDEX(P:P,MIN(IF(COUNTIF(R$1:R28,$P$2:$P$1500),2^16,ROW($2:$1500))))&amp;""</f>
        <v>张培强</v>
      </c>
      <c r="S29" s="143" cm="1">
        <f t="array" ref="S29">SUMPRODUCT(($P$2:$P$1500=R29)*($Q$2:$Q$1500))</f>
        <v>6</v>
      </c>
      <c r="V29" s="154"/>
    </row>
    <row r="30" customHeight="1" spans="1:22">
      <c r="A30" s="140" t="s">
        <v>543</v>
      </c>
      <c r="B30" s="141">
        <v>1</v>
      </c>
      <c r="C30" s="142" t="str">
        <f t="array" ref="C30">INDEX(A:A,MIN(IF(COUNTIF(C$1:C29,$A$2:$A$56),2^16,ROW($2:$56))))&amp;""</f>
        <v/>
      </c>
      <c r="D30" s="143"/>
      <c r="F30" s="140" t="s">
        <v>335</v>
      </c>
      <c r="G30" s="144">
        <v>1</v>
      </c>
      <c r="H30" s="142" t="str">
        <f t="array" ref="H30">INDEX(F:F,MIN(IF(COUNTIF(H$1:H29,$F$2:$F$569),2^16,ROW($2:$569))))&amp;""</f>
        <v>时慧玲</v>
      </c>
      <c r="I30" s="143">
        <f t="shared" si="1"/>
        <v>1</v>
      </c>
      <c r="K30" s="148"/>
      <c r="L30" s="149"/>
      <c r="M30" s="142" t="str">
        <f t="array" ref="M30">INDEX(K:K,MIN(IF(COUNTIF(M$1:M29,$K$2:$K$100),2^16,ROW($2:$100))))&amp;""</f>
        <v/>
      </c>
      <c r="N30" s="150">
        <f t="shared" si="2"/>
        <v>0</v>
      </c>
      <c r="P30" s="140" t="s">
        <v>120</v>
      </c>
      <c r="Q30" s="152">
        <v>1</v>
      </c>
      <c r="R30" s="142" t="str" cm="1">
        <f t="array" ref="R30">INDEX(P:P,MIN(IF(COUNTIF(R$1:R29,$P$2:$P$1500),2^16,ROW($2:$1500))))&amp;""</f>
        <v>张欠欠</v>
      </c>
      <c r="S30" s="143" cm="1">
        <f t="array" ref="S30">SUMPRODUCT(($P$2:$P$1500=R30)*($Q$2:$Q$1500))</f>
        <v>4</v>
      </c>
      <c r="V30" s="154"/>
    </row>
    <row r="31" customHeight="1" spans="1:22">
      <c r="A31" s="140" t="s">
        <v>543</v>
      </c>
      <c r="B31" s="141">
        <v>1</v>
      </c>
      <c r="C31" s="142" t="str">
        <f t="array" ref="C31">INDEX(A:A,MIN(IF(COUNTIF(C$1:C30,$A$2:$A$56),2^16,ROW($2:$56))))&amp;""</f>
        <v/>
      </c>
      <c r="D31" s="143"/>
      <c r="F31" s="140" t="s">
        <v>353</v>
      </c>
      <c r="G31" s="144">
        <v>1</v>
      </c>
      <c r="H31" s="142" t="str">
        <f t="array" ref="H31">INDEX(F:F,MIN(IF(COUNTIF(H$1:H30,$F$2:$F$569),2^16,ROW($2:$569))))&amp;""</f>
        <v>魏雪</v>
      </c>
      <c r="I31" s="143">
        <f t="shared" si="1"/>
        <v>1</v>
      </c>
      <c r="K31" s="148"/>
      <c r="L31" s="149"/>
      <c r="M31" s="142" t="str">
        <f t="array" ref="M31">INDEX(K:K,MIN(IF(COUNTIF(M$1:M30,$K$2:$K$100),2^16,ROW($2:$100))))&amp;""</f>
        <v/>
      </c>
      <c r="N31" s="150">
        <f t="shared" si="2"/>
        <v>0</v>
      </c>
      <c r="P31" s="140" t="s">
        <v>120</v>
      </c>
      <c r="Q31" s="152">
        <v>0.5</v>
      </c>
      <c r="R31" s="142" t="str" cm="1">
        <f t="array" ref="R31">INDEX(P:P,MIN(IF(COUNTIF(R$1:R30,$P$2:$P$1500),2^16,ROW($2:$1500))))&amp;""</f>
        <v>周逸轩</v>
      </c>
      <c r="S31" s="143" cm="1">
        <f t="array" ref="S31">SUMPRODUCT(($P$2:$P$1500=R31)*($Q$2:$Q$1500))</f>
        <v>7.5</v>
      </c>
      <c r="V31" s="154"/>
    </row>
    <row r="32" customHeight="1" spans="1:22">
      <c r="A32" s="140" t="s">
        <v>543</v>
      </c>
      <c r="B32" s="141">
        <v>1</v>
      </c>
      <c r="C32" s="142" t="str">
        <f t="array" ref="C32">INDEX(A:A,MIN(IF(COUNTIF(C$1:C31,$A$2:$A$56),2^16,ROW($2:$56))))&amp;""</f>
        <v/>
      </c>
      <c r="D32" s="143"/>
      <c r="F32" s="140" t="s">
        <v>353</v>
      </c>
      <c r="G32" s="144">
        <v>1</v>
      </c>
      <c r="H32" s="142" t="str">
        <f t="array" ref="H32">INDEX(F:F,MIN(IF(COUNTIF(H$1:H31,$F$2:$F$569),2^16,ROW($2:$569))))&amp;""</f>
        <v>习津涛</v>
      </c>
      <c r="I32" s="143">
        <f t="shared" si="1"/>
        <v>1.5</v>
      </c>
      <c r="K32" s="148"/>
      <c r="L32" s="149"/>
      <c r="M32" s="142" t="str">
        <f t="array" ref="M32">INDEX(K:K,MIN(IF(COUNTIF(M$1:M31,$K$2:$K$100),2^16,ROW($2:$100))))&amp;""</f>
        <v/>
      </c>
      <c r="N32" s="150">
        <f t="shared" si="2"/>
        <v>0</v>
      </c>
      <c r="P32" s="140" t="s">
        <v>120</v>
      </c>
      <c r="Q32" s="152">
        <v>1</v>
      </c>
      <c r="R32" s="142" t="str" cm="1">
        <f t="array" ref="R32">INDEX(P:P,MIN(IF(COUNTIF(R$1:R31,$P$2:$P$1500),2^16,ROW($2:$1500))))&amp;""</f>
        <v>孙伟</v>
      </c>
      <c r="S32" s="143" cm="1">
        <f t="array" ref="S32">SUMPRODUCT(($P$2:$P$1500=R32)*($Q$2:$Q$1500))</f>
        <v>7</v>
      </c>
      <c r="V32" s="154"/>
    </row>
    <row r="33" customHeight="1" spans="1:22">
      <c r="A33" s="140" t="s">
        <v>543</v>
      </c>
      <c r="B33" s="141">
        <v>1</v>
      </c>
      <c r="C33" s="142" t="str">
        <f t="array" ref="C33">INDEX(A:A,MIN(IF(COUNTIF(C$1:C32,$A$2:$A$56),2^16,ROW($2:$56))))&amp;""</f>
        <v/>
      </c>
      <c r="D33" s="143"/>
      <c r="F33" s="140" t="s">
        <v>356</v>
      </c>
      <c r="G33" s="144">
        <v>0.5</v>
      </c>
      <c r="H33" s="142" t="str">
        <f t="array" ref="H33">INDEX(F:F,MIN(IF(COUNTIF(H$1:H32,$F$2:$F$569),2^16,ROW($2:$569))))&amp;""</f>
        <v>赵磊</v>
      </c>
      <c r="I33" s="143">
        <f t="shared" si="1"/>
        <v>4</v>
      </c>
      <c r="K33" s="148"/>
      <c r="L33" s="149"/>
      <c r="M33" s="142" t="str">
        <f t="array" ref="M33">INDEX(K:K,MIN(IF(COUNTIF(M$1:M32,$K$2:$K$100),2^16,ROW($2:$100))))&amp;""</f>
        <v/>
      </c>
      <c r="N33" s="150">
        <f t="shared" si="2"/>
        <v>0</v>
      </c>
      <c r="P33" s="140" t="s">
        <v>120</v>
      </c>
      <c r="Q33" s="152">
        <v>1</v>
      </c>
      <c r="R33" s="142" t="str" cm="1">
        <f t="array" ref="R33">INDEX(P:P,MIN(IF(COUNTIF(R$1:R32,$P$2:$P$1500),2^16,ROW($2:$1500))))&amp;""</f>
        <v>翁宋兵</v>
      </c>
      <c r="S33" s="143" cm="1">
        <f t="array" ref="S33">SUMPRODUCT(($P$2:$P$1500=R33)*($Q$2:$Q$1500))</f>
        <v>3</v>
      </c>
      <c r="V33" s="154"/>
    </row>
    <row r="34" customHeight="1" spans="1:22">
      <c r="A34" s="140" t="s">
        <v>547</v>
      </c>
      <c r="B34" s="141">
        <v>1</v>
      </c>
      <c r="C34" s="142" t="str">
        <f t="array" ref="C34">INDEX(A:A,MIN(IF(COUNTIF(C$1:C33,$A$2:$A$56),2^16,ROW($2:$56))))&amp;""</f>
        <v/>
      </c>
      <c r="D34" s="143"/>
      <c r="F34" s="140" t="s">
        <v>383</v>
      </c>
      <c r="G34" s="144">
        <v>1</v>
      </c>
      <c r="H34" s="142" t="str">
        <f t="array" ref="H34">INDEX(F:F,MIN(IF(COUNTIF(H$1:H33,$F$2:$F$569),2^16,ROW($2:$569))))&amp;""</f>
        <v>朱亚垒</v>
      </c>
      <c r="I34" s="143">
        <f t="shared" si="1"/>
        <v>2</v>
      </c>
      <c r="K34" s="148"/>
      <c r="L34" s="149"/>
      <c r="M34" s="142" t="str">
        <f t="array" ref="M34">INDEX(K:K,MIN(IF(COUNTIF(M$1:M33,$K$2:$K$100),2^16,ROW($2:$100))))&amp;""</f>
        <v/>
      </c>
      <c r="N34" s="150">
        <f t="shared" si="2"/>
        <v>0</v>
      </c>
      <c r="P34" s="140" t="s">
        <v>148</v>
      </c>
      <c r="Q34" s="152">
        <v>1</v>
      </c>
      <c r="R34" s="142" t="str" cm="1">
        <f t="array" ref="R34">INDEX(P:P,MIN(IF(COUNTIF(R$1:R33,$P$2:$P$1500),2^16,ROW($2:$1500))))&amp;""</f>
        <v>陈林</v>
      </c>
      <c r="S34" s="143" cm="1">
        <f t="array" ref="S34">SUMPRODUCT(($P$2:$P$1500=R34)*($Q$2:$Q$1500))</f>
        <v>7</v>
      </c>
      <c r="V34" s="154"/>
    </row>
    <row r="35" customHeight="1" spans="1:22">
      <c r="A35" s="140" t="s">
        <v>565</v>
      </c>
      <c r="B35" s="141">
        <v>1</v>
      </c>
      <c r="C35" s="142" t="str">
        <f t="array" ref="C35">INDEX(A:A,MIN(IF(COUNTIF(C$1:C34,$A$2:$A$56),2^16,ROW($2:$56))))&amp;""</f>
        <v/>
      </c>
      <c r="D35" s="143"/>
      <c r="F35" s="140" t="s">
        <v>384</v>
      </c>
      <c r="G35" s="144">
        <v>1</v>
      </c>
      <c r="H35" s="142" t="str">
        <f t="array" ref="H35">INDEX(F:F,MIN(IF(COUNTIF(H$1:H34,$F$2:$F$569),2^16,ROW($2:$569))))&amp;""</f>
        <v>林彬俊</v>
      </c>
      <c r="I35" s="143">
        <f t="shared" ref="I35:I56" si="3">SUMPRODUCT(($F$2:$F$569=H35)*($G$2:$G$569))</f>
        <v>0.5</v>
      </c>
      <c r="K35" s="148"/>
      <c r="L35" s="149"/>
      <c r="M35" s="142" t="str">
        <f t="array" ref="M35">INDEX(K:K,MIN(IF(COUNTIF(M$1:M34,$K$2:$K$100),2^16,ROW($2:$100))))&amp;""</f>
        <v/>
      </c>
      <c r="N35" s="150">
        <f t="shared" si="2"/>
        <v>0</v>
      </c>
      <c r="P35" s="140" t="s">
        <v>148</v>
      </c>
      <c r="Q35" s="152">
        <v>1</v>
      </c>
      <c r="R35" s="142" t="str" cm="1">
        <f t="array" ref="R35">INDEX(P:P,MIN(IF(COUNTIF(R$1:R34,$P$2:$P$1500),2^16,ROW($2:$1500))))&amp;""</f>
        <v>孟栋成</v>
      </c>
      <c r="S35" s="143" cm="1">
        <f t="array" ref="S35">SUMPRODUCT(($P$2:$P$1500=R35)*($Q$2:$Q$1500))</f>
        <v>7</v>
      </c>
      <c r="V35" s="154"/>
    </row>
    <row r="36" customHeight="1" spans="1:22">
      <c r="A36" s="140" t="s">
        <v>565</v>
      </c>
      <c r="B36" s="141">
        <v>1</v>
      </c>
      <c r="C36" s="142" t="str">
        <f t="array" ref="C36">INDEX(A:A,MIN(IF(COUNTIF(C$1:C35,$A$2:$A$56),2^16,ROW($2:$56))))&amp;""</f>
        <v/>
      </c>
      <c r="D36" s="143"/>
      <c r="F36" s="140" t="s">
        <v>384</v>
      </c>
      <c r="G36" s="144">
        <v>1</v>
      </c>
      <c r="H36" s="142" t="str">
        <f t="array" ref="H36">INDEX(F:F,MIN(IF(COUNTIF(H$1:H35,$F$2:$F$569),2^16,ROW($2:$569))))&amp;""</f>
        <v>吕鹏</v>
      </c>
      <c r="I36" s="143">
        <f t="shared" si="3"/>
        <v>3</v>
      </c>
      <c r="K36" s="148"/>
      <c r="L36" s="149"/>
      <c r="M36" s="142" t="str">
        <f t="array" ref="M36">INDEX(K:K,MIN(IF(COUNTIF(M$1:M35,$K$2:$K$100),2^16,ROW($2:$100))))&amp;""</f>
        <v/>
      </c>
      <c r="N36" s="150">
        <f t="shared" si="2"/>
        <v>0</v>
      </c>
      <c r="P36" s="140" t="s">
        <v>148</v>
      </c>
      <c r="Q36" s="152">
        <v>1</v>
      </c>
      <c r="R36" s="142" t="str" cm="1">
        <f t="array" ref="R36">INDEX(P:P,MIN(IF(COUNTIF(R$1:R35,$P$2:$P$1500),2^16,ROW($2:$1500))))&amp;""</f>
        <v>全卓栋</v>
      </c>
      <c r="S36" s="143" cm="1">
        <f t="array" ref="S36">SUMPRODUCT(($P$2:$P$1500=R36)*($Q$2:$Q$1500))</f>
        <v>7</v>
      </c>
      <c r="V36" s="154"/>
    </row>
    <row r="37" customHeight="1" spans="1:19">
      <c r="A37" s="140" t="s">
        <v>565</v>
      </c>
      <c r="B37" s="141">
        <v>1</v>
      </c>
      <c r="C37" s="142" t="str">
        <f t="array" ref="C37">INDEX(A:A,MIN(IF(COUNTIF(C$1:C36,$A$2:$A$56),2^16,ROW($2:$56))))&amp;""</f>
        <v/>
      </c>
      <c r="D37" s="143"/>
      <c r="F37" s="140" t="s">
        <v>404</v>
      </c>
      <c r="G37" s="144">
        <v>1</v>
      </c>
      <c r="H37" s="142" t="str">
        <f t="array" ref="H37">INDEX(F:F,MIN(IF(COUNTIF(H$1:H36,$F$2:$F$569),2^16,ROW($2:$569))))&amp;""</f>
        <v>吕许</v>
      </c>
      <c r="I37" s="143">
        <f t="shared" si="3"/>
        <v>1</v>
      </c>
      <c r="K37" s="148"/>
      <c r="L37" s="149"/>
      <c r="M37" s="142" t="str">
        <f t="array" ref="M37">INDEX(K:K,MIN(IF(COUNTIF(M$1:M36,$K$2:$K$100),2^16,ROW($2:$100))))&amp;""</f>
        <v/>
      </c>
      <c r="N37" s="150">
        <f t="shared" si="2"/>
        <v>0</v>
      </c>
      <c r="P37" s="140" t="s">
        <v>148</v>
      </c>
      <c r="Q37" s="152">
        <v>1</v>
      </c>
      <c r="R37" s="142" t="str" cm="1">
        <f t="array" ref="R37">INDEX(P:P,MIN(IF(COUNTIF(R$1:R36,$P$2:$P$1500),2^16,ROW($2:$1500))))&amp;""</f>
        <v>盛俊昆</v>
      </c>
      <c r="S37" s="143" cm="1">
        <f t="array" ref="S37">SUMPRODUCT(($P$2:$P$1500=R37)*($Q$2:$Q$1500))</f>
        <v>6</v>
      </c>
    </row>
    <row r="38" customHeight="1" spans="1:19">
      <c r="A38" s="140" t="s">
        <v>565</v>
      </c>
      <c r="B38" s="141">
        <v>1</v>
      </c>
      <c r="C38" s="142" t="str">
        <f t="array" ref="C38">INDEX(A:A,MIN(IF(COUNTIF(C$1:C37,$A$2:$A$56),2^16,ROW($2:$56))))&amp;""</f>
        <v/>
      </c>
      <c r="D38" s="143"/>
      <c r="F38" s="140" t="s">
        <v>414</v>
      </c>
      <c r="G38" s="144">
        <v>1</v>
      </c>
      <c r="H38" s="142" t="str">
        <f t="array" ref="H38">INDEX(F:F,MIN(IF(COUNTIF(H$1:H37,$F$2:$F$569),2^16,ROW($2:$569))))&amp;""</f>
        <v>徐雯</v>
      </c>
      <c r="I38" s="143">
        <f t="shared" si="3"/>
        <v>1.5</v>
      </c>
      <c r="K38" s="148"/>
      <c r="L38" s="149"/>
      <c r="M38" s="142" t="str">
        <f t="array" ref="M38">INDEX(K:K,MIN(IF(COUNTIF(M$1:M37,$K$2:$K$100),2^16,ROW($2:$100))))&amp;""</f>
        <v/>
      </c>
      <c r="N38" s="150">
        <f t="shared" si="2"/>
        <v>0</v>
      </c>
      <c r="P38" s="140" t="s">
        <v>148</v>
      </c>
      <c r="Q38" s="152">
        <v>1</v>
      </c>
      <c r="R38" s="142" t="str" cm="1">
        <f t="array" ref="R38">INDEX(P:P,MIN(IF(COUNTIF(R$1:R37,$P$2:$P$1500),2^16,ROW($2:$1500))))&amp;""</f>
        <v>王晓枫</v>
      </c>
      <c r="S38" s="143" cm="1">
        <f t="array" ref="S38">SUMPRODUCT(($P$2:$P$1500=R38)*($Q$2:$Q$1500))</f>
        <v>7</v>
      </c>
    </row>
    <row r="39" customHeight="1" spans="1:19">
      <c r="A39" s="140" t="s">
        <v>568</v>
      </c>
      <c r="B39" s="141">
        <v>1</v>
      </c>
      <c r="C39" s="142" t="str">
        <f t="array" ref="C39">INDEX(A:A,MIN(IF(COUNTIF(C$1:C38,$A$2:$A$56),2^16,ROW($2:$56))))&amp;""</f>
        <v/>
      </c>
      <c r="D39" s="143"/>
      <c r="F39" s="140" t="s">
        <v>423</v>
      </c>
      <c r="G39" s="144">
        <v>1</v>
      </c>
      <c r="H39" s="142" t="str">
        <f t="array" ref="H39">INDEX(F:F,MIN(IF(COUNTIF(H$1:H38,$F$2:$F$569),2^16,ROW($2:$569))))&amp;""</f>
        <v>李双龙</v>
      </c>
      <c r="I39" s="143">
        <f t="shared" si="3"/>
        <v>1</v>
      </c>
      <c r="K39" s="148"/>
      <c r="L39" s="149"/>
      <c r="M39" s="142" t="str">
        <f t="array" ref="M39">INDEX(K:K,MIN(IF(COUNTIF(M$1:M38,$K$2:$K$100),2^16,ROW($2:$100))))&amp;""</f>
        <v/>
      </c>
      <c r="N39" s="150">
        <f t="shared" si="2"/>
        <v>0</v>
      </c>
      <c r="P39" s="140" t="s">
        <v>148</v>
      </c>
      <c r="Q39" s="152">
        <v>1</v>
      </c>
      <c r="R39" s="142" t="str" cm="1">
        <f t="array" ref="R39">INDEX(P:P,MIN(IF(COUNTIF(R$1:R38,$P$2:$P$1500),2^16,ROW($2:$1500))))&amp;""</f>
        <v>邓天予</v>
      </c>
      <c r="S39" s="143" cm="1">
        <f t="array" ref="S39">SUMPRODUCT(($P$2:$P$1500=R39)*($Q$2:$Q$1500))</f>
        <v>1</v>
      </c>
    </row>
    <row r="40" customHeight="1" spans="1:19">
      <c r="A40" s="140" t="s">
        <v>568</v>
      </c>
      <c r="B40" s="141">
        <v>1</v>
      </c>
      <c r="C40" s="142" t="str">
        <f t="array" ref="C40">INDEX(A:A,MIN(IF(COUNTIF(C$1:C39,$A$2:$A$56),2^16,ROW($2:$56))))&amp;""</f>
        <v/>
      </c>
      <c r="D40" s="143"/>
      <c r="F40" s="140" t="s">
        <v>432</v>
      </c>
      <c r="G40" s="144">
        <v>0.5</v>
      </c>
      <c r="H40" s="142" t="str">
        <f t="array" ref="H40">INDEX(F:F,MIN(IF(COUNTIF(H$1:H39,$F$2:$F$569),2^16,ROW($2:$569))))&amp;""</f>
        <v>李洋</v>
      </c>
      <c r="I40" s="143">
        <f t="shared" si="3"/>
        <v>1</v>
      </c>
      <c r="K40" s="148"/>
      <c r="L40" s="149"/>
      <c r="M40" s="142" t="str">
        <f t="array" ref="M40">INDEX(K:K,MIN(IF(COUNTIF(M$1:M39,$K$2:$K$100),2^16,ROW($2:$100))))&amp;""</f>
        <v/>
      </c>
      <c r="N40" s="150">
        <f t="shared" si="2"/>
        <v>0</v>
      </c>
      <c r="P40" s="140" t="s">
        <v>165</v>
      </c>
      <c r="Q40" s="152">
        <v>1</v>
      </c>
      <c r="R40" s="142" t="str" cm="1">
        <f t="array" ref="R40">INDEX(P:P,MIN(IF(COUNTIF(R$1:R39,$P$2:$P$1500),2^16,ROW($2:$1500))))&amp;""</f>
        <v>张燕</v>
      </c>
      <c r="S40" s="143" cm="1">
        <f t="array" ref="S40">SUMPRODUCT(($P$2:$P$1500=R40)*($Q$2:$Q$1500))</f>
        <v>4</v>
      </c>
    </row>
    <row r="41" customHeight="1" spans="1:19">
      <c r="A41" s="140" t="s">
        <v>568</v>
      </c>
      <c r="B41" s="141">
        <v>1</v>
      </c>
      <c r="C41" s="142" t="str">
        <f t="array" ref="C41">INDEX(A:A,MIN(IF(COUNTIF(C$1:C40,$A$2:$A$56),2^16,ROW($2:$56))))&amp;""</f>
        <v/>
      </c>
      <c r="D41" s="143"/>
      <c r="F41" s="140" t="s">
        <v>439</v>
      </c>
      <c r="G41" s="144">
        <v>0.5</v>
      </c>
      <c r="H41" s="142" t="str">
        <f t="array" ref="H41">INDEX(F:F,MIN(IF(COUNTIF(H$1:H40,$F$2:$F$569),2^16,ROW($2:$569))))&amp;""</f>
        <v>梁璁哲</v>
      </c>
      <c r="I41" s="143">
        <f t="shared" si="3"/>
        <v>1</v>
      </c>
      <c r="K41" s="148"/>
      <c r="L41" s="149"/>
      <c r="M41" s="142" t="str">
        <f t="array" ref="M41">INDEX(K:K,MIN(IF(COUNTIF(M$1:M40,$K$2:$K$100),2^16,ROW($2:$100))))&amp;""</f>
        <v/>
      </c>
      <c r="N41" s="150">
        <f t="shared" si="2"/>
        <v>0</v>
      </c>
      <c r="P41" s="140" t="s">
        <v>165</v>
      </c>
      <c r="Q41" s="152">
        <v>1</v>
      </c>
      <c r="R41" s="142" t="str" cm="1">
        <f t="array" ref="R41">INDEX(P:P,MIN(IF(COUNTIF(R$1:R40,$P$2:$P$1500),2^16,ROW($2:$1500))))&amp;""</f>
        <v>黄武辉</v>
      </c>
      <c r="S41" s="143" cm="1">
        <f t="array" ref="S41">SUMPRODUCT(($P$2:$P$1500=R41)*($Q$2:$Q$1500))</f>
        <v>7</v>
      </c>
    </row>
    <row r="42" customHeight="1" spans="1:19">
      <c r="A42" s="140" t="s">
        <v>581</v>
      </c>
      <c r="B42" s="141">
        <v>1</v>
      </c>
      <c r="C42" s="142" t="str">
        <f t="array" ref="C42">INDEX(A:A,MIN(IF(COUNTIF(C$1:C41,$A$2:$A$56),2^16,ROW($2:$56))))&amp;""</f>
        <v/>
      </c>
      <c r="D42" s="143"/>
      <c r="F42" s="140" t="s">
        <v>439</v>
      </c>
      <c r="G42" s="144">
        <v>0.5</v>
      </c>
      <c r="H42" s="142" t="str">
        <f t="array" ref="H42">INDEX(F:F,MIN(IF(COUNTIF(H$1:H41,$F$2:$F$569),2^16,ROW($2:$569))))&amp;""</f>
        <v>叶先意</v>
      </c>
      <c r="I42" s="143">
        <f t="shared" si="3"/>
        <v>0.5</v>
      </c>
      <c r="K42" s="148"/>
      <c r="L42" s="149"/>
      <c r="M42" s="142" t="str">
        <f t="array" ref="M42">INDEX(K:K,MIN(IF(COUNTIF(M$1:M41,$K$2:$K$100),2^16,ROW($2:$100))))&amp;""</f>
        <v/>
      </c>
      <c r="N42" s="150">
        <f t="shared" si="2"/>
        <v>0</v>
      </c>
      <c r="P42" s="140" t="s">
        <v>187</v>
      </c>
      <c r="Q42" s="152">
        <v>1</v>
      </c>
      <c r="R42" s="142" t="str" cm="1">
        <f t="array" ref="R42">INDEX(P:P,MIN(IF(COUNTIF(R$1:R41,$P$2:$P$1500),2^16,ROW($2:$1500))))&amp;""</f>
        <v>廖勇江</v>
      </c>
      <c r="S42" s="143" cm="1">
        <f t="array" ref="S42">SUMPRODUCT(($P$2:$P$1500=R42)*($Q$2:$Q$1500))</f>
        <v>15</v>
      </c>
    </row>
    <row r="43" customHeight="1" spans="1:19">
      <c r="A43" s="146"/>
      <c r="B43" s="141"/>
      <c r="C43" s="142" t="str">
        <f t="array" ref="C43">INDEX(A:A,MIN(IF(COUNTIF(C$1:C42,$A$2:$A$56),2^16,ROW($2:$56))))&amp;""</f>
        <v/>
      </c>
      <c r="D43" s="143"/>
      <c r="F43" s="140" t="s">
        <v>439</v>
      </c>
      <c r="G43" s="144">
        <v>0.5</v>
      </c>
      <c r="H43" s="142" t="str">
        <f t="array" ref="H43">INDEX(F:F,MIN(IF(COUNTIF(H$1:H42,$F$2:$F$569),2^16,ROW($2:$569))))&amp;""</f>
        <v>刘帅</v>
      </c>
      <c r="I43" s="143">
        <f t="shared" si="3"/>
        <v>4</v>
      </c>
      <c r="K43" s="148"/>
      <c r="L43" s="149"/>
      <c r="M43" s="142" t="str">
        <f t="array" ref="M43">INDEX(K:K,MIN(IF(COUNTIF(M$1:M42,$K$2:$K$100),2^16,ROW($2:$100))))&amp;""</f>
        <v/>
      </c>
      <c r="N43" s="150">
        <f t="shared" si="2"/>
        <v>0</v>
      </c>
      <c r="P43" s="140" t="s">
        <v>187</v>
      </c>
      <c r="Q43" s="152">
        <v>1</v>
      </c>
      <c r="R43" s="142" t="str" cm="1">
        <f t="array" ref="R43">INDEX(P:P,MIN(IF(COUNTIF(R$1:R42,$P$2:$P$1500),2^16,ROW($2:$1500))))&amp;""</f>
        <v>楚旭</v>
      </c>
      <c r="S43" s="143" cm="1">
        <f t="array" ref="S43">SUMPRODUCT(($P$2:$P$1500=R43)*($Q$2:$Q$1500))</f>
        <v>6</v>
      </c>
    </row>
    <row r="44" customHeight="1" spans="1:19">
      <c r="A44" s="146"/>
      <c r="B44" s="141"/>
      <c r="C44" s="142" t="str">
        <f t="array" ref="C44">INDEX(A:A,MIN(IF(COUNTIF(C$1:C43,$A$2:$A$56),2^16,ROW($2:$56))))&amp;""</f>
        <v/>
      </c>
      <c r="D44" s="143"/>
      <c r="F44" s="140" t="s">
        <v>439</v>
      </c>
      <c r="G44" s="144">
        <v>0.5</v>
      </c>
      <c r="H44" s="142" t="str">
        <f t="array" ref="H44">INDEX(F:F,MIN(IF(COUNTIF(H$1:H43,$F$2:$F$569),2^16,ROW($2:$569))))&amp;""</f>
        <v>邹美洋</v>
      </c>
      <c r="I44" s="143">
        <f t="shared" si="3"/>
        <v>2</v>
      </c>
      <c r="K44" s="148"/>
      <c r="L44" s="149"/>
      <c r="M44" s="142" t="str">
        <f t="array" ref="M44">INDEX(K:K,MIN(IF(COUNTIF(M$1:M43,$K$2:$K$100),2^16,ROW($2:$100))))&amp;""</f>
        <v/>
      </c>
      <c r="N44" s="150">
        <f t="shared" si="2"/>
        <v>0</v>
      </c>
      <c r="P44" s="140" t="s">
        <v>187</v>
      </c>
      <c r="Q44" s="152">
        <v>1</v>
      </c>
      <c r="R44" s="142" t="str" cm="1">
        <f t="array" ref="R44">INDEX(P:P,MIN(IF(COUNTIF(R$1:R43,$P$2:$P$1500),2^16,ROW($2:$1500))))&amp;""</f>
        <v>干然草</v>
      </c>
      <c r="S44" s="143" cm="1">
        <f t="array" ref="S44">SUMPRODUCT(($P$2:$P$1500=R44)*($Q$2:$Q$1500))</f>
        <v>6</v>
      </c>
    </row>
    <row r="45" customHeight="1" spans="1:19">
      <c r="A45" s="146"/>
      <c r="B45" s="141"/>
      <c r="C45" s="142" t="str">
        <f t="array" ref="C45">INDEX(A:A,MIN(IF(COUNTIF(C$1:C44,$A$2:$A$56),2^16,ROW($2:$56))))&amp;""</f>
        <v/>
      </c>
      <c r="D45" s="143"/>
      <c r="F45" s="140" t="s">
        <v>460</v>
      </c>
      <c r="G45" s="144">
        <v>1</v>
      </c>
      <c r="H45" s="142" t="str">
        <f t="array" ref="H45">INDEX(F:F,MIN(IF(COUNTIF(H$1:H44,$F$2:$F$569),2^16,ROW($2:$569))))&amp;""</f>
        <v>刘高杰</v>
      </c>
      <c r="I45" s="143">
        <f t="shared" si="3"/>
        <v>1</v>
      </c>
      <c r="K45" s="148"/>
      <c r="L45" s="149"/>
      <c r="M45" s="142" t="str">
        <f t="array" ref="M45">INDEX(K:K,MIN(IF(COUNTIF(M$1:M44,$K$2:$K$100),2^16,ROW($2:$100))))&amp;""</f>
        <v/>
      </c>
      <c r="N45" s="150">
        <f t="shared" si="2"/>
        <v>0</v>
      </c>
      <c r="P45" s="140" t="s">
        <v>187</v>
      </c>
      <c r="Q45" s="152">
        <v>1</v>
      </c>
      <c r="R45" s="142" t="str" cm="1">
        <f t="array" ref="R45">INDEX(P:P,MIN(IF(COUNTIF(R$1:R44,$P$2:$P$1500),2^16,ROW($2:$1500))))&amp;""</f>
        <v>李林翰</v>
      </c>
      <c r="S45" s="143" cm="1">
        <f t="array" ref="S45">SUMPRODUCT(($P$2:$P$1500=R45)*($Q$2:$Q$1500))</f>
        <v>6</v>
      </c>
    </row>
    <row r="46" customHeight="1" spans="1:19">
      <c r="A46" s="146"/>
      <c r="B46" s="141"/>
      <c r="C46" s="142" t="str">
        <f t="array" ref="C46">INDEX(A:A,MIN(IF(COUNTIF(C$1:C45,$A$2:$A$56),2^16,ROW($2:$56))))&amp;""</f>
        <v/>
      </c>
      <c r="D46" s="143"/>
      <c r="F46" s="140" t="s">
        <v>463</v>
      </c>
      <c r="G46" s="144">
        <v>1</v>
      </c>
      <c r="H46" s="142" t="str">
        <f t="array" ref="H46">INDEX(F:F,MIN(IF(COUNTIF(H$1:H45,$F$2:$F$569),2^16,ROW($2:$569))))&amp;""</f>
        <v>潘凌云</v>
      </c>
      <c r="I46" s="143">
        <f t="shared" si="3"/>
        <v>1.5</v>
      </c>
      <c r="K46" s="148"/>
      <c r="L46" s="149"/>
      <c r="M46" s="142" t="str">
        <f t="array" ref="M46">INDEX(K:K,MIN(IF(COUNTIF(M$1:M45,$K$2:$K$100),2^16,ROW($2:$100))))&amp;""</f>
        <v/>
      </c>
      <c r="N46" s="150">
        <f t="shared" si="2"/>
        <v>0</v>
      </c>
      <c r="P46" s="140" t="s">
        <v>187</v>
      </c>
      <c r="Q46" s="152">
        <v>1</v>
      </c>
      <c r="R46" s="142" t="str" cm="1">
        <f t="array" ref="R46">INDEX(P:P,MIN(IF(COUNTIF(R$1:R45,$P$2:$P$1500),2^16,ROW($2:$1500))))&amp;""</f>
        <v>刘丽</v>
      </c>
      <c r="S46" s="143" cm="1">
        <f t="array" ref="S46">SUMPRODUCT(($P$2:$P$1500=R46)*($Q$2:$Q$1500))</f>
        <v>8</v>
      </c>
    </row>
    <row r="47" customHeight="1" spans="1:19">
      <c r="A47" s="146"/>
      <c r="B47" s="141"/>
      <c r="C47" s="142" t="str">
        <f t="array" ref="C47">INDEX(A:A,MIN(IF(COUNTIF(C$1:C46,$A$2:$A$56),2^16,ROW($2:$56))))&amp;""</f>
        <v/>
      </c>
      <c r="D47" s="143"/>
      <c r="F47" s="140" t="s">
        <v>468</v>
      </c>
      <c r="G47" s="144">
        <v>1</v>
      </c>
      <c r="H47" s="142" t="str">
        <f t="array" ref="H47">INDEX(F:F,MIN(IF(COUNTIF(H$1:H46,$F$2:$F$569),2^16,ROW($2:$569))))&amp;""</f>
        <v>王晓雅</v>
      </c>
      <c r="I47" s="143">
        <f t="shared" si="3"/>
        <v>2</v>
      </c>
      <c r="K47" s="148"/>
      <c r="L47" s="149"/>
      <c r="M47" s="142" t="str">
        <f t="array" ref="M47">INDEX(K:K,MIN(IF(COUNTIF(M$1:M46,$K$2:$K$100),2^16,ROW($2:$100))))&amp;""</f>
        <v/>
      </c>
      <c r="N47" s="150">
        <f t="shared" si="2"/>
        <v>0</v>
      </c>
      <c r="P47" s="140" t="s">
        <v>187</v>
      </c>
      <c r="Q47" s="152">
        <v>1</v>
      </c>
      <c r="R47" s="142" t="str" cm="1">
        <f t="array" ref="R47">INDEX(P:P,MIN(IF(COUNTIF(R$1:R46,$P$2:$P$1500),2^16,ROW($2:$1500))))&amp;""</f>
        <v>王鹏飞</v>
      </c>
      <c r="S47" s="143" cm="1">
        <f t="array" ref="S47">SUMPRODUCT(($P$2:$P$1500=R47)*($Q$2:$Q$1500))</f>
        <v>11</v>
      </c>
    </row>
    <row r="48" customHeight="1" spans="1:19">
      <c r="A48" s="146"/>
      <c r="B48" s="141"/>
      <c r="C48" s="142" t="str">
        <f t="array" ref="C48">INDEX(A:A,MIN(IF(COUNTIF(C$1:C47,$A$2:$A$56),2^16,ROW($2:$56))))&amp;""</f>
        <v/>
      </c>
      <c r="D48" s="143"/>
      <c r="F48" s="140" t="s">
        <v>469</v>
      </c>
      <c r="G48" s="144">
        <v>0.5</v>
      </c>
      <c r="H48" s="142" t="str">
        <f t="array" ref="H48">INDEX(F:F,MIN(IF(COUNTIF(H$1:H47,$F$2:$F$569),2^16,ROW($2:$569))))&amp;""</f>
        <v>张晟毓</v>
      </c>
      <c r="I48" s="143">
        <f t="shared" si="3"/>
        <v>2</v>
      </c>
      <c r="K48" s="148"/>
      <c r="L48" s="149"/>
      <c r="M48" s="142" t="str">
        <f t="array" ref="M48">INDEX(K:K,MIN(IF(COUNTIF(M$1:M47,$K$2:$K$100),2^16,ROW($2:$100))))&amp;""</f>
        <v/>
      </c>
      <c r="N48" s="150">
        <f t="shared" si="2"/>
        <v>0</v>
      </c>
      <c r="P48" s="140" t="s">
        <v>187</v>
      </c>
      <c r="Q48" s="152">
        <v>1</v>
      </c>
      <c r="R48" s="142" t="str" cm="1">
        <f t="array" ref="R48">INDEX(P:P,MIN(IF(COUNTIF(R$1:R47,$P$2:$P$1500),2^16,ROW($2:$1500))))&amp;""</f>
        <v>郑佳男</v>
      </c>
      <c r="S48" s="143" cm="1">
        <f t="array" ref="S48">SUMPRODUCT(($P$2:$P$1500=R48)*($Q$2:$Q$1500))</f>
        <v>10</v>
      </c>
    </row>
    <row r="49" customHeight="1" spans="1:19">
      <c r="A49" s="146"/>
      <c r="B49" s="141"/>
      <c r="C49" s="142" t="str">
        <f t="array" ref="C49">INDEX(A:A,MIN(IF(COUNTIF(C$1:C48,$A$2:$A$56),2^16,ROW($2:$56))))&amp;""</f>
        <v/>
      </c>
      <c r="D49" s="143"/>
      <c r="F49" s="140" t="s">
        <v>469</v>
      </c>
      <c r="G49" s="144">
        <v>0.5</v>
      </c>
      <c r="H49" s="142" t="str">
        <f t="array" ref="H49">INDEX(F:F,MIN(IF(COUNTIF(H$1:H48,$F$2:$F$569),2^16,ROW($2:$569))))&amp;""</f>
        <v>王兵</v>
      </c>
      <c r="I49" s="143">
        <f t="shared" si="3"/>
        <v>1</v>
      </c>
      <c r="K49" s="148"/>
      <c r="L49" s="149"/>
      <c r="M49" s="142" t="str">
        <f t="array" ref="M49">INDEX(K:K,MIN(IF(COUNTIF(M$1:M48,$K$2:$K$100),2^16,ROW($2:$100))))&amp;""</f>
        <v/>
      </c>
      <c r="N49" s="150">
        <f t="shared" si="2"/>
        <v>0</v>
      </c>
      <c r="P49" s="140" t="s">
        <v>197</v>
      </c>
      <c r="Q49" s="152">
        <v>1</v>
      </c>
      <c r="R49" s="142" t="str" cm="1">
        <f t="array" ref="R49">INDEX(P:P,MIN(IF(COUNTIF(R$1:R48,$P$2:$P$1500),2^16,ROW($2:$1500))))&amp;""</f>
        <v>陈斌</v>
      </c>
      <c r="S49" s="143" cm="1">
        <f t="array" ref="S49">SUMPRODUCT(($P$2:$P$1500=R49)*($Q$2:$Q$1500))</f>
        <v>6</v>
      </c>
    </row>
    <row r="50" customHeight="1" spans="1:19">
      <c r="A50" s="146"/>
      <c r="B50" s="141"/>
      <c r="C50" s="142" t="str">
        <f t="array" ref="C50">INDEX(A:A,MIN(IF(COUNTIF(C$1:C49,$A$2:$A$56),2^16,ROW($2:$56))))&amp;""</f>
        <v/>
      </c>
      <c r="D50" s="143"/>
      <c r="F50" s="140" t="s">
        <v>469</v>
      </c>
      <c r="G50" s="144">
        <v>0.5</v>
      </c>
      <c r="H50" s="142" t="str">
        <f t="array" ref="H50">INDEX(F:F,MIN(IF(COUNTIF(H$1:H49,$F$2:$F$569),2^16,ROW($2:$569))))&amp;""</f>
        <v/>
      </c>
      <c r="I50" s="143"/>
      <c r="K50" s="148"/>
      <c r="L50" s="149"/>
      <c r="M50" s="142" t="str">
        <f t="array" ref="M50">INDEX(K:K,MIN(IF(COUNTIF(M$1:M49,$K$2:$K$100),2^16,ROW($2:$100))))&amp;""</f>
        <v/>
      </c>
      <c r="N50" s="150">
        <f t="shared" si="2"/>
        <v>0</v>
      </c>
      <c r="P50" s="140" t="s">
        <v>197</v>
      </c>
      <c r="Q50" s="152">
        <v>1</v>
      </c>
      <c r="R50" s="142" t="str" cm="1">
        <f t="array" ref="R50">INDEX(P:P,MIN(IF(COUNTIF(R$1:R49,$P$2:$P$1500),2^16,ROW($2:$1500))))&amp;""</f>
        <v>陈为泽</v>
      </c>
      <c r="S50" s="143" cm="1">
        <f t="array" ref="S50">SUMPRODUCT(($P$2:$P$1500=R50)*($Q$2:$Q$1500))</f>
        <v>7</v>
      </c>
    </row>
    <row r="51" customHeight="1" spans="1:19">
      <c r="A51" s="146"/>
      <c r="B51" s="141"/>
      <c r="C51" s="142" t="str">
        <f t="array" ref="C51">INDEX(A:A,MIN(IF(COUNTIF(C$1:C50,$A$2:$A$56),2^16,ROW($2:$56))))&amp;""</f>
        <v/>
      </c>
      <c r="D51" s="143"/>
      <c r="F51" s="140" t="s">
        <v>471</v>
      </c>
      <c r="G51" s="144">
        <v>1</v>
      </c>
      <c r="H51" s="142" t="str">
        <f t="array" ref="H51">INDEX(F:F,MIN(IF(COUNTIF(H$1:H50,$F$2:$F$569),2^16,ROW($2:$569))))&amp;""</f>
        <v/>
      </c>
      <c r="I51" s="143"/>
      <c r="K51" s="148"/>
      <c r="L51" s="149"/>
      <c r="M51" s="142" t="str">
        <f t="array" ref="M51">INDEX(K:K,MIN(IF(COUNTIF(M$1:M50,$K$2:$K$100),2^16,ROW($2:$100))))&amp;""</f>
        <v/>
      </c>
      <c r="N51" s="150">
        <f t="shared" si="2"/>
        <v>0</v>
      </c>
      <c r="P51" s="140" t="s">
        <v>197</v>
      </c>
      <c r="Q51" s="152">
        <v>1</v>
      </c>
      <c r="R51" s="142" t="str" cm="1">
        <f t="array" ref="R51">INDEX(P:P,MIN(IF(COUNTIF(R$1:R50,$P$2:$P$1500),2^16,ROW($2:$1500))))&amp;""</f>
        <v>范天星</v>
      </c>
      <c r="S51" s="143" cm="1">
        <f t="array" ref="S51">SUMPRODUCT(($P$2:$P$1500=R51)*($Q$2:$Q$1500))</f>
        <v>6</v>
      </c>
    </row>
    <row r="52" customHeight="1" spans="1:19">
      <c r="A52" s="146"/>
      <c r="B52" s="141"/>
      <c r="F52" s="140" t="s">
        <v>471</v>
      </c>
      <c r="G52" s="144">
        <v>1</v>
      </c>
      <c r="H52" s="142" t="str">
        <f t="array" ref="H52">INDEX(F:F,MIN(IF(COUNTIF(H$1:H51,$F$2:$F$569),2^16,ROW($2:$569))))&amp;""</f>
        <v/>
      </c>
      <c r="I52" s="143"/>
      <c r="K52" s="148"/>
      <c r="L52" s="149"/>
      <c r="M52" s="142" t="str">
        <f t="array" ref="M52">INDEX(K:K,MIN(IF(COUNTIF(M$1:M51,$K$2:$K$100),2^16,ROW($2:$100))))&amp;""</f>
        <v/>
      </c>
      <c r="N52" s="150">
        <f t="shared" si="2"/>
        <v>0</v>
      </c>
      <c r="P52" s="140" t="s">
        <v>197</v>
      </c>
      <c r="Q52" s="152">
        <v>1</v>
      </c>
      <c r="R52" s="142" t="str" cm="1">
        <f t="array" ref="R52">INDEX(P:P,MIN(IF(COUNTIF(R$1:R51,$P$2:$P$1500),2^16,ROW($2:$1500))))&amp;""</f>
        <v>桂志雄</v>
      </c>
      <c r="S52" s="143" cm="1">
        <f t="array" ref="S52">SUMPRODUCT(($P$2:$P$1500=R52)*($Q$2:$Q$1500))</f>
        <v>7</v>
      </c>
    </row>
    <row r="53" customHeight="1" spans="1:19">
      <c r="A53" s="146"/>
      <c r="B53" s="141"/>
      <c r="F53" s="140" t="s">
        <v>471</v>
      </c>
      <c r="G53" s="144">
        <v>1</v>
      </c>
      <c r="H53" s="142" t="str">
        <f t="array" ref="H53">INDEX(F:F,MIN(IF(COUNTIF(H$1:H52,$F$2:$F$569),2^16,ROW($2:$569))))&amp;""</f>
        <v/>
      </c>
      <c r="I53" s="143"/>
      <c r="K53" s="148"/>
      <c r="L53" s="149"/>
      <c r="M53" s="142" t="str">
        <f t="array" ref="M53">INDEX(K:K,MIN(IF(COUNTIF(M$1:M52,$K$2:$K$100),2^16,ROW($2:$100))))&amp;""</f>
        <v/>
      </c>
      <c r="N53" s="150">
        <f t="shared" si="2"/>
        <v>0</v>
      </c>
      <c r="P53" s="140" t="s">
        <v>197</v>
      </c>
      <c r="Q53" s="152">
        <v>1</v>
      </c>
      <c r="R53" s="142" t="str" cm="1">
        <f t="array" ref="R53">INDEX(P:P,MIN(IF(COUNTIF(R$1:R52,$P$2:$P$1500),2^16,ROW($2:$1500))))&amp;""</f>
        <v>李清范</v>
      </c>
      <c r="S53" s="143" cm="1">
        <f t="array" ref="S53">SUMPRODUCT(($P$2:$P$1500=R53)*($Q$2:$Q$1500))</f>
        <v>8</v>
      </c>
    </row>
    <row r="54" customHeight="1" spans="1:19">
      <c r="A54" s="146"/>
      <c r="B54" s="141"/>
      <c r="F54" s="140" t="s">
        <v>471</v>
      </c>
      <c r="G54" s="144">
        <v>1</v>
      </c>
      <c r="H54" s="142" t="str">
        <f t="array" ref="H54">INDEX(F:F,MIN(IF(COUNTIF(H$1:H53,$F$2:$F$569),2^16,ROW($2:$569))))&amp;""</f>
        <v/>
      </c>
      <c r="I54" s="143"/>
      <c r="K54" s="148"/>
      <c r="L54" s="149"/>
      <c r="M54" s="142" t="str">
        <f t="array" ref="M54">INDEX(K:K,MIN(IF(COUNTIF(M$1:M53,$K$2:$K$100),2^16,ROW($2:$100))))&amp;""</f>
        <v/>
      </c>
      <c r="N54" s="150">
        <f t="shared" si="2"/>
        <v>0</v>
      </c>
      <c r="P54" s="140" t="s">
        <v>197</v>
      </c>
      <c r="Q54" s="152">
        <v>1</v>
      </c>
      <c r="R54" s="142" t="str" cm="1">
        <f t="array" ref="R54">INDEX(P:P,MIN(IF(COUNTIF(R$1:R53,$P$2:$P$1500),2^16,ROW($2:$1500))))&amp;""</f>
        <v>刘青</v>
      </c>
      <c r="S54" s="143" cm="1">
        <f t="array" ref="S54">SUMPRODUCT(($P$2:$P$1500=R54)*($Q$2:$Q$1500))</f>
        <v>10</v>
      </c>
    </row>
    <row r="55" customHeight="1" spans="1:19">
      <c r="A55" s="146"/>
      <c r="B55" s="141"/>
      <c r="F55" s="140" t="s">
        <v>476</v>
      </c>
      <c r="G55" s="144">
        <v>1</v>
      </c>
      <c r="H55" s="142" t="str">
        <f t="array" ref="H55">INDEX(F:F,MIN(IF(COUNTIF(H$1:H54,$F$2:$F$569),2^16,ROW($2:$569))))&amp;""</f>
        <v/>
      </c>
      <c r="I55" s="143"/>
      <c r="K55" s="148"/>
      <c r="L55" s="149"/>
      <c r="M55" s="142" t="str">
        <f t="array" ref="M55">INDEX(K:K,MIN(IF(COUNTIF(M$1:M54,$K$2:$K$100),2^16,ROW($2:$100))))&amp;""</f>
        <v/>
      </c>
      <c r="N55" s="150">
        <f t="shared" si="2"/>
        <v>0</v>
      </c>
      <c r="P55" s="140" t="s">
        <v>203</v>
      </c>
      <c r="Q55" s="152">
        <v>1</v>
      </c>
      <c r="R55" s="142" t="str" cm="1">
        <f t="array" ref="R55">INDEX(P:P,MIN(IF(COUNTIF(R$1:R54,$P$2:$P$1500),2^16,ROW($2:$1500))))&amp;""</f>
        <v>骆剑</v>
      </c>
      <c r="S55" s="143" cm="1">
        <f t="array" ref="S55">SUMPRODUCT(($P$2:$P$1500=R55)*($Q$2:$Q$1500))</f>
        <v>7</v>
      </c>
    </row>
    <row r="56" customHeight="1" spans="1:19">
      <c r="A56" s="146"/>
      <c r="B56" s="141"/>
      <c r="F56" s="140" t="s">
        <v>476</v>
      </c>
      <c r="G56" s="144">
        <v>1</v>
      </c>
      <c r="H56" s="142"/>
      <c r="I56" s="143"/>
      <c r="K56" s="148"/>
      <c r="L56" s="149"/>
      <c r="M56" s="142" t="str">
        <f t="array" ref="M56">INDEX(K:K,MIN(IF(COUNTIF(M$1:M55,$K$2:$K$100),2^16,ROW($2:$100))))&amp;""</f>
        <v/>
      </c>
      <c r="N56" s="150">
        <f t="shared" si="2"/>
        <v>0</v>
      </c>
      <c r="P56" s="140" t="s">
        <v>208</v>
      </c>
      <c r="Q56" s="152">
        <v>1</v>
      </c>
      <c r="R56" s="142" t="str" cm="1">
        <f t="array" ref="R56">INDEX(P:P,MIN(IF(COUNTIF(R$1:R55,$P$2:$P$1500),2^16,ROW($2:$1500))))&amp;""</f>
        <v>盛兴飞</v>
      </c>
      <c r="S56" s="143" cm="1">
        <f t="array" ref="S56">SUMPRODUCT(($P$2:$P$1500=R56)*($Q$2:$Q$1500))</f>
        <v>7</v>
      </c>
    </row>
    <row r="57" customHeight="1" spans="1:19">
      <c r="A57" s="146"/>
      <c r="B57" s="141"/>
      <c r="F57" s="140" t="s">
        <v>484</v>
      </c>
      <c r="G57" s="144">
        <v>0.5</v>
      </c>
      <c r="H57" s="142"/>
      <c r="I57" s="143"/>
      <c r="K57" s="148"/>
      <c r="L57" s="149"/>
      <c r="M57" s="142" t="str">
        <f t="array" ref="M57">INDEX(K:K,MIN(IF(COUNTIF(M$1:M56,$K$2:$K$100),2^16,ROW($2:$100))))&amp;""</f>
        <v/>
      </c>
      <c r="N57" s="150">
        <f t="shared" si="2"/>
        <v>0</v>
      </c>
      <c r="P57" s="140" t="s">
        <v>208</v>
      </c>
      <c r="Q57" s="152">
        <v>1</v>
      </c>
      <c r="R57" s="142" t="str" cm="1">
        <f t="array" ref="R57">INDEX(P:P,MIN(IF(COUNTIF(R$1:R56,$P$2:$P$1500),2^16,ROW($2:$1500))))&amp;""</f>
        <v>夏雨捷</v>
      </c>
      <c r="S57" s="143" cm="1">
        <f t="array" ref="S57">SUMPRODUCT(($P$2:$P$1500=R57)*($Q$2:$Q$1500))</f>
        <v>5</v>
      </c>
    </row>
    <row r="58" customHeight="1" spans="1:19">
      <c r="A58" s="146"/>
      <c r="B58" s="141"/>
      <c r="F58" s="140" t="s">
        <v>485</v>
      </c>
      <c r="G58" s="144">
        <v>1</v>
      </c>
      <c r="H58" s="142"/>
      <c r="I58" s="143"/>
      <c r="K58" s="148"/>
      <c r="L58" s="149"/>
      <c r="M58" s="142" t="str">
        <f t="array" ref="M58">INDEX(K:K,MIN(IF(COUNTIF(M$1:M57,$K$2:$K$100),2^16,ROW($2:$100))))&amp;""</f>
        <v/>
      </c>
      <c r="N58" s="150">
        <f t="shared" si="2"/>
        <v>0</v>
      </c>
      <c r="P58" s="140" t="s">
        <v>208</v>
      </c>
      <c r="Q58" s="152">
        <v>1</v>
      </c>
      <c r="R58" s="142" t="str" cm="1">
        <f t="array" ref="R58">INDEX(P:P,MIN(IF(COUNTIF(R$1:R57,$P$2:$P$1500),2^16,ROW($2:$1500))))&amp;""</f>
        <v>杨善平</v>
      </c>
      <c r="S58" s="143" cm="1">
        <f t="array" ref="S58">SUMPRODUCT(($P$2:$P$1500=R58)*($Q$2:$Q$1500))</f>
        <v>6</v>
      </c>
    </row>
    <row r="59" customHeight="1" spans="1:19">
      <c r="A59" s="146"/>
      <c r="B59" s="141"/>
      <c r="F59" s="140" t="s">
        <v>485</v>
      </c>
      <c r="G59" s="144">
        <v>1</v>
      </c>
      <c r="H59" s="142"/>
      <c r="I59" s="143"/>
      <c r="K59" s="148"/>
      <c r="L59" s="149"/>
      <c r="M59" s="142" t="str">
        <f t="array" ref="M59">INDEX(K:K,MIN(IF(COUNTIF(M$1:M58,$K$2:$K$100),2^16,ROW($2:$100))))&amp;""</f>
        <v/>
      </c>
      <c r="N59" s="150">
        <f t="shared" si="2"/>
        <v>0</v>
      </c>
      <c r="P59" s="140" t="s">
        <v>208</v>
      </c>
      <c r="Q59" s="152">
        <v>1</v>
      </c>
      <c r="R59" s="142" t="str" cm="1">
        <f t="array" ref="R59">INDEX(P:P,MIN(IF(COUNTIF(R$1:R58,$P$2:$P$1500),2^16,ROW($2:$1500))))&amp;""</f>
        <v>杨瀚</v>
      </c>
      <c r="S59" s="143" cm="1">
        <f t="array" ref="S59">SUMPRODUCT(($P$2:$P$1500=R59)*($Q$2:$Q$1500))</f>
        <v>10</v>
      </c>
    </row>
    <row r="60" customHeight="1" spans="1:19">
      <c r="A60" s="146"/>
      <c r="B60" s="141"/>
      <c r="F60" s="140" t="s">
        <v>485</v>
      </c>
      <c r="G60" s="144">
        <v>1</v>
      </c>
      <c r="H60" s="142"/>
      <c r="I60" s="143"/>
      <c r="K60" s="148"/>
      <c r="L60" s="149"/>
      <c r="M60" s="142" t="str">
        <f t="array" ref="M60">INDEX(K:K,MIN(IF(COUNTIF(M$1:M59,$K$2:$K$100),2^16,ROW($2:$100))))&amp;""</f>
        <v/>
      </c>
      <c r="N60" s="150">
        <f t="shared" si="2"/>
        <v>0</v>
      </c>
      <c r="P60" s="140" t="s">
        <v>208</v>
      </c>
      <c r="Q60" s="152">
        <v>1</v>
      </c>
      <c r="R60" s="142" t="str" cm="1">
        <f t="array" ref="R60">INDEX(P:P,MIN(IF(COUNTIF(R$1:R59,$P$2:$P$1500),2^16,ROW($2:$1500))))&amp;""</f>
        <v>张华宝</v>
      </c>
      <c r="S60" s="143" cm="1">
        <f t="array" ref="S60">SUMPRODUCT(($P$2:$P$1500=R60)*($Q$2:$Q$1500))</f>
        <v>9</v>
      </c>
    </row>
    <row r="61" customHeight="1" spans="1:19">
      <c r="A61" s="146"/>
      <c r="B61" s="141"/>
      <c r="F61" s="140" t="s">
        <v>486</v>
      </c>
      <c r="G61" s="144">
        <v>1</v>
      </c>
      <c r="H61" s="142"/>
      <c r="I61" s="143"/>
      <c r="K61" s="148"/>
      <c r="L61" s="149"/>
      <c r="P61" s="140" t="s">
        <v>208</v>
      </c>
      <c r="Q61" s="152">
        <v>1</v>
      </c>
      <c r="R61" s="142" t="str" cm="1">
        <f t="array" ref="R61">INDEX(P:P,MIN(IF(COUNTIF(R$1:R60,$P$2:$P$1500),2^16,ROW($2:$1500))))&amp;""</f>
        <v>李明</v>
      </c>
      <c r="S61" s="143" cm="1">
        <f t="array" ref="S61">SUMPRODUCT(($P$2:$P$1500=R61)*($Q$2:$Q$1500))</f>
        <v>7</v>
      </c>
    </row>
    <row r="62" customHeight="1" spans="1:19">
      <c r="A62" s="146"/>
      <c r="B62" s="141"/>
      <c r="F62" s="140" t="s">
        <v>491</v>
      </c>
      <c r="G62" s="144">
        <v>0.5</v>
      </c>
      <c r="H62" s="142" t="str">
        <f t="array" ref="H62">INDEX(F:F,MIN(IF(COUNTIF(H$1:H61,$F$2:$F$569),2^16,ROW($2:$569))))&amp;""</f>
        <v/>
      </c>
      <c r="K62" s="132"/>
      <c r="L62" s="149"/>
      <c r="P62" s="140" t="s">
        <v>216</v>
      </c>
      <c r="Q62" s="152">
        <v>1</v>
      </c>
      <c r="R62" s="142" t="str" cm="1">
        <f t="array" ref="R62">INDEX(P:P,MIN(IF(COUNTIF(R$1:R61,$P$2:$P$1500),2^16,ROW($2:$1500))))&amp;""</f>
        <v>林杨杨</v>
      </c>
      <c r="S62" s="143" cm="1">
        <f t="array" ref="S62">SUMPRODUCT(($P$2:$P$1500=R62)*($Q$2:$Q$1500))</f>
        <v>9</v>
      </c>
    </row>
    <row r="63" customHeight="1" spans="1:19">
      <c r="A63" s="146"/>
      <c r="B63" s="141"/>
      <c r="F63" s="140" t="s">
        <v>491</v>
      </c>
      <c r="G63" s="144">
        <v>1</v>
      </c>
      <c r="H63" s="142" t="str">
        <f t="array" ref="H63">INDEX(F:F,MIN(IF(COUNTIF(H$1:H62,$F$2:$F$569),2^16,ROW($2:$569))))&amp;""</f>
        <v/>
      </c>
      <c r="I63" s="143"/>
      <c r="K63" s="132"/>
      <c r="L63" s="149"/>
      <c r="P63" s="140" t="s">
        <v>216</v>
      </c>
      <c r="Q63" s="152">
        <v>1</v>
      </c>
      <c r="R63" s="142" t="str" cm="1">
        <f t="array" ref="R63">INDEX(P:P,MIN(IF(COUNTIF(R$1:R62,$P$2:$P$1500),2^16,ROW($2:$1500))))&amp;""</f>
        <v>饶宝娃</v>
      </c>
      <c r="S63" s="143" cm="1">
        <f t="array" ref="S63">SUMPRODUCT(($P$2:$P$1500=R63)*($Q$2:$Q$1500))</f>
        <v>7</v>
      </c>
    </row>
    <row r="64" customHeight="1" spans="1:19">
      <c r="A64" s="146"/>
      <c r="B64" s="141"/>
      <c r="F64" s="140" t="s">
        <v>521</v>
      </c>
      <c r="G64" s="144">
        <v>1</v>
      </c>
      <c r="H64" s="142" t="str">
        <f t="array" ref="H64">INDEX(F:F,MIN(IF(COUNTIF(H$1:H63,$F$2:$F$569),2^16,ROW($2:$569))))&amp;""</f>
        <v/>
      </c>
      <c r="I64" s="143"/>
      <c r="K64" s="132"/>
      <c r="L64" s="149"/>
      <c r="P64" s="140" t="s">
        <v>216</v>
      </c>
      <c r="Q64" s="152">
        <v>1</v>
      </c>
      <c r="R64" s="142" t="str" cm="1">
        <f t="array" ref="R64">INDEX(P:P,MIN(IF(COUNTIF(R$1:R63,$P$2:$P$1500),2^16,ROW($2:$1500))))&amp;""</f>
        <v>张泳</v>
      </c>
      <c r="S64" s="143" cm="1">
        <f t="array" ref="S64">SUMPRODUCT(($P$2:$P$1500=R64)*($Q$2:$Q$1500))</f>
        <v>7</v>
      </c>
    </row>
    <row r="65" customHeight="1" spans="1:19">
      <c r="A65" s="146"/>
      <c r="B65" s="141"/>
      <c r="F65" s="140" t="s">
        <v>532</v>
      </c>
      <c r="G65" s="144">
        <v>0.5</v>
      </c>
      <c r="H65" s="142" t="str">
        <f t="array" ref="H65">INDEX(F:F,MIN(IF(COUNTIF(H$1:H64,$F$2:$F$569),2^16,ROW($2:$569))))&amp;""</f>
        <v/>
      </c>
      <c r="I65" s="143"/>
      <c r="K65" s="132"/>
      <c r="P65" s="140" t="s">
        <v>216</v>
      </c>
      <c r="Q65" s="152">
        <v>1</v>
      </c>
      <c r="R65" s="142" t="str" cm="1">
        <f t="array" ref="R65">INDEX(P:P,MIN(IF(COUNTIF(R$1:R64,$P$2:$P$1500),2^16,ROW($2:$1500))))&amp;""</f>
        <v>崔康</v>
      </c>
      <c r="S65" s="143" cm="1">
        <f t="array" ref="S65">SUMPRODUCT(($P$2:$P$1500=R65)*($Q$2:$Q$1500))</f>
        <v>8</v>
      </c>
    </row>
    <row r="66" customHeight="1" spans="1:19">
      <c r="A66" s="146"/>
      <c r="B66" s="141"/>
      <c r="F66" s="140" t="s">
        <v>532</v>
      </c>
      <c r="G66" s="144">
        <v>0.5</v>
      </c>
      <c r="H66" s="142" t="str">
        <f t="array" ref="H66">INDEX(F:F,MIN(IF(COUNTIF(H$1:H65,$F$2:$F$569),2^16,ROW($2:$569))))&amp;""</f>
        <v/>
      </c>
      <c r="I66" s="143"/>
      <c r="K66" s="132"/>
      <c r="P66" s="140" t="s">
        <v>216</v>
      </c>
      <c r="Q66" s="152">
        <v>1</v>
      </c>
      <c r="R66" s="142" t="str" cm="1">
        <f t="array" ref="R66">INDEX(P:P,MIN(IF(COUNTIF(R$1:R65,$P$2:$P$1500),2^16,ROW($2:$1500))))&amp;""</f>
        <v>旷世麟</v>
      </c>
      <c r="S66" s="143" cm="1">
        <f t="array" ref="S66">SUMPRODUCT(($P$2:$P$1500=R66)*($Q$2:$Q$1500))</f>
        <v>7</v>
      </c>
    </row>
    <row r="67" customHeight="1" spans="1:19">
      <c r="A67" s="146"/>
      <c r="B67" s="141"/>
      <c r="F67" s="140" t="s">
        <v>541</v>
      </c>
      <c r="G67" s="144">
        <v>1</v>
      </c>
      <c r="H67" s="142" t="str">
        <f t="array" ref="H67">INDEX(F:F,MIN(IF(COUNTIF(H$1:H66,$F$2:$F$569),2^16,ROW($2:$569))))&amp;""</f>
        <v/>
      </c>
      <c r="K67" s="132"/>
      <c r="P67" s="140" t="s">
        <v>229</v>
      </c>
      <c r="Q67" s="152">
        <v>1</v>
      </c>
      <c r="R67" s="142" t="str" cm="1">
        <f t="array" ref="R67">INDEX(P:P,MIN(IF(COUNTIF(R$1:R66,$P$2:$P$1500),2^16,ROW($2:$1500))))&amp;""</f>
        <v>王威</v>
      </c>
      <c r="S67" s="143" cm="1">
        <f t="array" ref="S67">SUMPRODUCT(($P$2:$P$1500=R67)*($Q$2:$Q$1500))</f>
        <v>5</v>
      </c>
    </row>
    <row r="68" customHeight="1" spans="1:19">
      <c r="A68" s="146"/>
      <c r="B68" s="141"/>
      <c r="F68" s="140" t="s">
        <v>542</v>
      </c>
      <c r="G68" s="144">
        <v>0.5</v>
      </c>
      <c r="H68" s="142" t="str">
        <f t="array" ref="H68">INDEX(F:F,MIN(IF(COUNTIF(H$1:H67,$F$2:$F$569),2^16,ROW($2:$569))))&amp;""</f>
        <v/>
      </c>
      <c r="I68" s="143"/>
      <c r="K68" s="132"/>
      <c r="P68" s="140" t="s">
        <v>229</v>
      </c>
      <c r="Q68" s="152">
        <v>1</v>
      </c>
      <c r="R68" s="142" t="str" cm="1">
        <f t="array" ref="R68">INDEX(P:P,MIN(IF(COUNTIF(R$1:R67,$P$2:$P$1500),2^16,ROW($2:$1500))))&amp;""</f>
        <v>吴双</v>
      </c>
      <c r="S68" s="143" cm="1">
        <f t="array" ref="S68">SUMPRODUCT(($P$2:$P$1500=R68)*($Q$2:$Q$1500))</f>
        <v>8</v>
      </c>
    </row>
    <row r="69" customHeight="1" spans="1:19">
      <c r="A69" s="146"/>
      <c r="B69" s="141"/>
      <c r="F69" s="140" t="s">
        <v>547</v>
      </c>
      <c r="G69" s="144">
        <v>1</v>
      </c>
      <c r="H69" s="142" t="str">
        <f t="array" ref="H69">INDEX(F:F,MIN(IF(COUNTIF(H$1:H68,$F$2:$F$569),2^16,ROW($2:$569))))&amp;""</f>
        <v/>
      </c>
      <c r="I69" s="143"/>
      <c r="K69" s="132"/>
      <c r="P69" s="140" t="s">
        <v>229</v>
      </c>
      <c r="Q69" s="152">
        <v>1</v>
      </c>
      <c r="R69" s="142" t="str" cm="1">
        <f t="array" ref="R69">INDEX(P:P,MIN(IF(COUNTIF(R$1:R68,$P$2:$P$1500),2^16,ROW($2:$1500))))&amp;""</f>
        <v>赵继宝</v>
      </c>
      <c r="S69" s="143" cm="1">
        <f t="array" ref="S69">SUMPRODUCT(($P$2:$P$1500=R69)*($Q$2:$Q$1500))</f>
        <v>12</v>
      </c>
    </row>
    <row r="70" customHeight="1" spans="1:19">
      <c r="A70" s="146"/>
      <c r="B70" s="141"/>
      <c r="F70" s="140" t="s">
        <v>547</v>
      </c>
      <c r="G70" s="144">
        <v>1</v>
      </c>
      <c r="H70" s="142" t="str">
        <f t="array" ref="H70">INDEX(F:F,MIN(IF(COUNTIF(H$1:H69,$F$2:$F$569),2^16,ROW($2:$569))))&amp;""</f>
        <v/>
      </c>
      <c r="I70" s="143"/>
      <c r="K70" s="132"/>
      <c r="P70" s="140" t="s">
        <v>229</v>
      </c>
      <c r="Q70" s="152">
        <v>1</v>
      </c>
      <c r="R70" s="142" t="str" cm="1">
        <f t="array" ref="R70">INDEX(P:P,MIN(IF(COUNTIF(R$1:R69,$P$2:$P$1500),2^16,ROW($2:$1500))))&amp;""</f>
        <v>范鹏翔</v>
      </c>
      <c r="S70" s="143" cm="1">
        <f t="array" ref="S70">SUMPRODUCT(($P$2:$P$1500=R70)*($Q$2:$Q$1500))</f>
        <v>14</v>
      </c>
    </row>
    <row r="71" customHeight="1" spans="1:19">
      <c r="A71" s="146"/>
      <c r="B71" s="141"/>
      <c r="F71" s="140" t="s">
        <v>547</v>
      </c>
      <c r="G71" s="144">
        <v>1</v>
      </c>
      <c r="H71" s="142" t="str">
        <f t="array" ref="H71">INDEX(F:F,MIN(IF(COUNTIF(H$1:H70,$F$2:$F$569),2^16,ROW($2:$569))))&amp;""</f>
        <v/>
      </c>
      <c r="P71" s="140" t="s">
        <v>229</v>
      </c>
      <c r="Q71" s="152">
        <v>1</v>
      </c>
      <c r="R71" s="142" t="str" cm="1">
        <f t="array" ref="R71">INDEX(P:P,MIN(IF(COUNTIF(R$1:R70,$P$2:$P$1500),2^16,ROW($2:$1500))))&amp;""</f>
        <v>冯瀚</v>
      </c>
      <c r="S71" s="143" cm="1">
        <f t="array" ref="S71">SUMPRODUCT(($P$2:$P$1500=R71)*($Q$2:$Q$1500))</f>
        <v>11</v>
      </c>
    </row>
    <row r="72" customHeight="1" spans="1:19">
      <c r="A72" s="146"/>
      <c r="B72" s="141"/>
      <c r="F72" s="140" t="s">
        <v>547</v>
      </c>
      <c r="G72" s="144">
        <v>1</v>
      </c>
      <c r="H72" s="142" t="str">
        <f t="array" ref="H72">INDEX(F:F,MIN(IF(COUNTIF(H$1:H71,$F$2:$F$569),2^16,ROW($2:$569))))&amp;""</f>
        <v/>
      </c>
      <c r="P72" s="140" t="s">
        <v>229</v>
      </c>
      <c r="Q72" s="152">
        <v>1</v>
      </c>
      <c r="R72" s="142" t="str" cm="1">
        <f t="array" ref="R72">INDEX(P:P,MIN(IF(COUNTIF(R$1:R71,$P$2:$P$1500),2^16,ROW($2:$1500))))&amp;""</f>
        <v>黄驰洋</v>
      </c>
      <c r="S72" s="143" cm="1">
        <f t="array" ref="S72">SUMPRODUCT(($P$2:$P$1500=R72)*($Q$2:$Q$1500))</f>
        <v>8</v>
      </c>
    </row>
    <row r="73" customHeight="1" spans="1:19">
      <c r="A73" s="146"/>
      <c r="B73" s="141"/>
      <c r="F73" s="140" t="s">
        <v>557</v>
      </c>
      <c r="G73" s="144">
        <v>1</v>
      </c>
      <c r="H73" s="142" t="str">
        <f t="array" ref="H73">INDEX(F:F,MIN(IF(COUNTIF(H$1:H72,$F$2:$F$569),2^16,ROW($2:$569))))&amp;""</f>
        <v/>
      </c>
      <c r="P73" s="140" t="s">
        <v>229</v>
      </c>
      <c r="Q73" s="152">
        <v>1</v>
      </c>
      <c r="R73" s="142" t="str" cm="1">
        <f t="array" ref="R73">INDEX(P:P,MIN(IF(COUNTIF(R$1:R72,$P$2:$P$1500),2^16,ROW($2:$1500))))&amp;""</f>
        <v>金永利</v>
      </c>
      <c r="S73" s="143" cm="1">
        <f t="array" ref="S73">SUMPRODUCT(($P$2:$P$1500=R73)*($Q$2:$Q$1500))</f>
        <v>11</v>
      </c>
    </row>
    <row r="74" customHeight="1" spans="1:19">
      <c r="A74" s="146"/>
      <c r="B74" s="141"/>
      <c r="F74" s="140" t="s">
        <v>557</v>
      </c>
      <c r="G74" s="144">
        <v>0.5</v>
      </c>
      <c r="H74" s="142" t="str">
        <f t="array" ref="H74">INDEX(F:F,MIN(IF(COUNTIF(H$1:H73,$F$2:$F$569),2^16,ROW($2:$569))))&amp;""</f>
        <v/>
      </c>
      <c r="I74" s="143"/>
      <c r="P74" s="140" t="s">
        <v>233</v>
      </c>
      <c r="Q74" s="152">
        <v>1</v>
      </c>
      <c r="R74" s="142" t="str" cm="1">
        <f t="array" ref="R74">INDEX(P:P,MIN(IF(COUNTIF(R$1:R73,$P$2:$P$1500),2^16,ROW($2:$1500))))&amp;""</f>
        <v>李男</v>
      </c>
      <c r="S74" s="143" cm="1">
        <f t="array" ref="S74">SUMPRODUCT(($P$2:$P$1500=R74)*($Q$2:$Q$1500))</f>
        <v>11</v>
      </c>
    </row>
    <row r="75" customHeight="1" spans="1:19">
      <c r="A75" s="146"/>
      <c r="B75" s="141"/>
      <c r="F75" s="140" t="s">
        <v>557</v>
      </c>
      <c r="G75" s="144">
        <v>0.5</v>
      </c>
      <c r="H75" s="142" t="str">
        <f t="array" ref="H75">INDEX(F:F,MIN(IF(COUNTIF(H$1:H74,$F$2:$F$569),2^16,ROW($2:$569))))&amp;""</f>
        <v/>
      </c>
      <c r="I75" s="143"/>
      <c r="P75" s="140" t="s">
        <v>233</v>
      </c>
      <c r="Q75" s="152">
        <v>1</v>
      </c>
      <c r="R75" s="142" t="str" cm="1">
        <f t="array" ref="R75">INDEX(P:P,MIN(IF(COUNTIF(R$1:R74,$P$2:$P$1500),2^16,ROW($2:$1500))))&amp;""</f>
        <v>李亚亮</v>
      </c>
      <c r="S75" s="143" cm="1">
        <f t="array" ref="S75">SUMPRODUCT(($P$2:$P$1500=R75)*($Q$2:$Q$1500))</f>
        <v>11</v>
      </c>
    </row>
    <row r="76" customHeight="1" spans="1:19">
      <c r="A76" s="146"/>
      <c r="B76" s="141"/>
      <c r="F76" s="140" t="s">
        <v>559</v>
      </c>
      <c r="G76" s="144">
        <v>0.5</v>
      </c>
      <c r="H76" s="142" t="str">
        <f t="array" ref="H76">INDEX(F:F,MIN(IF(COUNTIF(H$1:H75,$F$2:$F$569),2^16,ROW($2:$569))))&amp;""</f>
        <v/>
      </c>
      <c r="I76" s="143"/>
      <c r="P76" s="140" t="s">
        <v>233</v>
      </c>
      <c r="Q76" s="152">
        <v>1</v>
      </c>
      <c r="R76" s="142" t="str" cm="1">
        <f t="array" ref="R76">INDEX(P:P,MIN(IF(COUNTIF(R$1:R75,$P$2:$P$1500),2^16,ROW($2:$1500))))&amp;""</f>
        <v>马振斌</v>
      </c>
      <c r="S76" s="143" cm="1">
        <f t="array" ref="S76">SUMPRODUCT(($P$2:$P$1500=R76)*($Q$2:$Q$1500))</f>
        <v>7</v>
      </c>
    </row>
    <row r="77" customHeight="1" spans="1:19">
      <c r="A77" s="146"/>
      <c r="B77" s="141"/>
      <c r="F77" s="140" t="s">
        <v>559</v>
      </c>
      <c r="G77" s="144">
        <v>0.5</v>
      </c>
      <c r="H77" s="142" t="str">
        <f t="array" ref="H77">INDEX(F:F,MIN(IF(COUNTIF(H$1:H76,$F$2:$F$569),2^16,ROW($2:$569))))&amp;""</f>
        <v/>
      </c>
      <c r="P77" s="140" t="s">
        <v>233</v>
      </c>
      <c r="Q77" s="152">
        <v>1</v>
      </c>
      <c r="R77" s="142" t="str" cm="1">
        <f t="array" ref="R77">INDEX(P:P,MIN(IF(COUNTIF(R$1:R76,$P$2:$P$1500),2^16,ROW($2:$1500))))&amp;""</f>
        <v>时慧玲</v>
      </c>
      <c r="S77" s="143" cm="1">
        <f t="array" ref="S77">SUMPRODUCT(($P$2:$P$1500=R77)*($Q$2:$Q$1500))</f>
        <v>6.5</v>
      </c>
    </row>
    <row r="78" customHeight="1" spans="1:19">
      <c r="A78" s="146"/>
      <c r="B78" s="141"/>
      <c r="F78" s="140" t="s">
        <v>562</v>
      </c>
      <c r="G78" s="144">
        <v>0.5</v>
      </c>
      <c r="H78" s="142" t="str">
        <f t="array" ref="H78">INDEX(F:F,MIN(IF(COUNTIF(H$1:H77,$F$2:$F$569),2^16,ROW($2:$569))))&amp;""</f>
        <v/>
      </c>
      <c r="I78" s="143"/>
      <c r="P78" s="140" t="s">
        <v>233</v>
      </c>
      <c r="Q78" s="152">
        <v>1</v>
      </c>
      <c r="R78" s="142" t="str" cm="1">
        <f t="array" ref="R78">INDEX(P:P,MIN(IF(COUNTIF(R$1:R77,$P$2:$P$1500),2^16,ROW($2:$1500))))&amp;""</f>
        <v>孙哲</v>
      </c>
      <c r="S78" s="143" cm="1">
        <f t="array" ref="S78">SUMPRODUCT(($P$2:$P$1500=R78)*($Q$2:$Q$1500))</f>
        <v>7</v>
      </c>
    </row>
    <row r="79" customHeight="1" spans="1:19">
      <c r="A79" s="146"/>
      <c r="B79" s="141"/>
      <c r="F79" s="140" t="s">
        <v>562</v>
      </c>
      <c r="G79" s="144">
        <v>1</v>
      </c>
      <c r="H79" s="142" t="str">
        <f t="array" ref="H79">INDEX(F:F,MIN(IF(COUNTIF(H$1:H78,$F$2:$F$569),2^16,ROW($2:$569))))&amp;""</f>
        <v/>
      </c>
      <c r="I79" s="143"/>
      <c r="P79" s="140" t="s">
        <v>233</v>
      </c>
      <c r="Q79" s="152">
        <v>1</v>
      </c>
      <c r="R79" s="142" t="str" cm="1">
        <f t="array" ref="R79">INDEX(P:P,MIN(IF(COUNTIF(R$1:R78,$P$2:$P$1500),2^16,ROW($2:$1500))))&amp;""</f>
        <v>魏雪</v>
      </c>
      <c r="S79" s="143" cm="1">
        <f t="array" ref="S79">SUMPRODUCT(($P$2:$P$1500=R79)*($Q$2:$Q$1500))</f>
        <v>7</v>
      </c>
    </row>
    <row r="80" customHeight="1" spans="1:19">
      <c r="A80" s="146"/>
      <c r="B80" s="141"/>
      <c r="F80" s="140" t="s">
        <v>564</v>
      </c>
      <c r="G80" s="144">
        <v>1</v>
      </c>
      <c r="H80" s="142" t="str">
        <f t="array" ref="H80">INDEX(F:F,MIN(IF(COUNTIF(H$1:H79,$F$2:$F$569),2^16,ROW($2:$569))))&amp;""</f>
        <v/>
      </c>
      <c r="P80" s="140" t="s">
        <v>233</v>
      </c>
      <c r="Q80" s="152">
        <v>1</v>
      </c>
      <c r="R80" s="142" t="str" cm="1">
        <f t="array" ref="R80">INDEX(P:P,MIN(IF(COUNTIF(R$1:R79,$P$2:$P$1500),2^16,ROW($2:$1500))))&amp;""</f>
        <v>习津涛</v>
      </c>
      <c r="S80" s="143" cm="1">
        <f t="array" ref="S80">SUMPRODUCT(($P$2:$P$1500=R80)*($Q$2:$Q$1500))</f>
        <v>8</v>
      </c>
    </row>
    <row r="81" customHeight="1" spans="1:19">
      <c r="A81" s="146"/>
      <c r="B81" s="141"/>
      <c r="F81" s="140" t="s">
        <v>564</v>
      </c>
      <c r="G81" s="144">
        <v>1</v>
      </c>
      <c r="H81" s="155"/>
      <c r="P81" s="140" t="s">
        <v>236</v>
      </c>
      <c r="Q81" s="152">
        <v>1</v>
      </c>
      <c r="R81" s="142" t="str" cm="1">
        <f t="array" ref="R81">INDEX(P:P,MIN(IF(COUNTIF(R$1:R80,$P$2:$P$1500),2^16,ROW($2:$1500))))&amp;""</f>
        <v>杨伟成</v>
      </c>
      <c r="S81" s="143" cm="1">
        <f t="array" ref="S81">SUMPRODUCT(($P$2:$P$1500=R81)*($Q$2:$Q$1500))</f>
        <v>7</v>
      </c>
    </row>
    <row r="82" customHeight="1" spans="1:19">
      <c r="A82" s="146"/>
      <c r="B82" s="141"/>
      <c r="F82" s="140" t="s">
        <v>567</v>
      </c>
      <c r="G82" s="144">
        <v>1</v>
      </c>
      <c r="H82" s="142" t="str">
        <f t="array" ref="H82">INDEX(F:F,MIN(IF(COUNTIF(H$1:H81,$F$2:$F$569),2^16,ROW($2:$569))))&amp;""</f>
        <v/>
      </c>
      <c r="I82" s="143"/>
      <c r="P82" s="140" t="s">
        <v>236</v>
      </c>
      <c r="Q82" s="152">
        <v>1</v>
      </c>
      <c r="R82" s="142" t="str" cm="1">
        <f t="array" ref="R82">INDEX(P:P,MIN(IF(COUNTIF(R$1:R81,$P$2:$P$1500),2^16,ROW($2:$1500))))&amp;""</f>
        <v>赵磊</v>
      </c>
      <c r="S82" s="143" cm="1">
        <f t="array" ref="S82">SUMPRODUCT(($P$2:$P$1500=R82)*($Q$2:$Q$1500))</f>
        <v>7.5</v>
      </c>
    </row>
    <row r="83" customHeight="1" spans="1:19">
      <c r="A83" s="146"/>
      <c r="B83" s="141"/>
      <c r="F83" s="140" t="s">
        <v>567</v>
      </c>
      <c r="G83" s="144">
        <v>1</v>
      </c>
      <c r="H83" s="142" t="str">
        <f t="array" ref="H83">INDEX(F:F,MIN(IF(COUNTIF(H$1:H82,$F$2:$F$569),2^16,ROW($2:$569))))&amp;""</f>
        <v/>
      </c>
      <c r="I83" s="143"/>
      <c r="P83" s="140" t="s">
        <v>236</v>
      </c>
      <c r="Q83" s="152">
        <v>1</v>
      </c>
      <c r="R83" s="142" t="str" cm="1">
        <f t="array" ref="R83">INDEX(P:P,MIN(IF(COUNTIF(R$1:R82,$P$2:$P$1500),2^16,ROW($2:$1500))))&amp;""</f>
        <v>朱亚垒</v>
      </c>
      <c r="S83" s="143" cm="1">
        <f t="array" ref="S83">SUMPRODUCT(($P$2:$P$1500=R83)*($Q$2:$Q$1500))</f>
        <v>9</v>
      </c>
    </row>
    <row r="84" customHeight="1" spans="6:19">
      <c r="F84" s="140" t="s">
        <v>581</v>
      </c>
      <c r="G84" s="144">
        <v>0.5</v>
      </c>
      <c r="H84" s="142" t="str">
        <f t="array" ref="H84">INDEX(F:F,MIN(IF(COUNTIF(H$1:H83,$F$2:$F$569),2^16,ROW($2:$569))))&amp;""</f>
        <v/>
      </c>
      <c r="I84" s="143"/>
      <c r="P84" s="140" t="s">
        <v>236</v>
      </c>
      <c r="Q84" s="152">
        <v>1</v>
      </c>
      <c r="R84" s="142" t="str" cm="1">
        <f t="array" ref="R84">INDEX(P:P,MIN(IF(COUNTIF(R$1:R83,$P$2:$P$1500),2^16,ROW($2:$1500))))&amp;""</f>
        <v>祝艳婷</v>
      </c>
      <c r="S84" s="143" cm="1">
        <f t="array" ref="S84">SUMPRODUCT(($P$2:$P$1500=R84)*($Q$2:$Q$1500))</f>
        <v>6</v>
      </c>
    </row>
    <row r="85" customHeight="1" spans="6:19">
      <c r="F85" s="140" t="s">
        <v>581</v>
      </c>
      <c r="G85" s="144">
        <v>0.5</v>
      </c>
      <c r="H85" s="142" t="str">
        <f t="array" ref="H85">INDEX(F:F,MIN(IF(COUNTIF(H$1:H84,$F$2:$F$569),2^16,ROW($2:$569))))&amp;""</f>
        <v/>
      </c>
      <c r="I85" s="143"/>
      <c r="P85" s="140" t="s">
        <v>236</v>
      </c>
      <c r="Q85" s="152">
        <v>1</v>
      </c>
      <c r="R85" s="142" t="str" cm="1">
        <f t="array" ref="R85">INDEX(P:P,MIN(IF(COUNTIF(R$1:R84,$P$2:$P$1500),2^16,ROW($2:$1500))))&amp;""</f>
        <v>何政演</v>
      </c>
      <c r="S85" s="143" cm="1">
        <f t="array" ref="S85">SUMPRODUCT(($P$2:$P$1500=R85)*($Q$2:$Q$1500))</f>
        <v>7</v>
      </c>
    </row>
    <row r="86" customHeight="1" spans="8:19">
      <c r="H86" s="142" t="str">
        <f t="array" ref="H86">INDEX(F:F,MIN(IF(COUNTIF(H$1:H85,$F$2:$F$569),2^16,ROW($2:$569))))&amp;""</f>
        <v/>
      </c>
      <c r="I86" s="143"/>
      <c r="P86" s="140" t="s">
        <v>236</v>
      </c>
      <c r="Q86" s="152">
        <v>1</v>
      </c>
      <c r="R86" s="142" t="str" cm="1">
        <f t="array" ref="R86">INDEX(P:P,MIN(IF(COUNTIF(R$1:R85,$P$2:$P$1500),2^16,ROW($2:$1500))))&amp;""</f>
        <v>胡鑫鑫</v>
      </c>
      <c r="S86" s="143" cm="1">
        <f t="array" ref="S86">SUMPRODUCT(($P$2:$P$1500=R86)*($Q$2:$Q$1500))</f>
        <v>9</v>
      </c>
    </row>
    <row r="87" customHeight="1" spans="16:19">
      <c r="P87" s="140" t="s">
        <v>236</v>
      </c>
      <c r="Q87" s="152">
        <v>1</v>
      </c>
      <c r="R87" s="142" t="str" cm="1">
        <f t="array" ref="R87">INDEX(P:P,MIN(IF(COUNTIF(R$1:R86,$P$2:$P$1500),2^16,ROW($2:$1500))))&amp;""</f>
        <v>林彬俊</v>
      </c>
      <c r="S87" s="143" cm="1">
        <f t="array" ref="S87">SUMPRODUCT(($P$2:$P$1500=R87)*($Q$2:$Q$1500))</f>
        <v>7</v>
      </c>
    </row>
    <row r="88" customHeight="1" spans="6:19">
      <c r="F88" s="140"/>
      <c r="G88" s="156"/>
      <c r="P88" s="140" t="s">
        <v>242</v>
      </c>
      <c r="Q88" s="152">
        <v>1</v>
      </c>
      <c r="R88" s="142" t="str" cm="1">
        <f t="array" ref="R88">INDEX(P:P,MIN(IF(COUNTIF(R$1:R87,$P$2:$P$1500),2^16,ROW($2:$1500))))&amp;""</f>
        <v>吕鹏</v>
      </c>
      <c r="S88" s="143" cm="1">
        <f t="array" ref="S88">SUMPRODUCT(($P$2:$P$1500=R88)*($Q$2:$Q$1500))</f>
        <v>6</v>
      </c>
    </row>
    <row r="89" customHeight="1" spans="6:19">
      <c r="F89" s="140"/>
      <c r="G89" s="156"/>
      <c r="P89" s="140" t="s">
        <v>242</v>
      </c>
      <c r="Q89" s="152">
        <v>1</v>
      </c>
      <c r="R89" s="142" t="str" cm="1">
        <f t="array" ref="R89">INDEX(P:P,MIN(IF(COUNTIF(R$1:R88,$P$2:$P$1500),2^16,ROW($2:$1500))))&amp;""</f>
        <v>吕许</v>
      </c>
      <c r="S89" s="143" cm="1">
        <f t="array" ref="S89">SUMPRODUCT(($P$2:$P$1500=R89)*($Q$2:$Q$1500))</f>
        <v>6</v>
      </c>
    </row>
    <row r="90" customHeight="1" spans="6:19">
      <c r="F90" s="140"/>
      <c r="G90" s="156"/>
      <c r="P90" s="140" t="s">
        <v>242</v>
      </c>
      <c r="Q90" s="152">
        <v>1</v>
      </c>
      <c r="R90" s="142" t="str" cm="1">
        <f t="array" ref="R90">INDEX(P:P,MIN(IF(COUNTIF(R$1:R89,$P$2:$P$1500),2^16,ROW($2:$1500))))&amp;""</f>
        <v>马力达</v>
      </c>
      <c r="S90" s="143" cm="1">
        <f t="array" ref="S90">SUMPRODUCT(($P$2:$P$1500=R90)*($Q$2:$Q$1500))</f>
        <v>7</v>
      </c>
    </row>
    <row r="91" customHeight="1" spans="6:19">
      <c r="F91" s="140"/>
      <c r="G91" s="156"/>
      <c r="P91" s="140" t="s">
        <v>242</v>
      </c>
      <c r="Q91" s="152">
        <v>1</v>
      </c>
      <c r="R91" s="142" t="str" cm="1">
        <f t="array" ref="R91">INDEX(P:P,MIN(IF(COUNTIF(R$1:R90,$P$2:$P$1500),2^16,ROW($2:$1500))))&amp;""</f>
        <v>王文越</v>
      </c>
      <c r="S91" s="143" cm="1">
        <f t="array" ref="S91">SUMPRODUCT(($P$2:$P$1500=R91)*($Q$2:$Q$1500))</f>
        <v>7</v>
      </c>
    </row>
    <row r="92" customHeight="1" spans="6:19">
      <c r="F92" s="140"/>
      <c r="G92" s="156"/>
      <c r="P92" s="140" t="s">
        <v>242</v>
      </c>
      <c r="Q92" s="152">
        <v>1</v>
      </c>
      <c r="R92" s="142" t="str" cm="1">
        <f t="array" ref="R92">INDEX(P:P,MIN(IF(COUNTIF(R$1:R91,$P$2:$P$1500),2^16,ROW($2:$1500))))&amp;""</f>
        <v>徐雯</v>
      </c>
      <c r="S92" s="143" cm="1">
        <f t="array" ref="S92">SUMPRODUCT(($P$2:$P$1500=R92)*($Q$2:$Q$1500))</f>
        <v>2</v>
      </c>
    </row>
    <row r="93" customHeight="1" spans="6:19">
      <c r="F93" s="140"/>
      <c r="G93" s="156"/>
      <c r="P93" s="140" t="s">
        <v>242</v>
      </c>
      <c r="Q93" s="152">
        <v>1</v>
      </c>
      <c r="R93" s="142" t="str" cm="1">
        <f t="array" ref="R93">INDEX(P:P,MIN(IF(COUNTIF(R$1:R92,$P$2:$P$1500),2^16,ROW($2:$1500))))&amp;""</f>
        <v>杨卉卉</v>
      </c>
      <c r="S93" s="143" cm="1">
        <f t="array" ref="S93">SUMPRODUCT(($P$2:$P$1500=R93)*($Q$2:$Q$1500))</f>
        <v>10</v>
      </c>
    </row>
    <row r="94" customHeight="1" spans="6:19">
      <c r="F94" s="140"/>
      <c r="G94" s="156"/>
      <c r="P94" s="140" t="s">
        <v>242</v>
      </c>
      <c r="Q94" s="152">
        <v>1</v>
      </c>
      <c r="R94" s="142" t="str" cm="1">
        <f t="array" ref="R94">INDEX(P:P,MIN(IF(COUNTIF(R$1:R93,$P$2:$P$1500),2^16,ROW($2:$1500))))&amp;""</f>
        <v>杨涛</v>
      </c>
      <c r="S94" s="143" cm="1">
        <f t="array" ref="S94">SUMPRODUCT(($P$2:$P$1500=R94)*($Q$2:$Q$1500))</f>
        <v>6</v>
      </c>
    </row>
    <row r="95" customHeight="1" spans="6:19">
      <c r="F95" s="140"/>
      <c r="G95" s="156"/>
      <c r="P95" s="140" t="s">
        <v>242</v>
      </c>
      <c r="Q95" s="152">
        <v>1</v>
      </c>
      <c r="R95" s="142" t="str" cm="1">
        <f t="array" ref="R95">INDEX(P:P,MIN(IF(COUNTIF(R$1:R94,$P$2:$P$1500),2^16,ROW($2:$1500))))&amp;""</f>
        <v>赵一龙</v>
      </c>
      <c r="S95" s="143" cm="1">
        <f t="array" ref="S95">SUMPRODUCT(($P$2:$P$1500=R95)*($Q$2:$Q$1500))</f>
        <v>7</v>
      </c>
    </row>
    <row r="96" customHeight="1" spans="6:19">
      <c r="F96" s="140"/>
      <c r="G96" s="156"/>
      <c r="P96" s="140" t="s">
        <v>244</v>
      </c>
      <c r="Q96" s="152">
        <v>1</v>
      </c>
      <c r="R96" s="142" t="str" cm="1">
        <f t="array" ref="R96">INDEX(P:P,MIN(IF(COUNTIF(R$1:R95,$P$2:$P$1500),2^16,ROW($2:$1500))))&amp;""</f>
        <v>邹立彬</v>
      </c>
      <c r="S96" s="143" cm="1">
        <f t="array" ref="S96">SUMPRODUCT(($P$2:$P$1500=R96)*($Q$2:$Q$1500))</f>
        <v>9</v>
      </c>
    </row>
    <row r="97" customHeight="1" spans="6:19">
      <c r="F97" s="140"/>
      <c r="G97" s="156"/>
      <c r="P97" s="140" t="s">
        <v>244</v>
      </c>
      <c r="Q97" s="152">
        <v>1</v>
      </c>
      <c r="R97" s="142" t="str" cm="1">
        <f t="array" ref="R97">INDEX(P:P,MIN(IF(COUNTIF(R$1:R96,$P$2:$P$1500),2^16,ROW($2:$1500))))&amp;""</f>
        <v>郑雯婕</v>
      </c>
      <c r="S97" s="143" cm="1">
        <f t="array" ref="S97">SUMPRODUCT(($P$2:$P$1500=R97)*($Q$2:$Q$1500))</f>
        <v>8</v>
      </c>
    </row>
    <row r="98" customHeight="1" spans="6:19">
      <c r="F98" s="140"/>
      <c r="G98" s="156"/>
      <c r="P98" s="140" t="s">
        <v>244</v>
      </c>
      <c r="Q98" s="152">
        <v>1</v>
      </c>
      <c r="R98" s="142" t="str" cm="1">
        <f t="array" ref="R98">INDEX(P:P,MIN(IF(COUNTIF(R$1:R97,$P$2:$P$1500),2^16,ROW($2:$1500))))&amp;""</f>
        <v>卓光钦</v>
      </c>
      <c r="S98" s="143" cm="1">
        <f t="array" ref="S98">SUMPRODUCT(($P$2:$P$1500=R98)*($Q$2:$Q$1500))</f>
        <v>11</v>
      </c>
    </row>
    <row r="99" customHeight="1" spans="6:19">
      <c r="F99" s="140"/>
      <c r="G99" s="156"/>
      <c r="P99" s="140" t="s">
        <v>244</v>
      </c>
      <c r="Q99" s="152">
        <v>1</v>
      </c>
      <c r="R99" s="142" t="str" cm="1">
        <f t="array" ref="R99">INDEX(P:P,MIN(IF(COUNTIF(R$1:R98,$P$2:$P$1500),2^16,ROW($2:$1500))))&amp;""</f>
        <v>丁哲伟</v>
      </c>
      <c r="S99" s="143" cm="1">
        <f t="array" ref="S99">SUMPRODUCT(($P$2:$P$1500=R99)*($Q$2:$Q$1500))</f>
        <v>9</v>
      </c>
    </row>
    <row r="100" customHeight="1" spans="6:19">
      <c r="F100" s="140"/>
      <c r="G100" s="156"/>
      <c r="P100" s="140" t="s">
        <v>244</v>
      </c>
      <c r="Q100" s="152">
        <v>1</v>
      </c>
      <c r="R100" s="142" t="str" cm="1">
        <f t="array" ref="R100">INDEX(P:P,MIN(IF(COUNTIF(R$1:R99,$P$2:$P$1500),2^16,ROW($2:$1500))))&amp;""</f>
        <v>裴峰</v>
      </c>
      <c r="S100" s="143" cm="1">
        <f t="array" ref="S100">SUMPRODUCT(($P$2:$P$1500=R100)*($Q$2:$Q$1500))</f>
        <v>5</v>
      </c>
    </row>
    <row r="101" customHeight="1" spans="5:19">
      <c r="E101" s="157"/>
      <c r="F101" s="140"/>
      <c r="G101" s="158"/>
      <c r="P101" s="140" t="s">
        <v>244</v>
      </c>
      <c r="Q101" s="152">
        <v>1</v>
      </c>
      <c r="R101" s="142" t="str" cm="1">
        <f t="array" ref="R101">INDEX(P:P,MIN(IF(COUNTIF(R$1:R100,$P$2:$P$1500),2^16,ROW($2:$1500))))&amp;""</f>
        <v>汤艺贤</v>
      </c>
      <c r="S101" s="143" cm="1">
        <f t="array" ref="S101">SUMPRODUCT(($P$2:$P$1500=R101)*($Q$2:$Q$1500))</f>
        <v>7</v>
      </c>
    </row>
    <row r="102" customHeight="1" spans="5:19">
      <c r="E102" s="157"/>
      <c r="F102" s="159"/>
      <c r="G102" s="160"/>
      <c r="P102" s="140" t="s">
        <v>244</v>
      </c>
      <c r="Q102" s="152">
        <v>1</v>
      </c>
      <c r="R102" s="142" t="str" cm="1">
        <f t="array" ref="R102">INDEX(P:P,MIN(IF(COUNTIF(R$1:R101,$P$2:$P$1500),2^16,ROW($2:$1500))))&amp;""</f>
        <v>金小平</v>
      </c>
      <c r="S102" s="143" cm="1">
        <f t="array" ref="S102">SUMPRODUCT(($P$2:$P$1500=R102)*($Q$2:$Q$1500))</f>
        <v>10</v>
      </c>
    </row>
    <row r="103" customHeight="1" spans="5:19">
      <c r="E103" s="157"/>
      <c r="F103" s="159"/>
      <c r="G103" s="160"/>
      <c r="P103" s="140" t="s">
        <v>244</v>
      </c>
      <c r="Q103" s="152">
        <v>1</v>
      </c>
      <c r="R103" s="142" t="str" cm="1">
        <f t="array" ref="R103">INDEX(P:P,MIN(IF(COUNTIF(R$1:R102,$P$2:$P$1500),2^16,ROW($2:$1500))))&amp;""</f>
        <v>李双龙</v>
      </c>
      <c r="S103" s="143" cm="1">
        <f t="array" ref="S103">SUMPRODUCT(($P$2:$P$1500=R103)*($Q$2:$Q$1500))</f>
        <v>9</v>
      </c>
    </row>
    <row r="104" customHeight="1" spans="5:19">
      <c r="E104" s="157"/>
      <c r="F104" s="159"/>
      <c r="G104" s="160"/>
      <c r="P104" s="140" t="s">
        <v>246</v>
      </c>
      <c r="Q104" s="152">
        <v>1</v>
      </c>
      <c r="R104" s="142" t="str" cm="1">
        <f t="array" ref="R104">INDEX(P:P,MIN(IF(COUNTIF(R$1:R103,$P$2:$P$1500),2^16,ROW($2:$1500))))&amp;""</f>
        <v>张涛</v>
      </c>
      <c r="S104" s="143" cm="1">
        <f t="array" ref="S104">SUMPRODUCT(($P$2:$P$1500=R104)*($Q$2:$Q$1500))</f>
        <v>7</v>
      </c>
    </row>
    <row r="105" customHeight="1" spans="5:19">
      <c r="E105" s="157"/>
      <c r="F105" s="159"/>
      <c r="G105" s="160"/>
      <c r="P105" s="140" t="s">
        <v>246</v>
      </c>
      <c r="Q105" s="152">
        <v>1</v>
      </c>
      <c r="R105" s="142" t="str" cm="1">
        <f t="array" ref="R105">INDEX(P:P,MIN(IF(COUNTIF(R$1:R104,$P$2:$P$1500),2^16,ROW($2:$1500))))&amp;""</f>
        <v>郑俊龙</v>
      </c>
      <c r="S105" s="143" cm="1">
        <f t="array" ref="S105">SUMPRODUCT(($P$2:$P$1500=R105)*($Q$2:$Q$1500))</f>
        <v>11</v>
      </c>
    </row>
    <row r="106" customHeight="1" spans="5:19">
      <c r="E106" s="157"/>
      <c r="F106" s="159"/>
      <c r="G106" s="160"/>
      <c r="P106" s="140" t="s">
        <v>246</v>
      </c>
      <c r="Q106" s="152">
        <v>1</v>
      </c>
      <c r="R106" s="142" t="str" cm="1">
        <f t="array" ref="R106">INDEX(P:P,MIN(IF(COUNTIF(R$1:R105,$P$2:$P$1500),2^16,ROW($2:$1500))))&amp;""</f>
        <v>周乐扬</v>
      </c>
      <c r="S106" s="143" cm="1">
        <f t="array" ref="S106">SUMPRODUCT(($P$2:$P$1500=R106)*($Q$2:$Q$1500))</f>
        <v>7</v>
      </c>
    </row>
    <row r="107" customHeight="1" spans="6:19">
      <c r="F107" s="159"/>
      <c r="P107" s="140" t="s">
        <v>246</v>
      </c>
      <c r="Q107" s="152">
        <v>1</v>
      </c>
      <c r="R107" s="142" t="str" cm="1">
        <f t="array" ref="R107">INDEX(P:P,MIN(IF(COUNTIF(R$1:R106,$P$2:$P$1500),2^16,ROW($2:$1500))))&amp;""</f>
        <v>陈旸</v>
      </c>
      <c r="S107" s="143" cm="1">
        <f t="array" ref="S107">SUMPRODUCT(($P$2:$P$1500=R107)*($Q$2:$Q$1500))</f>
        <v>8</v>
      </c>
    </row>
    <row r="108" customHeight="1" spans="16:19">
      <c r="P108" s="140" t="s">
        <v>246</v>
      </c>
      <c r="Q108" s="152">
        <v>1</v>
      </c>
      <c r="R108" s="142" t="str" cm="1">
        <f t="array" ref="R108">INDEX(P:P,MIN(IF(COUNTIF(R$1:R107,$P$2:$P$1500),2^16,ROW($2:$1500))))&amp;""</f>
        <v>余书昊</v>
      </c>
      <c r="S108" s="143" cm="1">
        <f t="array" ref="S108">SUMPRODUCT(($P$2:$P$1500=R108)*($Q$2:$Q$1500))</f>
        <v>8</v>
      </c>
    </row>
    <row r="109" customHeight="1" spans="16:19">
      <c r="P109" s="140" t="s">
        <v>246</v>
      </c>
      <c r="Q109" s="152">
        <v>1</v>
      </c>
      <c r="R109" s="142" t="str" cm="1">
        <f t="array" ref="R109">INDEX(P:P,MIN(IF(COUNTIF(R$1:R108,$P$2:$P$1500),2^16,ROW($2:$1500))))&amp;""</f>
        <v>周祝霖</v>
      </c>
      <c r="S109" s="143" cm="1">
        <f t="array" ref="S109">SUMPRODUCT(($P$2:$P$1500=R109)*($Q$2:$Q$1500))</f>
        <v>7</v>
      </c>
    </row>
    <row r="110" customHeight="1" spans="16:19">
      <c r="P110" s="140" t="s">
        <v>247</v>
      </c>
      <c r="Q110" s="152">
        <v>1</v>
      </c>
      <c r="R110" s="142" t="str" cm="1">
        <f t="array" ref="R110">INDEX(P:P,MIN(IF(COUNTIF(R$1:R109,$P$2:$P$1500),2^16,ROW($2:$1500))))&amp;""</f>
        <v>李洋</v>
      </c>
      <c r="S110" s="143" cm="1">
        <f t="array" ref="S110">SUMPRODUCT(($P$2:$P$1500=R110)*($Q$2:$Q$1500))</f>
        <v>9.5</v>
      </c>
    </row>
    <row r="111" customHeight="1" spans="16:19">
      <c r="P111" s="140" t="s">
        <v>247</v>
      </c>
      <c r="Q111" s="152">
        <v>1</v>
      </c>
      <c r="R111" s="142" t="str" cm="1">
        <f t="array" ref="R111">INDEX(P:P,MIN(IF(COUNTIF(R$1:R110,$P$2:$P$1500),2^16,ROW($2:$1500))))&amp;""</f>
        <v>梁璁哲</v>
      </c>
      <c r="S111" s="143" cm="1">
        <f t="array" ref="S111">SUMPRODUCT(($P$2:$P$1500=R111)*($Q$2:$Q$1500))</f>
        <v>8</v>
      </c>
    </row>
    <row r="112" customHeight="1" spans="16:19">
      <c r="P112" s="140" t="s">
        <v>247</v>
      </c>
      <c r="Q112" s="152">
        <v>1</v>
      </c>
      <c r="R112" s="142" t="str" cm="1">
        <f t="array" ref="R112">INDEX(P:P,MIN(IF(COUNTIF(R$1:R111,$P$2:$P$1500),2^16,ROW($2:$1500))))&amp;""</f>
        <v>叶先意</v>
      </c>
      <c r="S112" s="143" cm="1">
        <f t="array" ref="S112">SUMPRODUCT(($P$2:$P$1500=R112)*($Q$2:$Q$1500))</f>
        <v>7</v>
      </c>
    </row>
    <row r="113" customHeight="1" spans="16:19">
      <c r="P113" s="140" t="s">
        <v>247</v>
      </c>
      <c r="Q113" s="152">
        <v>1</v>
      </c>
      <c r="R113" s="142" t="str" cm="1">
        <f t="array" ref="R113">INDEX(P:P,MIN(IF(COUNTIF(R$1:R112,$P$2:$P$1500),2^16,ROW($2:$1500))))&amp;""</f>
        <v>朱万胜</v>
      </c>
      <c r="S113" s="143" cm="1">
        <f t="array" ref="S113">SUMPRODUCT(($P$2:$P$1500=R113)*($Q$2:$Q$1500))</f>
        <v>6</v>
      </c>
    </row>
    <row r="114" customHeight="1" spans="16:19">
      <c r="P114" s="140" t="s">
        <v>247</v>
      </c>
      <c r="Q114" s="152">
        <v>1</v>
      </c>
      <c r="R114" s="142" t="str" cm="1">
        <f t="array" ref="R114">INDEX(P:P,MIN(IF(COUNTIF(R$1:R113,$P$2:$P$1500),2^16,ROW($2:$1500))))&amp;""</f>
        <v>郭梦恩</v>
      </c>
      <c r="S114" s="143" cm="1">
        <f t="array" ref="S114">SUMPRODUCT(($P$2:$P$1500=R114)*($Q$2:$Q$1500))</f>
        <v>7</v>
      </c>
    </row>
    <row r="115" customHeight="1" spans="16:19">
      <c r="P115" s="140" t="s">
        <v>247</v>
      </c>
      <c r="Q115" s="152">
        <v>1</v>
      </c>
      <c r="R115" s="142" t="str" cm="1">
        <f t="array" ref="R115">INDEX(P:P,MIN(IF(COUNTIF(R$1:R114,$P$2:$P$1500),2^16,ROW($2:$1500))))&amp;""</f>
        <v>刘帅</v>
      </c>
      <c r="S115" s="143" cm="1">
        <f t="array" ref="S115">SUMPRODUCT(($P$2:$P$1500=R115)*($Q$2:$Q$1500))</f>
        <v>6</v>
      </c>
    </row>
    <row r="116" customHeight="1" spans="16:19">
      <c r="P116" s="140" t="s">
        <v>247</v>
      </c>
      <c r="Q116" s="152">
        <v>1</v>
      </c>
      <c r="R116" s="142" t="str" cm="1">
        <f t="array" ref="R116">INDEX(P:P,MIN(IF(COUNTIF(R$1:R115,$P$2:$P$1500),2^16,ROW($2:$1500))))&amp;""</f>
        <v>周水文</v>
      </c>
      <c r="S116" s="143" cm="1">
        <f t="array" ref="S116">SUMPRODUCT(($P$2:$P$1500=R116)*($Q$2:$Q$1500))</f>
        <v>14</v>
      </c>
    </row>
    <row r="117" customHeight="1" spans="16:19">
      <c r="P117" s="140" t="s">
        <v>247</v>
      </c>
      <c r="Q117" s="152">
        <v>1</v>
      </c>
      <c r="R117" s="142" t="str" cm="1">
        <f t="array" ref="R117">INDEX(P:P,MIN(IF(COUNTIF(R$1:R116,$P$2:$P$1500),2^16,ROW($2:$1500))))&amp;""</f>
        <v>邹美洋</v>
      </c>
      <c r="S117" s="143" cm="1">
        <f t="array" ref="S117">SUMPRODUCT(($P$2:$P$1500=R117)*($Q$2:$Q$1500))</f>
        <v>4</v>
      </c>
    </row>
    <row r="118" customHeight="1" spans="16:19">
      <c r="P118" s="140" t="s">
        <v>247</v>
      </c>
      <c r="Q118" s="152">
        <v>1</v>
      </c>
      <c r="R118" s="142" t="str" cm="1">
        <f t="array" ref="R118">INDEX(P:P,MIN(IF(COUNTIF(R$1:R117,$P$2:$P$1500),2^16,ROW($2:$1500))))&amp;""</f>
        <v>刘高杰</v>
      </c>
      <c r="S118" s="143" cm="1">
        <f t="array" ref="S118">SUMPRODUCT(($P$2:$P$1500=R118)*($Q$2:$Q$1500))</f>
        <v>6</v>
      </c>
    </row>
    <row r="119" customHeight="1" spans="16:19">
      <c r="P119" s="140" t="s">
        <v>253</v>
      </c>
      <c r="Q119" s="152">
        <v>1</v>
      </c>
      <c r="R119" s="142" t="str" cm="1">
        <f t="array" ref="R119">INDEX(P:P,MIN(IF(COUNTIF(R$1:R118,$P$2:$P$1500),2^16,ROW($2:$1500))))&amp;""</f>
        <v>刘卓飞</v>
      </c>
      <c r="S119" s="143" cm="1">
        <f t="array" ref="S119">SUMPRODUCT(($P$2:$P$1500=R119)*($Q$2:$Q$1500))</f>
        <v>6</v>
      </c>
    </row>
    <row r="120" customHeight="1" spans="16:19">
      <c r="P120" s="140" t="s">
        <v>253</v>
      </c>
      <c r="Q120" s="152">
        <v>1</v>
      </c>
      <c r="R120" s="142" t="str" cm="1">
        <f t="array" ref="R120">INDEX(P:P,MIN(IF(COUNTIF(R$1:R119,$P$2:$P$1500),2^16,ROW($2:$1500))))&amp;""</f>
        <v>潘凌云</v>
      </c>
      <c r="S120" s="143" cm="1">
        <f t="array" ref="S120">SUMPRODUCT(($P$2:$P$1500=R120)*($Q$2:$Q$1500))</f>
        <v>6</v>
      </c>
    </row>
    <row r="121" customHeight="1" spans="16:19">
      <c r="P121" s="140" t="s">
        <v>253</v>
      </c>
      <c r="Q121" s="152">
        <v>1</v>
      </c>
      <c r="R121" s="142" t="str" cm="1">
        <f t="array" ref="R121">INDEX(P:P,MIN(IF(COUNTIF(R$1:R120,$P$2:$P$1500),2^16,ROW($2:$1500))))&amp;""</f>
        <v>王书浩</v>
      </c>
      <c r="S121" s="143" cm="1">
        <f t="array" ref="S121">SUMPRODUCT(($P$2:$P$1500=R121)*($Q$2:$Q$1500))</f>
        <v>6</v>
      </c>
    </row>
    <row r="122" customHeight="1" spans="16:19">
      <c r="P122" s="140" t="s">
        <v>253</v>
      </c>
      <c r="Q122" s="152">
        <v>1</v>
      </c>
      <c r="R122" s="142" t="str" cm="1">
        <f t="array" ref="R122">INDEX(P:P,MIN(IF(COUNTIF(R$1:R121,$P$2:$P$1500),2^16,ROW($2:$1500))))&amp;""</f>
        <v>王晓雅</v>
      </c>
      <c r="S122" s="143" cm="1">
        <f t="array" ref="S122">SUMPRODUCT(($P$2:$P$1500=R122)*($Q$2:$Q$1500))</f>
        <v>12</v>
      </c>
    </row>
    <row r="123" customHeight="1" spans="16:19">
      <c r="P123" s="140" t="s">
        <v>253</v>
      </c>
      <c r="Q123" s="152">
        <v>1</v>
      </c>
      <c r="R123" s="142" t="str" cm="1">
        <f t="array" ref="R123">INDEX(P:P,MIN(IF(COUNTIF(R$1:R122,$P$2:$P$1500),2^16,ROW($2:$1500))))&amp;""</f>
        <v>徐晋</v>
      </c>
      <c r="S123" s="143" cm="1">
        <f t="array" ref="S123">SUMPRODUCT(($P$2:$P$1500=R123)*($Q$2:$Q$1500))</f>
        <v>7</v>
      </c>
    </row>
    <row r="124" customHeight="1" spans="16:19">
      <c r="P124" s="140" t="s">
        <v>253</v>
      </c>
      <c r="Q124" s="152">
        <v>1</v>
      </c>
      <c r="R124" s="142" t="str" cm="1">
        <f t="array" ref="R124">INDEX(P:P,MIN(IF(COUNTIF(R$1:R123,$P$2:$P$1500),2^16,ROW($2:$1500))))&amp;""</f>
        <v>张晟毓</v>
      </c>
      <c r="S124" s="143" cm="1">
        <f t="array" ref="S124">SUMPRODUCT(($P$2:$P$1500=R124)*($Q$2:$Q$1500))</f>
        <v>6</v>
      </c>
    </row>
    <row r="125" customHeight="1" spans="16:19">
      <c r="P125" s="140" t="s">
        <v>253</v>
      </c>
      <c r="Q125" s="152">
        <v>1</v>
      </c>
      <c r="R125" s="142" t="str" cm="1">
        <f t="array" ref="R125">INDEX(P:P,MIN(IF(COUNTIF(R$1:R124,$P$2:$P$1500),2^16,ROW($2:$1500))))&amp;""</f>
        <v>林扬宣</v>
      </c>
      <c r="S125" s="143" cm="1">
        <f t="array" ref="S125">SUMPRODUCT(($P$2:$P$1500=R125)*($Q$2:$Q$1500))</f>
        <v>10</v>
      </c>
    </row>
    <row r="126" customHeight="1" spans="16:19">
      <c r="P126" s="140" t="s">
        <v>253</v>
      </c>
      <c r="Q126" s="152">
        <v>0.5</v>
      </c>
      <c r="R126" s="142" t="str" cm="1">
        <f t="array" ref="R126">INDEX(P:P,MIN(IF(COUNTIF(R$1:R125,$P$2:$P$1500),2^16,ROW($2:$1500))))&amp;""</f>
        <v>王兵</v>
      </c>
      <c r="S126" s="143" cm="1">
        <f t="array" ref="S126">SUMPRODUCT(($P$2:$P$1500=R126)*($Q$2:$Q$1500))</f>
        <v>10.5</v>
      </c>
    </row>
    <row r="127" customHeight="1" spans="16:19">
      <c r="P127" s="140" t="s">
        <v>253</v>
      </c>
      <c r="Q127" s="152">
        <v>1</v>
      </c>
      <c r="R127" s="142" t="str" cm="1">
        <f t="array" ref="R127">INDEX(P:P,MIN(IF(COUNTIF(R$1:R126,$P$2:$P$1500),2^16,ROW($2:$1500))))&amp;""</f>
        <v/>
      </c>
      <c r="S127" s="143"/>
    </row>
    <row r="128" customHeight="1" spans="16:19">
      <c r="P128" s="140" t="s">
        <v>253</v>
      </c>
      <c r="Q128" s="152">
        <v>1</v>
      </c>
      <c r="R128" s="142" t="str" cm="1">
        <f t="array" ref="R128">INDEX(P:P,MIN(IF(COUNTIF(R$1:R127,$P$2:$P$1500),2^16,ROW($2:$1500))))&amp;""</f>
        <v/>
      </c>
      <c r="S128" s="143"/>
    </row>
    <row r="129" customHeight="1" spans="16:19">
      <c r="P129" s="140" t="s">
        <v>253</v>
      </c>
      <c r="Q129" s="152">
        <v>1</v>
      </c>
      <c r="R129" s="142" t="str" cm="1">
        <f t="array" ref="R129">INDEX(P:P,MIN(IF(COUNTIF(R$1:R128,$P$2:$P$1500),2^16,ROW($2:$1500))))&amp;""</f>
        <v/>
      </c>
      <c r="S129" s="143"/>
    </row>
    <row r="130" customHeight="1" spans="16:19">
      <c r="P130" s="140" t="s">
        <v>259</v>
      </c>
      <c r="Q130" s="152">
        <v>1</v>
      </c>
      <c r="R130" s="142" t="str" cm="1">
        <f t="array" ref="R130">INDEX(P:P,MIN(IF(COUNTIF(R$1:R129,$P$2:$P$1500),2^16,ROW($2:$1500))))&amp;""</f>
        <v/>
      </c>
      <c r="S130" s="143"/>
    </row>
    <row r="131" customHeight="1" spans="16:19">
      <c r="P131" s="140" t="s">
        <v>259</v>
      </c>
      <c r="Q131" s="152">
        <v>1</v>
      </c>
      <c r="R131" s="142" t="str" cm="1">
        <f t="array" ref="R131">INDEX(P:P,MIN(IF(COUNTIF(R$1:R130,$P$2:$P$1500),2^16,ROW($2:$1500))))&amp;""</f>
        <v/>
      </c>
      <c r="S131" s="143"/>
    </row>
    <row r="132" customHeight="1" spans="16:19">
      <c r="P132" s="140" t="s">
        <v>259</v>
      </c>
      <c r="Q132" s="152">
        <v>1</v>
      </c>
      <c r="R132" s="142" t="str" cm="1">
        <f t="array" ref="R132">INDEX(P:P,MIN(IF(COUNTIF(R$1:R131,$P$2:$P$1500),2^16,ROW($2:$1500))))&amp;""</f>
        <v/>
      </c>
      <c r="S132" s="143"/>
    </row>
    <row r="133" customHeight="1" spans="16:19">
      <c r="P133" s="140" t="s">
        <v>259</v>
      </c>
      <c r="Q133" s="152">
        <v>1</v>
      </c>
      <c r="R133" s="142" t="str" cm="1">
        <f t="array" ref="R133">INDEX(P:P,MIN(IF(COUNTIF(R$1:R132,$P$2:$P$1500),2^16,ROW($2:$1500))))&amp;""</f>
        <v/>
      </c>
      <c r="S133" s="143"/>
    </row>
    <row r="134" customHeight="1" spans="16:19">
      <c r="P134" s="140" t="s">
        <v>259</v>
      </c>
      <c r="Q134" s="152">
        <v>1</v>
      </c>
      <c r="R134" s="142" t="str" cm="1">
        <f t="array" ref="R134">INDEX(P:P,MIN(IF(COUNTIF(R$1:R133,$P$2:$P$1500),2^16,ROW($2:$1500))))&amp;""</f>
        <v/>
      </c>
      <c r="S134" s="143"/>
    </row>
    <row r="135" customHeight="1" spans="16:19">
      <c r="P135" s="140" t="s">
        <v>259</v>
      </c>
      <c r="Q135" s="152">
        <v>1</v>
      </c>
      <c r="R135" s="142" t="str" cm="1">
        <f t="array" ref="R135">INDEX(P:P,MIN(IF(COUNTIF(R$1:R134,$P$2:$P$1500),2^16,ROW($2:$1500))))&amp;""</f>
        <v/>
      </c>
      <c r="S135" s="143"/>
    </row>
    <row r="136" customHeight="1" spans="16:19">
      <c r="P136" s="140" t="s">
        <v>259</v>
      </c>
      <c r="Q136" s="152">
        <v>1</v>
      </c>
      <c r="R136" s="142" t="str" cm="1">
        <f t="array" ref="R136">INDEX(P:P,MIN(IF(COUNTIF(R$1:R135,$P$2:$P$1500),2^16,ROW($2:$1500))))&amp;""</f>
        <v/>
      </c>
      <c r="S136" s="143"/>
    </row>
    <row r="137" customHeight="1" spans="16:19">
      <c r="P137" s="140" t="s">
        <v>261</v>
      </c>
      <c r="Q137" s="152">
        <v>1</v>
      </c>
      <c r="R137" s="146"/>
      <c r="S137" s="143"/>
    </row>
    <row r="138" customHeight="1" spans="16:19">
      <c r="P138" s="140" t="s">
        <v>261</v>
      </c>
      <c r="Q138" s="152">
        <v>1</v>
      </c>
      <c r="R138" s="146"/>
      <c r="S138" s="143"/>
    </row>
    <row r="139" customHeight="1" spans="16:19">
      <c r="P139" s="140" t="s">
        <v>261</v>
      </c>
      <c r="Q139" s="152">
        <v>1</v>
      </c>
      <c r="R139" s="146"/>
      <c r="S139" s="143"/>
    </row>
    <row r="140" customHeight="1" spans="16:19">
      <c r="P140" s="140" t="s">
        <v>261</v>
      </c>
      <c r="Q140" s="152">
        <v>0.5</v>
      </c>
      <c r="R140" s="146"/>
      <c r="S140" s="143"/>
    </row>
    <row r="141" customHeight="1" spans="16:17">
      <c r="P141" s="140" t="s">
        <v>261</v>
      </c>
      <c r="Q141" s="152">
        <v>1</v>
      </c>
    </row>
    <row r="142" customHeight="1" spans="16:17">
      <c r="P142" s="140" t="s">
        <v>261</v>
      </c>
      <c r="Q142" s="152">
        <v>1</v>
      </c>
    </row>
    <row r="143" customHeight="1" spans="16:19">
      <c r="P143" s="140" t="s">
        <v>263</v>
      </c>
      <c r="Q143" s="152">
        <v>1</v>
      </c>
      <c r="R143" s="146"/>
      <c r="S143" s="143"/>
    </row>
    <row r="144" customHeight="1" spans="16:19">
      <c r="P144" s="140" t="s">
        <v>263</v>
      </c>
      <c r="Q144" s="152">
        <v>1</v>
      </c>
      <c r="R144" s="146"/>
      <c r="S144" s="143"/>
    </row>
    <row r="145" customHeight="1" spans="16:19">
      <c r="P145" s="140" t="s">
        <v>263</v>
      </c>
      <c r="Q145" s="152">
        <v>1</v>
      </c>
      <c r="R145" s="146"/>
      <c r="S145" s="143"/>
    </row>
    <row r="146" customHeight="1" spans="16:19">
      <c r="P146" s="140" t="s">
        <v>263</v>
      </c>
      <c r="Q146" s="152">
        <v>1</v>
      </c>
      <c r="R146" s="146"/>
      <c r="S146" s="143"/>
    </row>
    <row r="147" customHeight="1" spans="16:19">
      <c r="P147" s="140" t="s">
        <v>263</v>
      </c>
      <c r="Q147" s="152">
        <v>1</v>
      </c>
      <c r="R147" s="146"/>
      <c r="S147" s="143"/>
    </row>
    <row r="148" customHeight="1" spans="16:19">
      <c r="P148" s="140" t="s">
        <v>263</v>
      </c>
      <c r="Q148" s="152">
        <v>1</v>
      </c>
      <c r="R148" s="146"/>
      <c r="S148" s="143"/>
    </row>
    <row r="149" customHeight="1" spans="16:19">
      <c r="P149" s="140" t="s">
        <v>263</v>
      </c>
      <c r="Q149" s="152">
        <v>1</v>
      </c>
      <c r="R149" s="146"/>
      <c r="S149" s="143"/>
    </row>
    <row r="150" customHeight="1" spans="16:19">
      <c r="P150" s="140" t="s">
        <v>264</v>
      </c>
      <c r="Q150" s="152">
        <v>1</v>
      </c>
      <c r="R150" s="146"/>
      <c r="S150" s="143"/>
    </row>
    <row r="151" customHeight="1" spans="16:17">
      <c r="P151" s="140" t="s">
        <v>264</v>
      </c>
      <c r="Q151" s="152">
        <v>1</v>
      </c>
    </row>
    <row r="152" customHeight="1" spans="16:19">
      <c r="P152" s="140" t="s">
        <v>264</v>
      </c>
      <c r="Q152" s="152">
        <v>1</v>
      </c>
      <c r="R152" s="146"/>
      <c r="S152" s="143"/>
    </row>
    <row r="153" customHeight="1" spans="16:19">
      <c r="P153" s="140" t="s">
        <v>264</v>
      </c>
      <c r="Q153" s="152">
        <v>1</v>
      </c>
      <c r="R153" s="146"/>
      <c r="S153" s="143"/>
    </row>
    <row r="154" customHeight="1" spans="16:19">
      <c r="P154" s="140" t="s">
        <v>264</v>
      </c>
      <c r="Q154" s="152">
        <v>1</v>
      </c>
      <c r="R154" s="146"/>
      <c r="S154" s="143"/>
    </row>
    <row r="155" customHeight="1" spans="16:19">
      <c r="P155" s="140" t="s">
        <v>264</v>
      </c>
      <c r="Q155" s="152">
        <v>1</v>
      </c>
      <c r="R155" s="146"/>
      <c r="S155" s="143"/>
    </row>
    <row r="156" customHeight="1" spans="16:19">
      <c r="P156" s="140" t="s">
        <v>264</v>
      </c>
      <c r="Q156" s="152">
        <v>1</v>
      </c>
      <c r="R156" s="146"/>
      <c r="S156" s="143"/>
    </row>
    <row r="157" customHeight="1" spans="16:19">
      <c r="P157" s="140" t="s">
        <v>264</v>
      </c>
      <c r="Q157" s="152">
        <v>1</v>
      </c>
      <c r="R157" s="146"/>
      <c r="S157" s="143"/>
    </row>
    <row r="158" customHeight="1" spans="16:19">
      <c r="P158" s="140" t="s">
        <v>264</v>
      </c>
      <c r="Q158" s="152">
        <v>1</v>
      </c>
      <c r="R158" s="146"/>
      <c r="S158" s="143"/>
    </row>
    <row r="159" customHeight="1" spans="16:19">
      <c r="P159" s="140" t="s">
        <v>271</v>
      </c>
      <c r="Q159" s="152">
        <v>1</v>
      </c>
      <c r="R159" s="146"/>
      <c r="S159" s="143"/>
    </row>
    <row r="160" customHeight="1" spans="16:19">
      <c r="P160" s="140" t="s">
        <v>271</v>
      </c>
      <c r="Q160" s="152">
        <v>1</v>
      </c>
      <c r="R160" s="146"/>
      <c r="S160" s="143"/>
    </row>
    <row r="161" customHeight="1" spans="16:19">
      <c r="P161" s="140" t="s">
        <v>271</v>
      </c>
      <c r="Q161" s="152">
        <v>1</v>
      </c>
      <c r="R161" s="146"/>
      <c r="S161" s="143"/>
    </row>
    <row r="162" customHeight="1" spans="16:19">
      <c r="P162" s="140" t="s">
        <v>271</v>
      </c>
      <c r="Q162" s="152">
        <v>1</v>
      </c>
      <c r="R162" s="146"/>
      <c r="S162" s="143"/>
    </row>
    <row r="163" customHeight="1" spans="16:19">
      <c r="P163" s="140" t="s">
        <v>271</v>
      </c>
      <c r="Q163" s="152">
        <v>1</v>
      </c>
      <c r="R163" s="146"/>
      <c r="S163" s="143"/>
    </row>
    <row r="164" customHeight="1" spans="16:19">
      <c r="P164" s="140" t="s">
        <v>271</v>
      </c>
      <c r="Q164" s="152">
        <v>1</v>
      </c>
      <c r="R164" s="146"/>
      <c r="S164" s="143"/>
    </row>
    <row r="165" customHeight="1" spans="16:19">
      <c r="P165" s="140" t="s">
        <v>271</v>
      </c>
      <c r="Q165" s="152">
        <v>1</v>
      </c>
      <c r="R165" s="146"/>
      <c r="S165" s="143"/>
    </row>
    <row r="166" customHeight="1" spans="16:19">
      <c r="P166" s="140" t="s">
        <v>271</v>
      </c>
      <c r="Q166" s="152">
        <v>1</v>
      </c>
      <c r="R166" s="146"/>
      <c r="S166" s="143"/>
    </row>
    <row r="167" customHeight="1" spans="16:19">
      <c r="P167" s="140" t="s">
        <v>271</v>
      </c>
      <c r="Q167" s="152">
        <v>1</v>
      </c>
      <c r="R167" s="146"/>
      <c r="S167" s="143"/>
    </row>
    <row r="168" customHeight="1" spans="16:17">
      <c r="P168" s="140" t="s">
        <v>275</v>
      </c>
      <c r="Q168" s="152">
        <v>1</v>
      </c>
    </row>
    <row r="169" customHeight="1" spans="16:17">
      <c r="P169" s="140" t="s">
        <v>275</v>
      </c>
      <c r="Q169" s="152">
        <v>1</v>
      </c>
    </row>
    <row r="170" customHeight="1" spans="16:17">
      <c r="P170" s="140" t="s">
        <v>275</v>
      </c>
      <c r="Q170" s="152">
        <v>1</v>
      </c>
    </row>
    <row r="171" customHeight="1" spans="16:17">
      <c r="P171" s="140" t="s">
        <v>275</v>
      </c>
      <c r="Q171" s="152">
        <v>1</v>
      </c>
    </row>
    <row r="172" customHeight="1" spans="16:17">
      <c r="P172" s="140" t="s">
        <v>275</v>
      </c>
      <c r="Q172" s="152">
        <v>1</v>
      </c>
    </row>
    <row r="173" customHeight="1" spans="16:17">
      <c r="P173" s="140" t="s">
        <v>275</v>
      </c>
      <c r="Q173" s="152">
        <v>1</v>
      </c>
    </row>
    <row r="174" customHeight="1" spans="16:17">
      <c r="P174" s="140" t="s">
        <v>275</v>
      </c>
      <c r="Q174" s="152">
        <v>1</v>
      </c>
    </row>
    <row r="175" customHeight="1" spans="16:17">
      <c r="P175" s="140" t="s">
        <v>277</v>
      </c>
      <c r="Q175" s="152">
        <v>1</v>
      </c>
    </row>
    <row r="176" customHeight="1" spans="16:17">
      <c r="P176" s="140" t="s">
        <v>277</v>
      </c>
      <c r="Q176" s="152">
        <v>1</v>
      </c>
    </row>
    <row r="177" customHeight="1" spans="16:17">
      <c r="P177" s="140" t="s">
        <v>277</v>
      </c>
      <c r="Q177" s="152">
        <v>1</v>
      </c>
    </row>
    <row r="178" customHeight="1" spans="16:17">
      <c r="P178" s="140" t="s">
        <v>277</v>
      </c>
      <c r="Q178" s="152">
        <v>1</v>
      </c>
    </row>
    <row r="179" customHeight="1" spans="16:17">
      <c r="P179" s="140" t="s">
        <v>277</v>
      </c>
      <c r="Q179" s="152">
        <v>1</v>
      </c>
    </row>
    <row r="180" customHeight="1" spans="16:17">
      <c r="P180" s="140" t="s">
        <v>277</v>
      </c>
      <c r="Q180" s="152">
        <v>1</v>
      </c>
    </row>
    <row r="181" customHeight="1" spans="16:17">
      <c r="P181" s="140" t="s">
        <v>277</v>
      </c>
      <c r="Q181" s="152">
        <v>1</v>
      </c>
    </row>
    <row r="182" customHeight="1" spans="16:17">
      <c r="P182" s="140" t="s">
        <v>279</v>
      </c>
      <c r="Q182" s="152">
        <v>1</v>
      </c>
    </row>
    <row r="183" customHeight="1" spans="16:19">
      <c r="P183" s="140" t="s">
        <v>279</v>
      </c>
      <c r="Q183" s="152">
        <v>1</v>
      </c>
      <c r="R183" s="146"/>
      <c r="S183" s="143"/>
    </row>
    <row r="184" customHeight="1" spans="16:19">
      <c r="P184" s="140" t="s">
        <v>279</v>
      </c>
      <c r="Q184" s="152">
        <v>1</v>
      </c>
      <c r="R184" s="146"/>
      <c r="S184" s="143"/>
    </row>
    <row r="185" customHeight="1" spans="16:19">
      <c r="P185" s="140" t="s">
        <v>279</v>
      </c>
      <c r="Q185" s="152">
        <v>1</v>
      </c>
      <c r="R185" s="146"/>
      <c r="S185" s="143"/>
    </row>
    <row r="186" customHeight="1" spans="16:19">
      <c r="P186" s="140" t="s">
        <v>279</v>
      </c>
      <c r="Q186" s="152">
        <v>1</v>
      </c>
      <c r="R186" s="146"/>
      <c r="S186" s="143"/>
    </row>
    <row r="187" customHeight="1" spans="16:19">
      <c r="P187" s="140" t="s">
        <v>279</v>
      </c>
      <c r="Q187" s="152">
        <v>1</v>
      </c>
      <c r="R187" s="146"/>
      <c r="S187" s="143"/>
    </row>
    <row r="188" customHeight="1" spans="16:19">
      <c r="P188" s="140" t="s">
        <v>280</v>
      </c>
      <c r="Q188" s="152">
        <v>1</v>
      </c>
      <c r="R188" s="146"/>
      <c r="S188" s="143"/>
    </row>
    <row r="189" customHeight="1" spans="16:19">
      <c r="P189" s="140" t="s">
        <v>280</v>
      </c>
      <c r="Q189" s="152">
        <v>1</v>
      </c>
      <c r="R189" s="146"/>
      <c r="S189" s="143"/>
    </row>
    <row r="190" customHeight="1" spans="16:19">
      <c r="P190" s="140" t="s">
        <v>280</v>
      </c>
      <c r="Q190" s="152">
        <v>1</v>
      </c>
      <c r="R190" s="146"/>
      <c r="S190" s="143"/>
    </row>
    <row r="191" customHeight="1" spans="16:19">
      <c r="P191" s="140" t="s">
        <v>280</v>
      </c>
      <c r="Q191" s="152">
        <v>1</v>
      </c>
      <c r="R191" s="146"/>
      <c r="S191" s="143"/>
    </row>
    <row r="192" customHeight="1" spans="16:19">
      <c r="P192" s="140" t="s">
        <v>282</v>
      </c>
      <c r="Q192" s="152">
        <v>1</v>
      </c>
      <c r="R192" s="146"/>
      <c r="S192" s="143"/>
    </row>
    <row r="193" customHeight="1" spans="16:19">
      <c r="P193" s="140" t="s">
        <v>282</v>
      </c>
      <c r="Q193" s="152">
        <v>1</v>
      </c>
      <c r="R193" s="142"/>
      <c r="S193" s="143"/>
    </row>
    <row r="194" customHeight="1" spans="16:19">
      <c r="P194" s="140" t="s">
        <v>282</v>
      </c>
      <c r="Q194" s="152">
        <v>0.5</v>
      </c>
      <c r="R194" s="142"/>
      <c r="S194" s="143"/>
    </row>
    <row r="195" customHeight="1" spans="16:19">
      <c r="P195" s="140" t="s">
        <v>282</v>
      </c>
      <c r="Q195" s="152">
        <v>1</v>
      </c>
      <c r="R195" s="142"/>
      <c r="S195" s="143"/>
    </row>
    <row r="196" customHeight="1" spans="16:17">
      <c r="P196" s="140" t="s">
        <v>282</v>
      </c>
      <c r="Q196" s="152">
        <v>1</v>
      </c>
    </row>
    <row r="197" customHeight="1" spans="16:17">
      <c r="P197" s="140" t="s">
        <v>282</v>
      </c>
      <c r="Q197" s="152">
        <v>1</v>
      </c>
    </row>
    <row r="198" customHeight="1" spans="16:17">
      <c r="P198" s="140" t="s">
        <v>282</v>
      </c>
      <c r="Q198" s="152">
        <v>1</v>
      </c>
    </row>
    <row r="199" customHeight="1" spans="16:17">
      <c r="P199" s="140" t="s">
        <v>282</v>
      </c>
      <c r="Q199" s="152">
        <v>1</v>
      </c>
    </row>
    <row r="200" customHeight="1" spans="16:17">
      <c r="P200" s="140" t="s">
        <v>286</v>
      </c>
      <c r="Q200" s="152">
        <v>1</v>
      </c>
    </row>
    <row r="201" customHeight="1" spans="16:17">
      <c r="P201" s="140" t="s">
        <v>286</v>
      </c>
      <c r="Q201" s="152">
        <v>1</v>
      </c>
    </row>
    <row r="202" customHeight="1" spans="16:17">
      <c r="P202" s="140" t="s">
        <v>286</v>
      </c>
      <c r="Q202" s="152">
        <v>1</v>
      </c>
    </row>
    <row r="203" customHeight="1" spans="16:17">
      <c r="P203" s="140" t="s">
        <v>286</v>
      </c>
      <c r="Q203" s="152">
        <v>1</v>
      </c>
    </row>
    <row r="204" customHeight="1" spans="16:17">
      <c r="P204" s="140" t="s">
        <v>286</v>
      </c>
      <c r="Q204" s="152">
        <v>1</v>
      </c>
    </row>
    <row r="205" customHeight="1" spans="16:17">
      <c r="P205" s="140" t="s">
        <v>286</v>
      </c>
      <c r="Q205" s="152">
        <v>1</v>
      </c>
    </row>
    <row r="206" customHeight="1" spans="16:17">
      <c r="P206" s="140" t="s">
        <v>286</v>
      </c>
      <c r="Q206" s="152">
        <v>1</v>
      </c>
    </row>
    <row r="207" customHeight="1" spans="16:17">
      <c r="P207" s="140" t="s">
        <v>291</v>
      </c>
      <c r="Q207" s="152">
        <v>1</v>
      </c>
    </row>
    <row r="208" customHeight="1" spans="16:17">
      <c r="P208" s="140" t="s">
        <v>291</v>
      </c>
      <c r="Q208" s="152">
        <v>1</v>
      </c>
    </row>
    <row r="209" customHeight="1" spans="16:17">
      <c r="P209" s="140" t="s">
        <v>291</v>
      </c>
      <c r="Q209" s="152">
        <v>1</v>
      </c>
    </row>
    <row r="210" customHeight="1" spans="16:17">
      <c r="P210" s="140" t="s">
        <v>294</v>
      </c>
      <c r="Q210" s="152">
        <v>1</v>
      </c>
    </row>
    <row r="211" customHeight="1" spans="16:17">
      <c r="P211" s="140" t="s">
        <v>294</v>
      </c>
      <c r="Q211" s="152">
        <v>1</v>
      </c>
    </row>
    <row r="212" customHeight="1" spans="16:17">
      <c r="P212" s="140" t="s">
        <v>294</v>
      </c>
      <c r="Q212" s="152">
        <v>1</v>
      </c>
    </row>
    <row r="213" customHeight="1" spans="16:17">
      <c r="P213" s="140" t="s">
        <v>294</v>
      </c>
      <c r="Q213" s="152">
        <v>1</v>
      </c>
    </row>
    <row r="214" customHeight="1" spans="16:17">
      <c r="P214" s="140" t="s">
        <v>294</v>
      </c>
      <c r="Q214" s="152">
        <v>1</v>
      </c>
    </row>
    <row r="215" customHeight="1" spans="16:17">
      <c r="P215" s="140" t="s">
        <v>294</v>
      </c>
      <c r="Q215" s="152">
        <v>1</v>
      </c>
    </row>
    <row r="216" customHeight="1" spans="16:17">
      <c r="P216" s="140" t="s">
        <v>294</v>
      </c>
      <c r="Q216" s="152">
        <v>1</v>
      </c>
    </row>
    <row r="217" customHeight="1" spans="16:17">
      <c r="P217" s="140" t="s">
        <v>297</v>
      </c>
      <c r="Q217" s="152">
        <v>1</v>
      </c>
    </row>
    <row r="218" customHeight="1" spans="16:17">
      <c r="P218" s="140" t="s">
        <v>297</v>
      </c>
      <c r="Q218" s="152">
        <v>1</v>
      </c>
    </row>
    <row r="219" customHeight="1" spans="16:17">
      <c r="P219" s="140" t="s">
        <v>297</v>
      </c>
      <c r="Q219" s="152">
        <v>1</v>
      </c>
    </row>
    <row r="220" customHeight="1" spans="16:17">
      <c r="P220" s="140" t="s">
        <v>297</v>
      </c>
      <c r="Q220" s="152">
        <v>1</v>
      </c>
    </row>
    <row r="221" customHeight="1" spans="16:17">
      <c r="P221" s="140" t="s">
        <v>297</v>
      </c>
      <c r="Q221" s="152">
        <v>1</v>
      </c>
    </row>
    <row r="222" customHeight="1" spans="16:17">
      <c r="P222" s="140" t="s">
        <v>297</v>
      </c>
      <c r="Q222" s="152">
        <v>1</v>
      </c>
    </row>
    <row r="223" customHeight="1" spans="16:17">
      <c r="P223" s="140" t="s">
        <v>297</v>
      </c>
      <c r="Q223" s="152">
        <v>1</v>
      </c>
    </row>
    <row r="224" customHeight="1" spans="16:17">
      <c r="P224" s="140" t="s">
        <v>299</v>
      </c>
      <c r="Q224" s="152">
        <v>1</v>
      </c>
    </row>
    <row r="225" customHeight="1" spans="16:17">
      <c r="P225" s="140" t="s">
        <v>299</v>
      </c>
      <c r="Q225" s="152">
        <v>1</v>
      </c>
    </row>
    <row r="226" customHeight="1" spans="16:17">
      <c r="P226" s="140" t="s">
        <v>299</v>
      </c>
      <c r="Q226" s="152">
        <v>1</v>
      </c>
    </row>
    <row r="227" customHeight="1" spans="16:17">
      <c r="P227" s="140" t="s">
        <v>299</v>
      </c>
      <c r="Q227" s="152">
        <v>1</v>
      </c>
    </row>
    <row r="228" customHeight="1" spans="16:17">
      <c r="P228" s="140" t="s">
        <v>299</v>
      </c>
      <c r="Q228" s="152">
        <v>1</v>
      </c>
    </row>
    <row r="229" customHeight="1" spans="16:17">
      <c r="P229" s="140" t="s">
        <v>299</v>
      </c>
      <c r="Q229" s="152">
        <v>1</v>
      </c>
    </row>
    <row r="230" customHeight="1" spans="16:17">
      <c r="P230" s="140" t="s">
        <v>299</v>
      </c>
      <c r="Q230" s="152">
        <v>1</v>
      </c>
    </row>
    <row r="231" customHeight="1" spans="16:17">
      <c r="P231" s="140" t="s">
        <v>303</v>
      </c>
      <c r="Q231" s="152">
        <v>1</v>
      </c>
    </row>
    <row r="232" customHeight="1" spans="16:17">
      <c r="P232" s="140" t="s">
        <v>303</v>
      </c>
      <c r="Q232" s="152">
        <v>1</v>
      </c>
    </row>
    <row r="233" customHeight="1" spans="16:17">
      <c r="P233" s="140" t="s">
        <v>303</v>
      </c>
      <c r="Q233" s="152">
        <v>1</v>
      </c>
    </row>
    <row r="234" customHeight="1" spans="16:17">
      <c r="P234" s="140" t="s">
        <v>303</v>
      </c>
      <c r="Q234" s="152">
        <v>1</v>
      </c>
    </row>
    <row r="235" customHeight="1" spans="16:17">
      <c r="P235" s="140" t="s">
        <v>303</v>
      </c>
      <c r="Q235" s="152">
        <v>1</v>
      </c>
    </row>
    <row r="236" customHeight="1" spans="16:17">
      <c r="P236" s="140" t="s">
        <v>303</v>
      </c>
      <c r="Q236" s="152">
        <v>1</v>
      </c>
    </row>
    <row r="237" customHeight="1" spans="16:17">
      <c r="P237" s="140" t="s">
        <v>306</v>
      </c>
      <c r="Q237" s="152">
        <v>1</v>
      </c>
    </row>
    <row r="238" customHeight="1" spans="16:17">
      <c r="P238" s="140" t="s">
        <v>306</v>
      </c>
      <c r="Q238" s="152">
        <v>1</v>
      </c>
    </row>
    <row r="239" customHeight="1" spans="16:17">
      <c r="P239" s="140" t="s">
        <v>306</v>
      </c>
      <c r="Q239" s="152">
        <v>1</v>
      </c>
    </row>
    <row r="240" customHeight="1" spans="16:17">
      <c r="P240" s="140" t="s">
        <v>306</v>
      </c>
      <c r="Q240" s="152">
        <v>1</v>
      </c>
    </row>
    <row r="241" customHeight="1" spans="16:17">
      <c r="P241" s="140" t="s">
        <v>306</v>
      </c>
      <c r="Q241" s="152">
        <v>1</v>
      </c>
    </row>
    <row r="242" customHeight="1" spans="16:17">
      <c r="P242" s="140" t="s">
        <v>306</v>
      </c>
      <c r="Q242" s="152">
        <v>1</v>
      </c>
    </row>
    <row r="243" customHeight="1" spans="16:17">
      <c r="P243" s="140" t="s">
        <v>306</v>
      </c>
      <c r="Q243" s="152">
        <v>1</v>
      </c>
    </row>
    <row r="244" customHeight="1" spans="16:17">
      <c r="P244" s="140" t="s">
        <v>307</v>
      </c>
      <c r="Q244" s="152">
        <v>1</v>
      </c>
    </row>
    <row r="245" customHeight="1" spans="16:17">
      <c r="P245" s="140" t="s">
        <v>310</v>
      </c>
      <c r="Q245" s="152">
        <v>1</v>
      </c>
    </row>
    <row r="246" customHeight="1" spans="16:17">
      <c r="P246" s="140" t="s">
        <v>310</v>
      </c>
      <c r="Q246" s="152">
        <v>1</v>
      </c>
    </row>
    <row r="247" customHeight="1" spans="16:17">
      <c r="P247" s="140" t="s">
        <v>310</v>
      </c>
      <c r="Q247" s="152">
        <v>1</v>
      </c>
    </row>
    <row r="248" customHeight="1" spans="16:17">
      <c r="P248" s="140" t="s">
        <v>310</v>
      </c>
      <c r="Q248" s="152">
        <v>1</v>
      </c>
    </row>
    <row r="249" customHeight="1" spans="16:17">
      <c r="P249" s="140" t="s">
        <v>313</v>
      </c>
      <c r="Q249" s="152">
        <v>1</v>
      </c>
    </row>
    <row r="250" customHeight="1" spans="16:17">
      <c r="P250" s="140" t="s">
        <v>313</v>
      </c>
      <c r="Q250" s="152">
        <v>1</v>
      </c>
    </row>
    <row r="251" customHeight="1" spans="16:17">
      <c r="P251" s="140" t="s">
        <v>313</v>
      </c>
      <c r="Q251" s="152">
        <v>1</v>
      </c>
    </row>
    <row r="252" customHeight="1" spans="16:17">
      <c r="P252" s="140" t="s">
        <v>313</v>
      </c>
      <c r="Q252" s="152">
        <v>1</v>
      </c>
    </row>
    <row r="253" customHeight="1" spans="16:17">
      <c r="P253" s="140" t="s">
        <v>313</v>
      </c>
      <c r="Q253" s="152">
        <v>1</v>
      </c>
    </row>
    <row r="254" customHeight="1" spans="16:17">
      <c r="P254" s="140" t="s">
        <v>313</v>
      </c>
      <c r="Q254" s="152">
        <v>1</v>
      </c>
    </row>
    <row r="255" customHeight="1" spans="16:17">
      <c r="P255" s="140" t="s">
        <v>313</v>
      </c>
      <c r="Q255" s="152">
        <v>1</v>
      </c>
    </row>
    <row r="256" customHeight="1" spans="16:17">
      <c r="P256" s="140" t="s">
        <v>317</v>
      </c>
      <c r="Q256" s="152">
        <v>1</v>
      </c>
    </row>
    <row r="257" customHeight="1" spans="16:17">
      <c r="P257" s="140" t="s">
        <v>317</v>
      </c>
      <c r="Q257" s="152">
        <v>1</v>
      </c>
    </row>
    <row r="258" customHeight="1" spans="16:17">
      <c r="P258" s="140" t="s">
        <v>317</v>
      </c>
      <c r="Q258" s="152">
        <v>1</v>
      </c>
    </row>
    <row r="259" customHeight="1" spans="16:17">
      <c r="P259" s="140" t="s">
        <v>317</v>
      </c>
      <c r="Q259" s="152">
        <v>1</v>
      </c>
    </row>
    <row r="260" customHeight="1" spans="16:17">
      <c r="P260" s="140" t="s">
        <v>317</v>
      </c>
      <c r="Q260" s="152">
        <v>1</v>
      </c>
    </row>
    <row r="261" customHeight="1" spans="16:17">
      <c r="P261" s="140" t="s">
        <v>317</v>
      </c>
      <c r="Q261" s="152">
        <v>1</v>
      </c>
    </row>
    <row r="262" customHeight="1" spans="16:17">
      <c r="P262" s="140" t="s">
        <v>317</v>
      </c>
      <c r="Q262" s="152">
        <v>1</v>
      </c>
    </row>
    <row r="263" customHeight="1" spans="16:17">
      <c r="P263" s="140" t="s">
        <v>317</v>
      </c>
      <c r="Q263" s="152">
        <v>1</v>
      </c>
    </row>
    <row r="264" customHeight="1" spans="16:17">
      <c r="P264" s="140" t="s">
        <v>317</v>
      </c>
      <c r="Q264" s="152">
        <v>2</v>
      </c>
    </row>
    <row r="265" customHeight="1" spans="16:17">
      <c r="P265" s="140" t="s">
        <v>317</v>
      </c>
      <c r="Q265" s="152">
        <v>1</v>
      </c>
    </row>
    <row r="266" customHeight="1" spans="16:17">
      <c r="P266" s="140" t="s">
        <v>317</v>
      </c>
      <c r="Q266" s="152">
        <v>1</v>
      </c>
    </row>
    <row r="267" customHeight="1" spans="16:17">
      <c r="P267" s="140" t="s">
        <v>317</v>
      </c>
      <c r="Q267" s="152">
        <v>1</v>
      </c>
    </row>
    <row r="268" customHeight="1" spans="16:17">
      <c r="P268" s="140" t="s">
        <v>317</v>
      </c>
      <c r="Q268" s="152">
        <v>1</v>
      </c>
    </row>
    <row r="269" customHeight="1" spans="16:17">
      <c r="P269" s="140" t="s">
        <v>317</v>
      </c>
      <c r="Q269" s="152">
        <v>1</v>
      </c>
    </row>
    <row r="270" customHeight="1" spans="16:17">
      <c r="P270" s="140" t="s">
        <v>327</v>
      </c>
      <c r="Q270" s="152">
        <v>1</v>
      </c>
    </row>
    <row r="271" customHeight="1" spans="16:17">
      <c r="P271" s="140" t="s">
        <v>327</v>
      </c>
      <c r="Q271" s="152">
        <v>1</v>
      </c>
    </row>
    <row r="272" customHeight="1" spans="16:17">
      <c r="P272" s="140" t="s">
        <v>327</v>
      </c>
      <c r="Q272" s="152">
        <v>1</v>
      </c>
    </row>
    <row r="273" customHeight="1" spans="16:17">
      <c r="P273" s="140" t="s">
        <v>327</v>
      </c>
      <c r="Q273" s="152">
        <v>1</v>
      </c>
    </row>
    <row r="274" customHeight="1" spans="16:17">
      <c r="P274" s="140" t="s">
        <v>327</v>
      </c>
      <c r="Q274" s="152">
        <v>1</v>
      </c>
    </row>
    <row r="275" customHeight="1" spans="16:17">
      <c r="P275" s="140" t="s">
        <v>327</v>
      </c>
      <c r="Q275" s="152">
        <v>1</v>
      </c>
    </row>
    <row r="276" customHeight="1" spans="16:17">
      <c r="P276" s="140" t="s">
        <v>329</v>
      </c>
      <c r="Q276" s="152">
        <v>1</v>
      </c>
    </row>
    <row r="277" customHeight="1" spans="16:17">
      <c r="P277" s="140" t="s">
        <v>329</v>
      </c>
      <c r="Q277" s="152">
        <v>1</v>
      </c>
    </row>
    <row r="278" customHeight="1" spans="16:17">
      <c r="P278" s="140" t="s">
        <v>329</v>
      </c>
      <c r="Q278" s="152">
        <v>1</v>
      </c>
    </row>
    <row r="279" customHeight="1" spans="16:17">
      <c r="P279" s="140" t="s">
        <v>329</v>
      </c>
      <c r="Q279" s="152">
        <v>1</v>
      </c>
    </row>
    <row r="280" customHeight="1" spans="16:17">
      <c r="P280" s="140" t="s">
        <v>329</v>
      </c>
      <c r="Q280" s="152">
        <v>1</v>
      </c>
    </row>
    <row r="281" customHeight="1" spans="16:17">
      <c r="P281" s="140" t="s">
        <v>329</v>
      </c>
      <c r="Q281" s="152">
        <v>1</v>
      </c>
    </row>
    <row r="282" customHeight="1" spans="16:17">
      <c r="P282" s="140" t="s">
        <v>335</v>
      </c>
      <c r="Q282" s="152">
        <v>1</v>
      </c>
    </row>
    <row r="283" customHeight="1" spans="16:17">
      <c r="P283" s="140" t="s">
        <v>335</v>
      </c>
      <c r="Q283" s="152">
        <v>1</v>
      </c>
    </row>
    <row r="284" customHeight="1" spans="16:17">
      <c r="P284" s="140" t="s">
        <v>335</v>
      </c>
      <c r="Q284" s="152">
        <v>1</v>
      </c>
    </row>
    <row r="285" customHeight="1" spans="16:17">
      <c r="P285" s="140" t="s">
        <v>335</v>
      </c>
      <c r="Q285" s="152">
        <v>1</v>
      </c>
    </row>
    <row r="286" customHeight="1" spans="16:17">
      <c r="P286" s="140" t="s">
        <v>335</v>
      </c>
      <c r="Q286" s="152">
        <v>1</v>
      </c>
    </row>
    <row r="287" customHeight="1" spans="16:17">
      <c r="P287" s="140" t="s">
        <v>335</v>
      </c>
      <c r="Q287" s="152">
        <v>1</v>
      </c>
    </row>
    <row r="288" customHeight="1" spans="16:17">
      <c r="P288" s="140" t="s">
        <v>338</v>
      </c>
      <c r="Q288" s="152">
        <v>1</v>
      </c>
    </row>
    <row r="289" customHeight="1" spans="16:17">
      <c r="P289" s="140" t="s">
        <v>338</v>
      </c>
      <c r="Q289" s="152">
        <v>1</v>
      </c>
    </row>
    <row r="290" customHeight="1" spans="16:17">
      <c r="P290" s="140" t="s">
        <v>338</v>
      </c>
      <c r="Q290" s="152">
        <v>1</v>
      </c>
    </row>
    <row r="291" customHeight="1" spans="16:17">
      <c r="P291" s="140" t="s">
        <v>338</v>
      </c>
      <c r="Q291" s="152">
        <v>1</v>
      </c>
    </row>
    <row r="292" customHeight="1" spans="16:17">
      <c r="P292" s="140" t="s">
        <v>338</v>
      </c>
      <c r="Q292" s="152">
        <v>1</v>
      </c>
    </row>
    <row r="293" customHeight="1" spans="16:17">
      <c r="P293" s="140" t="s">
        <v>338</v>
      </c>
      <c r="Q293" s="152">
        <v>1</v>
      </c>
    </row>
    <row r="294" customHeight="1" spans="16:17">
      <c r="P294" s="140" t="s">
        <v>338</v>
      </c>
      <c r="Q294" s="152">
        <v>1</v>
      </c>
    </row>
    <row r="295" customHeight="1" spans="16:17">
      <c r="P295" s="140" t="s">
        <v>338</v>
      </c>
      <c r="Q295" s="152">
        <v>1</v>
      </c>
    </row>
    <row r="296" customHeight="1" spans="16:17">
      <c r="P296" s="140" t="s">
        <v>341</v>
      </c>
      <c r="Q296" s="152">
        <v>1</v>
      </c>
    </row>
    <row r="297" customHeight="1" spans="16:17">
      <c r="P297" s="140" t="s">
        <v>341</v>
      </c>
      <c r="Q297" s="152">
        <v>1</v>
      </c>
    </row>
    <row r="298" customHeight="1" spans="16:17">
      <c r="P298" s="140" t="s">
        <v>341</v>
      </c>
      <c r="Q298" s="152">
        <v>1</v>
      </c>
    </row>
    <row r="299" customHeight="1" spans="16:17">
      <c r="P299" s="140" t="s">
        <v>341</v>
      </c>
      <c r="Q299" s="152">
        <v>1</v>
      </c>
    </row>
    <row r="300" customHeight="1" spans="16:17">
      <c r="P300" s="140" t="s">
        <v>341</v>
      </c>
      <c r="Q300" s="152">
        <v>1</v>
      </c>
    </row>
    <row r="301" customHeight="1" spans="16:17">
      <c r="P301" s="140" t="s">
        <v>341</v>
      </c>
      <c r="Q301" s="152">
        <v>1</v>
      </c>
    </row>
    <row r="302" customHeight="1" spans="16:17">
      <c r="P302" s="140" t="s">
        <v>341</v>
      </c>
      <c r="Q302" s="152">
        <v>1</v>
      </c>
    </row>
    <row r="303" customHeight="1" spans="16:17">
      <c r="P303" s="140" t="s">
        <v>341</v>
      </c>
      <c r="Q303" s="152">
        <v>1</v>
      </c>
    </row>
    <row r="304" customHeight="1" spans="16:17">
      <c r="P304" s="140" t="s">
        <v>341</v>
      </c>
      <c r="Q304" s="152">
        <v>1</v>
      </c>
    </row>
    <row r="305" customHeight="1" spans="16:17">
      <c r="P305" s="140" t="s">
        <v>341</v>
      </c>
      <c r="Q305" s="152">
        <v>1</v>
      </c>
    </row>
    <row r="306" customHeight="1" spans="16:17">
      <c r="P306" s="140" t="s">
        <v>341</v>
      </c>
      <c r="Q306" s="152">
        <v>1</v>
      </c>
    </row>
    <row r="307" customHeight="1" spans="16:17">
      <c r="P307" s="140" t="s">
        <v>350</v>
      </c>
      <c r="Q307" s="152">
        <v>1</v>
      </c>
    </row>
    <row r="308" customHeight="1" spans="16:17">
      <c r="P308" s="140" t="s">
        <v>350</v>
      </c>
      <c r="Q308" s="152">
        <v>1</v>
      </c>
    </row>
    <row r="309" customHeight="1" spans="16:17">
      <c r="P309" s="140" t="s">
        <v>350</v>
      </c>
      <c r="Q309" s="152">
        <v>1</v>
      </c>
    </row>
    <row r="310" customHeight="1" spans="16:17">
      <c r="P310" s="140" t="s">
        <v>350</v>
      </c>
      <c r="Q310" s="152">
        <v>1</v>
      </c>
    </row>
    <row r="311" customHeight="1" spans="16:17">
      <c r="P311" s="140" t="s">
        <v>350</v>
      </c>
      <c r="Q311" s="152">
        <v>1</v>
      </c>
    </row>
    <row r="312" customHeight="1" spans="16:17">
      <c r="P312" s="140" t="s">
        <v>350</v>
      </c>
      <c r="Q312" s="152">
        <v>1</v>
      </c>
    </row>
    <row r="313" customHeight="1" spans="16:17">
      <c r="P313" s="140" t="s">
        <v>350</v>
      </c>
      <c r="Q313" s="152">
        <v>1</v>
      </c>
    </row>
    <row r="314" customHeight="1" spans="16:17">
      <c r="P314" s="140" t="s">
        <v>350</v>
      </c>
      <c r="Q314" s="152">
        <v>1</v>
      </c>
    </row>
    <row r="315" customHeight="1" spans="16:17">
      <c r="P315" s="140" t="s">
        <v>350</v>
      </c>
      <c r="Q315" s="152">
        <v>1</v>
      </c>
    </row>
    <row r="316" customHeight="1" spans="16:17">
      <c r="P316" s="140" t="s">
        <v>350</v>
      </c>
      <c r="Q316" s="152">
        <v>1</v>
      </c>
    </row>
    <row r="317" customHeight="1" spans="16:17">
      <c r="P317" s="140" t="s">
        <v>353</v>
      </c>
      <c r="Q317" s="152">
        <v>1</v>
      </c>
    </row>
    <row r="318" customHeight="1" spans="16:17">
      <c r="P318" s="140" t="s">
        <v>353</v>
      </c>
      <c r="Q318" s="152">
        <v>1</v>
      </c>
    </row>
    <row r="319" customHeight="1" spans="16:17">
      <c r="P319" s="140" t="s">
        <v>353</v>
      </c>
      <c r="Q319" s="152">
        <v>1</v>
      </c>
    </row>
    <row r="320" customHeight="1" spans="16:17">
      <c r="P320" s="140" t="s">
        <v>353</v>
      </c>
      <c r="Q320" s="152">
        <v>1</v>
      </c>
    </row>
    <row r="321" customHeight="1" spans="16:17">
      <c r="P321" s="140" t="s">
        <v>353</v>
      </c>
      <c r="Q321" s="152">
        <v>1</v>
      </c>
    </row>
    <row r="322" customHeight="1" spans="16:17">
      <c r="P322" s="140" t="s">
        <v>353</v>
      </c>
      <c r="Q322" s="152">
        <v>1</v>
      </c>
    </row>
    <row r="323" customHeight="1" spans="16:17">
      <c r="P323" s="140" t="s">
        <v>356</v>
      </c>
      <c r="Q323" s="152">
        <v>1</v>
      </c>
    </row>
    <row r="324" customHeight="1" spans="16:17">
      <c r="P324" s="140" t="s">
        <v>356</v>
      </c>
      <c r="Q324" s="152">
        <v>1</v>
      </c>
    </row>
    <row r="325" customHeight="1" spans="16:17">
      <c r="P325" s="140" t="s">
        <v>356</v>
      </c>
      <c r="Q325" s="152">
        <v>1</v>
      </c>
    </row>
    <row r="326" customHeight="1" spans="16:17">
      <c r="P326" s="140" t="s">
        <v>356</v>
      </c>
      <c r="Q326" s="152">
        <v>1</v>
      </c>
    </row>
    <row r="327" customHeight="1" spans="16:17">
      <c r="P327" s="140" t="s">
        <v>356</v>
      </c>
      <c r="Q327" s="152">
        <v>1</v>
      </c>
    </row>
    <row r="328" customHeight="1" spans="16:17">
      <c r="P328" s="140" t="s">
        <v>356</v>
      </c>
      <c r="Q328" s="152">
        <v>1</v>
      </c>
    </row>
    <row r="329" customHeight="1" spans="16:17">
      <c r="P329" s="140" t="s">
        <v>356</v>
      </c>
      <c r="Q329" s="152">
        <v>1</v>
      </c>
    </row>
    <row r="330" customHeight="1" spans="16:17">
      <c r="P330" s="140" t="s">
        <v>358</v>
      </c>
      <c r="Q330" s="152">
        <v>1</v>
      </c>
    </row>
    <row r="331" customHeight="1" spans="16:17">
      <c r="P331" s="140" t="s">
        <v>358</v>
      </c>
      <c r="Q331" s="152">
        <v>1</v>
      </c>
    </row>
    <row r="332" customHeight="1" spans="16:17">
      <c r="P332" s="140" t="s">
        <v>358</v>
      </c>
      <c r="Q332" s="152">
        <v>1</v>
      </c>
    </row>
    <row r="333" customHeight="1" spans="16:17">
      <c r="P333" s="140" t="s">
        <v>358</v>
      </c>
      <c r="Q333" s="152">
        <v>1</v>
      </c>
    </row>
    <row r="334" customHeight="1" spans="16:17">
      <c r="P334" s="140" t="s">
        <v>358</v>
      </c>
      <c r="Q334" s="152">
        <v>1</v>
      </c>
    </row>
    <row r="335" customHeight="1" spans="16:17">
      <c r="P335" s="140" t="s">
        <v>358</v>
      </c>
      <c r="Q335" s="152">
        <v>1</v>
      </c>
    </row>
    <row r="336" customHeight="1" spans="16:17">
      <c r="P336" s="140" t="s">
        <v>362</v>
      </c>
      <c r="Q336" s="152">
        <v>1</v>
      </c>
    </row>
    <row r="337" customHeight="1" spans="16:17">
      <c r="P337" s="140" t="s">
        <v>362</v>
      </c>
      <c r="Q337" s="152">
        <v>1</v>
      </c>
    </row>
    <row r="338" customHeight="1" spans="16:17">
      <c r="P338" s="140" t="s">
        <v>362</v>
      </c>
      <c r="Q338" s="152">
        <v>1</v>
      </c>
    </row>
    <row r="339" customHeight="1" spans="16:17">
      <c r="P339" s="140" t="s">
        <v>362</v>
      </c>
      <c r="Q339" s="152">
        <v>1</v>
      </c>
    </row>
    <row r="340" customHeight="1" spans="16:17">
      <c r="P340" s="140" t="s">
        <v>362</v>
      </c>
      <c r="Q340" s="152">
        <v>1</v>
      </c>
    </row>
    <row r="341" customHeight="1" spans="16:17">
      <c r="P341" s="140" t="s">
        <v>362</v>
      </c>
      <c r="Q341" s="152">
        <v>1</v>
      </c>
    </row>
    <row r="342" customHeight="1" spans="16:17">
      <c r="P342" s="140" t="s">
        <v>362</v>
      </c>
      <c r="Q342" s="152">
        <v>1</v>
      </c>
    </row>
    <row r="343" customHeight="1" spans="16:17">
      <c r="P343" s="140" t="s">
        <v>365</v>
      </c>
      <c r="Q343" s="152">
        <v>1</v>
      </c>
    </row>
    <row r="344" customHeight="1" spans="16:17">
      <c r="P344" s="140" t="s">
        <v>365</v>
      </c>
      <c r="Q344" s="152">
        <v>1</v>
      </c>
    </row>
    <row r="345" customHeight="1" spans="16:17">
      <c r="P345" s="140" t="s">
        <v>365</v>
      </c>
      <c r="Q345" s="152">
        <v>1</v>
      </c>
    </row>
    <row r="346" customHeight="1" spans="16:17">
      <c r="P346" s="140" t="s">
        <v>365</v>
      </c>
      <c r="Q346" s="152">
        <v>1</v>
      </c>
    </row>
    <row r="347" customHeight="1" spans="16:17">
      <c r="P347" s="140" t="s">
        <v>365</v>
      </c>
      <c r="Q347" s="152">
        <v>1</v>
      </c>
    </row>
    <row r="348" customHeight="1" spans="16:17">
      <c r="P348" s="140" t="s">
        <v>365</v>
      </c>
      <c r="Q348" s="152">
        <v>1</v>
      </c>
    </row>
    <row r="349" customHeight="1" spans="16:17">
      <c r="P349" s="140" t="s">
        <v>365</v>
      </c>
      <c r="Q349" s="152">
        <v>1</v>
      </c>
    </row>
    <row r="350" customHeight="1" spans="16:17">
      <c r="P350" s="140" t="s">
        <v>365</v>
      </c>
      <c r="Q350" s="152">
        <v>1</v>
      </c>
    </row>
    <row r="351" customHeight="1" spans="16:17">
      <c r="P351" s="140" t="s">
        <v>369</v>
      </c>
      <c r="Q351" s="152">
        <v>1</v>
      </c>
    </row>
    <row r="352" customHeight="1" spans="16:17">
      <c r="P352" s="140" t="s">
        <v>369</v>
      </c>
      <c r="Q352" s="152">
        <v>1</v>
      </c>
    </row>
    <row r="353" customHeight="1" spans="16:17">
      <c r="P353" s="140" t="s">
        <v>369</v>
      </c>
      <c r="Q353" s="152">
        <v>1</v>
      </c>
    </row>
    <row r="354" customHeight="1" spans="16:17">
      <c r="P354" s="140" t="s">
        <v>369</v>
      </c>
      <c r="Q354" s="152">
        <v>1</v>
      </c>
    </row>
    <row r="355" customHeight="1" spans="16:17">
      <c r="P355" s="140" t="s">
        <v>369</v>
      </c>
      <c r="Q355" s="152">
        <v>1</v>
      </c>
    </row>
    <row r="356" customHeight="1" spans="16:17">
      <c r="P356" s="140" t="s">
        <v>369</v>
      </c>
      <c r="Q356" s="152">
        <v>1</v>
      </c>
    </row>
    <row r="357" customHeight="1" spans="16:17">
      <c r="P357" s="140" t="s">
        <v>369</v>
      </c>
      <c r="Q357" s="152">
        <v>1</v>
      </c>
    </row>
    <row r="358" customHeight="1" spans="16:17">
      <c r="P358" s="140" t="s">
        <v>369</v>
      </c>
      <c r="Q358" s="152">
        <v>1</v>
      </c>
    </row>
    <row r="359" customHeight="1" spans="16:17">
      <c r="P359" s="140" t="s">
        <v>369</v>
      </c>
      <c r="Q359" s="152">
        <v>1</v>
      </c>
    </row>
    <row r="360" customHeight="1" spans="16:17">
      <c r="P360" s="140" t="s">
        <v>369</v>
      </c>
      <c r="Q360" s="152">
        <v>1</v>
      </c>
    </row>
    <row r="361" customHeight="1" spans="16:17">
      <c r="P361" s="140" t="s">
        <v>377</v>
      </c>
      <c r="Q361" s="152">
        <v>1</v>
      </c>
    </row>
    <row r="362" customHeight="1" spans="16:17">
      <c r="P362" s="140" t="s">
        <v>377</v>
      </c>
      <c r="Q362" s="152">
        <v>1</v>
      </c>
    </row>
    <row r="363" customHeight="1" spans="16:17">
      <c r="P363" s="140" t="s">
        <v>377</v>
      </c>
      <c r="Q363" s="152">
        <v>1</v>
      </c>
    </row>
    <row r="364" customHeight="1" spans="16:17">
      <c r="P364" s="140" t="s">
        <v>377</v>
      </c>
      <c r="Q364" s="152">
        <v>1</v>
      </c>
    </row>
    <row r="365" customHeight="1" spans="16:17">
      <c r="P365" s="140" t="s">
        <v>377</v>
      </c>
      <c r="Q365" s="152">
        <v>1</v>
      </c>
    </row>
    <row r="366" customHeight="1" spans="16:17">
      <c r="P366" s="140" t="s">
        <v>377</v>
      </c>
      <c r="Q366" s="152">
        <v>1</v>
      </c>
    </row>
    <row r="367" customHeight="1" spans="16:17">
      <c r="P367" s="140" t="s">
        <v>377</v>
      </c>
      <c r="Q367" s="152">
        <v>1</v>
      </c>
    </row>
    <row r="368" customHeight="1" spans="16:17">
      <c r="P368" s="140" t="s">
        <v>380</v>
      </c>
      <c r="Q368" s="152">
        <v>1</v>
      </c>
    </row>
    <row r="369" customHeight="1" spans="16:17">
      <c r="P369" s="140" t="s">
        <v>380</v>
      </c>
      <c r="Q369" s="152">
        <v>1</v>
      </c>
    </row>
    <row r="370" customHeight="1" spans="16:17">
      <c r="P370" s="140" t="s">
        <v>380</v>
      </c>
      <c r="Q370" s="152">
        <v>1</v>
      </c>
    </row>
    <row r="371" customHeight="1" spans="16:17">
      <c r="P371" s="140" t="s">
        <v>380</v>
      </c>
      <c r="Q371" s="152">
        <v>1</v>
      </c>
    </row>
    <row r="372" customHeight="1" spans="16:17">
      <c r="P372" s="140" t="s">
        <v>380</v>
      </c>
      <c r="Q372" s="152">
        <v>1</v>
      </c>
    </row>
    <row r="373" customHeight="1" spans="16:17">
      <c r="P373" s="140" t="s">
        <v>380</v>
      </c>
      <c r="Q373" s="152">
        <v>1</v>
      </c>
    </row>
    <row r="374" customHeight="1" spans="16:17">
      <c r="P374" s="140" t="s">
        <v>380</v>
      </c>
      <c r="Q374" s="152">
        <v>1</v>
      </c>
    </row>
    <row r="375" customHeight="1" spans="16:17">
      <c r="P375" s="140" t="s">
        <v>383</v>
      </c>
      <c r="Q375" s="152">
        <v>1</v>
      </c>
    </row>
    <row r="376" customHeight="1" spans="16:17">
      <c r="P376" s="140" t="s">
        <v>383</v>
      </c>
      <c r="Q376" s="152">
        <v>1</v>
      </c>
    </row>
    <row r="377" customHeight="1" spans="16:17">
      <c r="P377" s="140" t="s">
        <v>383</v>
      </c>
      <c r="Q377" s="152">
        <v>1</v>
      </c>
    </row>
    <row r="378" customHeight="1" spans="16:17">
      <c r="P378" s="140" t="s">
        <v>383</v>
      </c>
      <c r="Q378" s="152">
        <v>1</v>
      </c>
    </row>
    <row r="379" customHeight="1" spans="16:17">
      <c r="P379" s="140" t="s">
        <v>383</v>
      </c>
      <c r="Q379" s="152">
        <v>1</v>
      </c>
    </row>
    <row r="380" customHeight="1" spans="16:17">
      <c r="P380" s="140" t="s">
        <v>384</v>
      </c>
      <c r="Q380" s="152">
        <v>1</v>
      </c>
    </row>
    <row r="381" customHeight="1" spans="16:17">
      <c r="P381" s="140" t="s">
        <v>384</v>
      </c>
      <c r="Q381" s="152">
        <v>1</v>
      </c>
    </row>
    <row r="382" customHeight="1" spans="16:17">
      <c r="P382" s="140" t="s">
        <v>384</v>
      </c>
      <c r="Q382" s="152">
        <v>1</v>
      </c>
    </row>
    <row r="383" customHeight="1" spans="16:17">
      <c r="P383" s="140" t="s">
        <v>384</v>
      </c>
      <c r="Q383" s="152">
        <v>1</v>
      </c>
    </row>
    <row r="384" customHeight="1" spans="16:17">
      <c r="P384" s="140" t="s">
        <v>384</v>
      </c>
      <c r="Q384" s="152">
        <v>1</v>
      </c>
    </row>
    <row r="385" customHeight="1" spans="16:17">
      <c r="P385" s="140" t="s">
        <v>384</v>
      </c>
      <c r="Q385" s="152">
        <v>1</v>
      </c>
    </row>
    <row r="386" customHeight="1" spans="16:17">
      <c r="P386" s="140" t="s">
        <v>386</v>
      </c>
      <c r="Q386" s="152">
        <v>1</v>
      </c>
    </row>
    <row r="387" customHeight="1" spans="16:17">
      <c r="P387" s="140" t="s">
        <v>386</v>
      </c>
      <c r="Q387" s="152">
        <v>1</v>
      </c>
    </row>
    <row r="388" customHeight="1" spans="16:17">
      <c r="P388" s="140" t="s">
        <v>386</v>
      </c>
      <c r="Q388" s="152">
        <v>1</v>
      </c>
    </row>
    <row r="389" customHeight="1" spans="16:17">
      <c r="P389" s="140" t="s">
        <v>386</v>
      </c>
      <c r="Q389" s="152">
        <v>1</v>
      </c>
    </row>
    <row r="390" customHeight="1" spans="16:17">
      <c r="P390" s="140" t="s">
        <v>386</v>
      </c>
      <c r="Q390" s="152">
        <v>1</v>
      </c>
    </row>
    <row r="391" customHeight="1" spans="16:17">
      <c r="P391" s="140" t="s">
        <v>386</v>
      </c>
      <c r="Q391" s="152">
        <v>1</v>
      </c>
    </row>
    <row r="392" customHeight="1" spans="16:17">
      <c r="P392" s="140" t="s">
        <v>386</v>
      </c>
      <c r="Q392" s="152">
        <v>1</v>
      </c>
    </row>
    <row r="393" customHeight="1" spans="16:17">
      <c r="P393" s="140" t="s">
        <v>386</v>
      </c>
      <c r="Q393" s="152">
        <v>1</v>
      </c>
    </row>
    <row r="394" customHeight="1" spans="16:17">
      <c r="P394" s="140" t="s">
        <v>386</v>
      </c>
      <c r="Q394" s="152">
        <v>1</v>
      </c>
    </row>
    <row r="395" customHeight="1" spans="16:17">
      <c r="P395" s="140" t="s">
        <v>386</v>
      </c>
      <c r="Q395" s="152">
        <v>1</v>
      </c>
    </row>
    <row r="396" customHeight="1" spans="16:17">
      <c r="P396" s="140" t="s">
        <v>394</v>
      </c>
      <c r="Q396" s="152">
        <v>1</v>
      </c>
    </row>
    <row r="397" customHeight="1" spans="16:17">
      <c r="P397" s="140" t="s">
        <v>394</v>
      </c>
      <c r="Q397" s="152">
        <v>1</v>
      </c>
    </row>
    <row r="398" customHeight="1" spans="16:17">
      <c r="P398" s="140" t="s">
        <v>394</v>
      </c>
      <c r="Q398" s="152">
        <v>1</v>
      </c>
    </row>
    <row r="399" customHeight="1" spans="16:17">
      <c r="P399" s="140" t="s">
        <v>394</v>
      </c>
      <c r="Q399" s="152">
        <v>1</v>
      </c>
    </row>
    <row r="400" customHeight="1" spans="16:17">
      <c r="P400" s="140" t="s">
        <v>394</v>
      </c>
      <c r="Q400" s="152">
        <v>1</v>
      </c>
    </row>
    <row r="401" customHeight="1" spans="16:17">
      <c r="P401" s="140" t="s">
        <v>394</v>
      </c>
      <c r="Q401" s="152">
        <v>1</v>
      </c>
    </row>
    <row r="402" customHeight="1" spans="16:17">
      <c r="P402" s="140" t="s">
        <v>394</v>
      </c>
      <c r="Q402" s="152">
        <v>1</v>
      </c>
    </row>
    <row r="403" customHeight="1" spans="16:17">
      <c r="P403" s="140" t="s">
        <v>394</v>
      </c>
      <c r="Q403" s="152">
        <v>1</v>
      </c>
    </row>
    <row r="404" customHeight="1" spans="16:17">
      <c r="P404" s="140" t="s">
        <v>394</v>
      </c>
      <c r="Q404" s="152">
        <v>1</v>
      </c>
    </row>
    <row r="405" customHeight="1" spans="16:17">
      <c r="P405" s="140" t="s">
        <v>397</v>
      </c>
      <c r="Q405" s="152">
        <v>1</v>
      </c>
    </row>
    <row r="406" customHeight="1" spans="16:17">
      <c r="P406" s="140" t="s">
        <v>397</v>
      </c>
      <c r="Q406" s="152">
        <v>1</v>
      </c>
    </row>
    <row r="407" customHeight="1" spans="16:17">
      <c r="P407" s="140" t="s">
        <v>397</v>
      </c>
      <c r="Q407" s="152">
        <v>1</v>
      </c>
    </row>
    <row r="408" customHeight="1" spans="16:17">
      <c r="P408" s="140" t="s">
        <v>397</v>
      </c>
      <c r="Q408" s="152">
        <v>1</v>
      </c>
    </row>
    <row r="409" customHeight="1" spans="16:17">
      <c r="P409" s="140" t="s">
        <v>397</v>
      </c>
      <c r="Q409" s="152">
        <v>1</v>
      </c>
    </row>
    <row r="410" customHeight="1" spans="16:17">
      <c r="P410" s="140" t="s">
        <v>397</v>
      </c>
      <c r="Q410" s="152">
        <v>1</v>
      </c>
    </row>
    <row r="411" customHeight="1" spans="16:17">
      <c r="P411" s="140" t="s">
        <v>397</v>
      </c>
      <c r="Q411" s="152">
        <v>1</v>
      </c>
    </row>
    <row r="412" customHeight="1" spans="16:17">
      <c r="P412" s="140" t="s">
        <v>404</v>
      </c>
      <c r="Q412" s="152">
        <v>1</v>
      </c>
    </row>
    <row r="413" customHeight="1" spans="16:17">
      <c r="P413" s="140" t="s">
        <v>404</v>
      </c>
      <c r="Q413" s="152">
        <v>1</v>
      </c>
    </row>
    <row r="414" customHeight="1" spans="16:17">
      <c r="P414" s="140" t="s">
        <v>404</v>
      </c>
      <c r="Q414" s="152">
        <v>1</v>
      </c>
    </row>
    <row r="415" customHeight="1" spans="16:17">
      <c r="P415" s="140" t="s">
        <v>404</v>
      </c>
      <c r="Q415" s="152">
        <v>1</v>
      </c>
    </row>
    <row r="416" customHeight="1" spans="16:17">
      <c r="P416" s="140" t="s">
        <v>404</v>
      </c>
      <c r="Q416" s="152">
        <v>1</v>
      </c>
    </row>
    <row r="417" customHeight="1" spans="16:17">
      <c r="P417" s="140" t="s">
        <v>404</v>
      </c>
      <c r="Q417" s="152">
        <v>1</v>
      </c>
    </row>
    <row r="418" customHeight="1" spans="16:17">
      <c r="P418" s="140" t="s">
        <v>404</v>
      </c>
      <c r="Q418" s="152">
        <v>1</v>
      </c>
    </row>
    <row r="419" customHeight="1" spans="16:17">
      <c r="P419" s="140" t="s">
        <v>404</v>
      </c>
      <c r="Q419" s="152">
        <v>1</v>
      </c>
    </row>
    <row r="420" customHeight="1" spans="16:17">
      <c r="P420" s="140" t="s">
        <v>404</v>
      </c>
      <c r="Q420" s="152">
        <v>1</v>
      </c>
    </row>
    <row r="421" customHeight="1" spans="16:17">
      <c r="P421" s="140" t="s">
        <v>405</v>
      </c>
      <c r="Q421" s="152">
        <v>1</v>
      </c>
    </row>
    <row r="422" customHeight="1" spans="16:17">
      <c r="P422" s="140" t="s">
        <v>405</v>
      </c>
      <c r="Q422" s="152">
        <v>1</v>
      </c>
    </row>
    <row r="423" customHeight="1" spans="16:17">
      <c r="P423" s="140" t="s">
        <v>405</v>
      </c>
      <c r="Q423" s="152">
        <v>1</v>
      </c>
    </row>
    <row r="424" customHeight="1" spans="16:17">
      <c r="P424" s="140" t="s">
        <v>405</v>
      </c>
      <c r="Q424" s="152">
        <v>1</v>
      </c>
    </row>
    <row r="425" customHeight="1" spans="16:17">
      <c r="P425" s="140" t="s">
        <v>405</v>
      </c>
      <c r="Q425" s="152">
        <v>1</v>
      </c>
    </row>
    <row r="426" customHeight="1" spans="16:17">
      <c r="P426" s="140" t="s">
        <v>405</v>
      </c>
      <c r="Q426" s="152">
        <v>1</v>
      </c>
    </row>
    <row r="427" customHeight="1" spans="16:17">
      <c r="P427" s="140" t="s">
        <v>405</v>
      </c>
      <c r="Q427" s="152">
        <v>1</v>
      </c>
    </row>
    <row r="428" customHeight="1" spans="16:17">
      <c r="P428" s="140" t="s">
        <v>406</v>
      </c>
      <c r="Q428" s="152">
        <v>1</v>
      </c>
    </row>
    <row r="429" customHeight="1" spans="16:17">
      <c r="P429" s="140" t="s">
        <v>406</v>
      </c>
      <c r="Q429" s="152">
        <v>1</v>
      </c>
    </row>
    <row r="430" customHeight="1" spans="16:17">
      <c r="P430" s="140" t="s">
        <v>406</v>
      </c>
      <c r="Q430" s="152">
        <v>1</v>
      </c>
    </row>
    <row r="431" customHeight="1" spans="16:17">
      <c r="P431" s="140" t="s">
        <v>406</v>
      </c>
      <c r="Q431" s="152">
        <v>1</v>
      </c>
    </row>
    <row r="432" customHeight="1" spans="16:17">
      <c r="P432" s="140" t="s">
        <v>406</v>
      </c>
      <c r="Q432" s="152">
        <v>1</v>
      </c>
    </row>
    <row r="433" customHeight="1" spans="16:17">
      <c r="P433" s="140" t="s">
        <v>406</v>
      </c>
      <c r="Q433" s="152">
        <v>1</v>
      </c>
    </row>
    <row r="434" customHeight="1" spans="16:17">
      <c r="P434" s="140" t="s">
        <v>406</v>
      </c>
      <c r="Q434" s="152">
        <v>1</v>
      </c>
    </row>
    <row r="435" customHeight="1" spans="16:17">
      <c r="P435" s="140" t="s">
        <v>410</v>
      </c>
      <c r="Q435" s="152">
        <v>1</v>
      </c>
    </row>
    <row r="436" customHeight="1" spans="16:17">
      <c r="P436" s="140" t="s">
        <v>410</v>
      </c>
      <c r="Q436" s="152">
        <v>1</v>
      </c>
    </row>
    <row r="437" customHeight="1" spans="16:17">
      <c r="P437" s="140" t="s">
        <v>410</v>
      </c>
      <c r="Q437" s="152">
        <v>1</v>
      </c>
    </row>
    <row r="438" customHeight="1" spans="16:17">
      <c r="P438" s="140" t="s">
        <v>410</v>
      </c>
      <c r="Q438" s="152">
        <v>1</v>
      </c>
    </row>
    <row r="439" customHeight="1" spans="16:17">
      <c r="P439" s="140" t="s">
        <v>410</v>
      </c>
      <c r="Q439" s="152">
        <v>1</v>
      </c>
    </row>
    <row r="440" customHeight="1" spans="16:17">
      <c r="P440" s="140" t="s">
        <v>410</v>
      </c>
      <c r="Q440" s="152">
        <v>1</v>
      </c>
    </row>
    <row r="441" customHeight="1" spans="16:17">
      <c r="P441" s="140" t="s">
        <v>410</v>
      </c>
      <c r="Q441" s="152">
        <v>1</v>
      </c>
    </row>
    <row r="442" customHeight="1" spans="16:17">
      <c r="P442" s="140" t="s">
        <v>410</v>
      </c>
      <c r="Q442" s="152">
        <v>1</v>
      </c>
    </row>
    <row r="443" customHeight="1" spans="16:17">
      <c r="P443" s="140" t="s">
        <v>414</v>
      </c>
      <c r="Q443" s="152">
        <v>1</v>
      </c>
    </row>
    <row r="444" customHeight="1" spans="16:17">
      <c r="P444" s="140" t="s">
        <v>414</v>
      </c>
      <c r="Q444" s="152">
        <v>1</v>
      </c>
    </row>
    <row r="445" customHeight="1" spans="16:17">
      <c r="P445" s="140" t="s">
        <v>414</v>
      </c>
      <c r="Q445" s="152">
        <v>1</v>
      </c>
    </row>
    <row r="446" customHeight="1" spans="16:17">
      <c r="P446" s="140" t="s">
        <v>414</v>
      </c>
      <c r="Q446" s="152">
        <v>1</v>
      </c>
    </row>
    <row r="447" customHeight="1" spans="16:17">
      <c r="P447" s="140" t="s">
        <v>414</v>
      </c>
      <c r="Q447" s="152">
        <v>1</v>
      </c>
    </row>
    <row r="448" customHeight="1" spans="16:17">
      <c r="P448" s="140" t="s">
        <v>414</v>
      </c>
      <c r="Q448" s="152">
        <v>1</v>
      </c>
    </row>
    <row r="449" customHeight="1" spans="16:17">
      <c r="P449" s="140" t="s">
        <v>414</v>
      </c>
      <c r="Q449" s="152">
        <v>1</v>
      </c>
    </row>
    <row r="450" customHeight="1" spans="16:17">
      <c r="P450" s="140" t="s">
        <v>415</v>
      </c>
      <c r="Q450" s="152">
        <v>1</v>
      </c>
    </row>
    <row r="451" customHeight="1" spans="16:17">
      <c r="P451" s="140" t="s">
        <v>415</v>
      </c>
      <c r="Q451" s="152">
        <v>1</v>
      </c>
    </row>
    <row r="452" customHeight="1" spans="16:17">
      <c r="P452" s="140" t="s">
        <v>415</v>
      </c>
      <c r="Q452" s="152">
        <v>1</v>
      </c>
    </row>
    <row r="453" customHeight="1" spans="16:17">
      <c r="P453" s="140" t="s">
        <v>415</v>
      </c>
      <c r="Q453" s="152">
        <v>1</v>
      </c>
    </row>
    <row r="454" customHeight="1" spans="16:17">
      <c r="P454" s="140" t="s">
        <v>415</v>
      </c>
      <c r="Q454" s="152">
        <v>1</v>
      </c>
    </row>
    <row r="455" customHeight="1" spans="16:17">
      <c r="P455" s="140" t="s">
        <v>420</v>
      </c>
      <c r="Q455" s="152">
        <v>1</v>
      </c>
    </row>
    <row r="456" customHeight="1" spans="16:17">
      <c r="P456" s="140" t="s">
        <v>420</v>
      </c>
      <c r="Q456" s="152">
        <v>1</v>
      </c>
    </row>
    <row r="457" customHeight="1" spans="16:17">
      <c r="P457" s="140" t="s">
        <v>420</v>
      </c>
      <c r="Q457" s="152">
        <v>1</v>
      </c>
    </row>
    <row r="458" customHeight="1" spans="16:17">
      <c r="P458" s="140" t="s">
        <v>420</v>
      </c>
      <c r="Q458" s="152">
        <v>1</v>
      </c>
    </row>
    <row r="459" customHeight="1" spans="16:17">
      <c r="P459" s="140" t="s">
        <v>420</v>
      </c>
      <c r="Q459" s="152">
        <v>1</v>
      </c>
    </row>
    <row r="460" customHeight="1" spans="16:17">
      <c r="P460" s="140" t="s">
        <v>420</v>
      </c>
      <c r="Q460" s="152">
        <v>1</v>
      </c>
    </row>
    <row r="461" customHeight="1" spans="16:17">
      <c r="P461" s="140" t="s">
        <v>420</v>
      </c>
      <c r="Q461" s="152">
        <v>1</v>
      </c>
    </row>
    <row r="462" customHeight="1" spans="16:17">
      <c r="P462" s="140" t="s">
        <v>420</v>
      </c>
      <c r="Q462" s="152">
        <v>1</v>
      </c>
    </row>
    <row r="463" customHeight="1" spans="16:17">
      <c r="P463" s="140" t="s">
        <v>423</v>
      </c>
      <c r="Q463" s="152">
        <v>1</v>
      </c>
    </row>
    <row r="464" customHeight="1" spans="16:17">
      <c r="P464" s="140" t="s">
        <v>423</v>
      </c>
      <c r="Q464" s="152">
        <v>1</v>
      </c>
    </row>
    <row r="465" customHeight="1" spans="16:17">
      <c r="P465" s="140" t="s">
        <v>423</v>
      </c>
      <c r="Q465" s="152">
        <v>1</v>
      </c>
    </row>
    <row r="466" customHeight="1" spans="16:17">
      <c r="P466" s="140" t="s">
        <v>423</v>
      </c>
      <c r="Q466" s="152">
        <v>1</v>
      </c>
    </row>
    <row r="467" customHeight="1" spans="16:17">
      <c r="P467" s="140" t="s">
        <v>423</v>
      </c>
      <c r="Q467" s="152">
        <v>1</v>
      </c>
    </row>
    <row r="468" customHeight="1" spans="16:17">
      <c r="P468" s="140" t="s">
        <v>423</v>
      </c>
      <c r="Q468" s="152">
        <v>1</v>
      </c>
    </row>
    <row r="469" customHeight="1" spans="16:17">
      <c r="P469" s="140" t="s">
        <v>423</v>
      </c>
      <c r="Q469" s="152">
        <v>1</v>
      </c>
    </row>
    <row r="470" customHeight="1" spans="16:17">
      <c r="P470" s="140" t="s">
        <v>423</v>
      </c>
      <c r="Q470" s="152">
        <v>1</v>
      </c>
    </row>
    <row r="471" customHeight="1" spans="16:17">
      <c r="P471" s="140" t="s">
        <v>423</v>
      </c>
      <c r="Q471" s="152">
        <v>1</v>
      </c>
    </row>
    <row r="472" customHeight="1" spans="16:17">
      <c r="P472" s="140" t="s">
        <v>423</v>
      </c>
      <c r="Q472" s="152">
        <v>1</v>
      </c>
    </row>
    <row r="473" customHeight="1" spans="16:17">
      <c r="P473" s="140" t="s">
        <v>423</v>
      </c>
      <c r="Q473" s="152">
        <v>1</v>
      </c>
    </row>
    <row r="474" customHeight="1" spans="16:17">
      <c r="P474" s="140" t="s">
        <v>423</v>
      </c>
      <c r="Q474" s="152">
        <v>1</v>
      </c>
    </row>
    <row r="475" customHeight="1" spans="16:17">
      <c r="P475" s="140" t="s">
        <v>428</v>
      </c>
      <c r="Q475" s="152">
        <v>1</v>
      </c>
    </row>
    <row r="476" customHeight="1" spans="16:17">
      <c r="P476" s="140" t="s">
        <v>428</v>
      </c>
      <c r="Q476" s="152">
        <v>1</v>
      </c>
    </row>
    <row r="477" customHeight="1" spans="16:17">
      <c r="P477" s="140" t="s">
        <v>428</v>
      </c>
      <c r="Q477" s="152">
        <v>1</v>
      </c>
    </row>
    <row r="478" customHeight="1" spans="16:17">
      <c r="P478" s="140" t="s">
        <v>428</v>
      </c>
      <c r="Q478" s="152">
        <v>1</v>
      </c>
    </row>
    <row r="479" customHeight="1" spans="16:17">
      <c r="P479" s="140" t="s">
        <v>428</v>
      </c>
      <c r="Q479" s="152">
        <v>1</v>
      </c>
    </row>
    <row r="480" customHeight="1" spans="16:17">
      <c r="P480" s="140" t="s">
        <v>428</v>
      </c>
      <c r="Q480" s="152">
        <v>1</v>
      </c>
    </row>
    <row r="481" customHeight="1" spans="16:17">
      <c r="P481" s="140" t="s">
        <v>428</v>
      </c>
      <c r="Q481" s="152">
        <v>1</v>
      </c>
    </row>
    <row r="482" customHeight="1" spans="16:17">
      <c r="P482" s="140" t="s">
        <v>428</v>
      </c>
      <c r="Q482" s="152">
        <v>1</v>
      </c>
    </row>
    <row r="483" customHeight="1" spans="16:17">
      <c r="P483" s="140" t="s">
        <v>428</v>
      </c>
      <c r="Q483" s="152">
        <v>2</v>
      </c>
    </row>
    <row r="484" customHeight="1" spans="16:17">
      <c r="P484" s="140" t="s">
        <v>428</v>
      </c>
      <c r="Q484" s="152">
        <v>1</v>
      </c>
    </row>
    <row r="485" customHeight="1" spans="16:17">
      <c r="P485" s="140" t="s">
        <v>428</v>
      </c>
      <c r="Q485" s="152">
        <v>1</v>
      </c>
    </row>
    <row r="486" customHeight="1" spans="16:17">
      <c r="P486" s="140" t="s">
        <v>428</v>
      </c>
      <c r="Q486" s="152">
        <v>1</v>
      </c>
    </row>
    <row r="487" customHeight="1" spans="16:17">
      <c r="P487" s="140" t="s">
        <v>428</v>
      </c>
      <c r="Q487" s="152">
        <v>1</v>
      </c>
    </row>
    <row r="488" customHeight="1" spans="16:17">
      <c r="P488" s="140" t="s">
        <v>432</v>
      </c>
      <c r="Q488" s="152">
        <v>1</v>
      </c>
    </row>
    <row r="489" customHeight="1" spans="16:17">
      <c r="P489" s="140" t="s">
        <v>432</v>
      </c>
      <c r="Q489" s="152">
        <v>1</v>
      </c>
    </row>
    <row r="490" customHeight="1" spans="16:17">
      <c r="P490" s="140" t="s">
        <v>432</v>
      </c>
      <c r="Q490" s="152">
        <v>1</v>
      </c>
    </row>
    <row r="491" customHeight="1" spans="16:17">
      <c r="P491" s="140" t="s">
        <v>432</v>
      </c>
      <c r="Q491" s="152">
        <v>1</v>
      </c>
    </row>
    <row r="492" customHeight="1" spans="16:17">
      <c r="P492" s="140" t="s">
        <v>432</v>
      </c>
      <c r="Q492" s="152">
        <v>1</v>
      </c>
    </row>
    <row r="493" customHeight="1" spans="16:17">
      <c r="P493" s="140" t="s">
        <v>432</v>
      </c>
      <c r="Q493" s="152">
        <v>1</v>
      </c>
    </row>
    <row r="494" customHeight="1" spans="16:17">
      <c r="P494" s="140" t="s">
        <v>432</v>
      </c>
      <c r="Q494" s="152">
        <v>1</v>
      </c>
    </row>
    <row r="495" customHeight="1" spans="16:17">
      <c r="P495" s="140" t="s">
        <v>432</v>
      </c>
      <c r="Q495" s="152">
        <v>1</v>
      </c>
    </row>
    <row r="496" customHeight="1" spans="16:17">
      <c r="P496" s="140" t="s">
        <v>432</v>
      </c>
      <c r="Q496" s="152">
        <v>1</v>
      </c>
    </row>
    <row r="497" customHeight="1" spans="16:17">
      <c r="P497" s="140" t="s">
        <v>432</v>
      </c>
      <c r="Q497" s="152">
        <v>1</v>
      </c>
    </row>
    <row r="498" customHeight="1" spans="16:17">
      <c r="P498" s="140" t="s">
        <v>432</v>
      </c>
      <c r="Q498" s="152">
        <v>1</v>
      </c>
    </row>
    <row r="499" customHeight="1" spans="16:17">
      <c r="P499" s="140" t="s">
        <v>439</v>
      </c>
      <c r="Q499" s="152">
        <v>1</v>
      </c>
    </row>
    <row r="500" customHeight="1" spans="16:17">
      <c r="P500" s="140" t="s">
        <v>439</v>
      </c>
      <c r="Q500" s="152">
        <v>1</v>
      </c>
    </row>
    <row r="501" customHeight="1" spans="16:17">
      <c r="P501" s="140" t="s">
        <v>439</v>
      </c>
      <c r="Q501" s="152">
        <v>1</v>
      </c>
    </row>
    <row r="502" customHeight="1" spans="16:17">
      <c r="P502" s="140" t="s">
        <v>439</v>
      </c>
      <c r="Q502" s="152">
        <v>0.5</v>
      </c>
    </row>
    <row r="503" customHeight="1" spans="16:17">
      <c r="P503" s="140" t="s">
        <v>439</v>
      </c>
      <c r="Q503" s="152">
        <v>1</v>
      </c>
    </row>
    <row r="504" customHeight="1" spans="16:17">
      <c r="P504" s="140" t="s">
        <v>439</v>
      </c>
      <c r="Q504" s="152">
        <v>1</v>
      </c>
    </row>
    <row r="505" customHeight="1" spans="16:17">
      <c r="P505" s="140" t="s">
        <v>439</v>
      </c>
      <c r="Q505" s="152">
        <v>0.5</v>
      </c>
    </row>
    <row r="506" customHeight="1" spans="16:17">
      <c r="P506" s="140" t="s">
        <v>439</v>
      </c>
      <c r="Q506" s="152">
        <v>1</v>
      </c>
    </row>
    <row r="507" customHeight="1" spans="16:17">
      <c r="P507" s="140" t="s">
        <v>439</v>
      </c>
      <c r="Q507" s="152">
        <v>1</v>
      </c>
    </row>
    <row r="508" customHeight="1" spans="16:17">
      <c r="P508" s="140" t="s">
        <v>446</v>
      </c>
      <c r="Q508" s="152">
        <v>1</v>
      </c>
    </row>
    <row r="509" customHeight="1" spans="16:17">
      <c r="P509" s="140" t="s">
        <v>446</v>
      </c>
      <c r="Q509" s="152">
        <v>1</v>
      </c>
    </row>
    <row r="510" customHeight="1" spans="16:17">
      <c r="P510" s="140" t="s">
        <v>446</v>
      </c>
      <c r="Q510" s="152">
        <v>1</v>
      </c>
    </row>
    <row r="511" customHeight="1" spans="16:17">
      <c r="P511" s="140" t="s">
        <v>446</v>
      </c>
      <c r="Q511" s="152">
        <v>1</v>
      </c>
    </row>
    <row r="512" customHeight="1" spans="16:17">
      <c r="P512" s="140" t="s">
        <v>446</v>
      </c>
      <c r="Q512" s="152">
        <v>1</v>
      </c>
    </row>
    <row r="513" customHeight="1" spans="16:17">
      <c r="P513" s="140" t="s">
        <v>446</v>
      </c>
      <c r="Q513" s="152">
        <v>1</v>
      </c>
    </row>
    <row r="514" customHeight="1" spans="16:17">
      <c r="P514" s="140" t="s">
        <v>446</v>
      </c>
      <c r="Q514" s="152">
        <v>1</v>
      </c>
    </row>
    <row r="515" customHeight="1" spans="16:17">
      <c r="P515" s="140" t="s">
        <v>446</v>
      </c>
      <c r="Q515" s="152">
        <v>1</v>
      </c>
    </row>
    <row r="516" customHeight="1" spans="16:17">
      <c r="P516" s="140" t="s">
        <v>446</v>
      </c>
      <c r="Q516" s="152">
        <v>1</v>
      </c>
    </row>
    <row r="517" customHeight="1" spans="16:17">
      <c r="P517" s="140" t="s">
        <v>446</v>
      </c>
      <c r="Q517" s="152">
        <v>1</v>
      </c>
    </row>
    <row r="518" customHeight="1" spans="16:17">
      <c r="P518" s="140" t="s">
        <v>446</v>
      </c>
      <c r="Q518" s="152">
        <v>1</v>
      </c>
    </row>
    <row r="519" customHeight="1" spans="16:17">
      <c r="P519" s="140" t="s">
        <v>451</v>
      </c>
      <c r="Q519" s="152">
        <v>1</v>
      </c>
    </row>
    <row r="520" customHeight="1" spans="16:17">
      <c r="P520" s="140" t="s">
        <v>451</v>
      </c>
      <c r="Q520" s="152">
        <v>1</v>
      </c>
    </row>
    <row r="521" customHeight="1" spans="16:17">
      <c r="P521" s="140" t="s">
        <v>451</v>
      </c>
      <c r="Q521" s="152">
        <v>1</v>
      </c>
    </row>
    <row r="522" customHeight="1" spans="16:17">
      <c r="P522" s="140" t="s">
        <v>451</v>
      </c>
      <c r="Q522" s="152">
        <v>1</v>
      </c>
    </row>
    <row r="523" customHeight="1" spans="16:17">
      <c r="P523" s="140" t="s">
        <v>451</v>
      </c>
      <c r="Q523" s="152">
        <v>1</v>
      </c>
    </row>
    <row r="524" customHeight="1" spans="16:17">
      <c r="P524" s="140" t="s">
        <v>451</v>
      </c>
      <c r="Q524" s="152">
        <v>1</v>
      </c>
    </row>
    <row r="525" customHeight="1" spans="16:17">
      <c r="P525" s="140" t="s">
        <v>451</v>
      </c>
      <c r="Q525" s="152">
        <v>1</v>
      </c>
    </row>
    <row r="526" customHeight="1" spans="16:17">
      <c r="P526" s="140" t="s">
        <v>451</v>
      </c>
      <c r="Q526" s="152">
        <v>1</v>
      </c>
    </row>
    <row r="527" customHeight="1" spans="16:17">
      <c r="P527" s="140" t="s">
        <v>451</v>
      </c>
      <c r="Q527" s="152">
        <v>1</v>
      </c>
    </row>
    <row r="528" customHeight="1" spans="16:17">
      <c r="P528" s="140" t="s">
        <v>451</v>
      </c>
      <c r="Q528" s="152">
        <v>1</v>
      </c>
    </row>
    <row r="529" customHeight="1" spans="16:17">
      <c r="P529" s="140" t="s">
        <v>451</v>
      </c>
      <c r="Q529" s="152">
        <v>1</v>
      </c>
    </row>
    <row r="530" customHeight="1" spans="16:17">
      <c r="P530" s="140" t="s">
        <v>457</v>
      </c>
      <c r="Q530" s="152">
        <v>1</v>
      </c>
    </row>
    <row r="531" customHeight="1" spans="16:17">
      <c r="P531" s="140" t="s">
        <v>457</v>
      </c>
      <c r="Q531" s="152">
        <v>1</v>
      </c>
    </row>
    <row r="532" customHeight="1" spans="16:17">
      <c r="P532" s="140" t="s">
        <v>457</v>
      </c>
      <c r="Q532" s="152">
        <v>1</v>
      </c>
    </row>
    <row r="533" customHeight="1" spans="16:17">
      <c r="P533" s="140" t="s">
        <v>457</v>
      </c>
      <c r="Q533" s="152">
        <v>1</v>
      </c>
    </row>
    <row r="534" customHeight="1" spans="16:17">
      <c r="P534" s="140" t="s">
        <v>457</v>
      </c>
      <c r="Q534" s="152">
        <v>1</v>
      </c>
    </row>
    <row r="535" customHeight="1" spans="16:17">
      <c r="P535" s="140" t="s">
        <v>457</v>
      </c>
      <c r="Q535" s="152">
        <v>1</v>
      </c>
    </row>
    <row r="536" customHeight="1" spans="16:17">
      <c r="P536" s="140" t="s">
        <v>457</v>
      </c>
      <c r="Q536" s="152">
        <v>1</v>
      </c>
    </row>
    <row r="537" customHeight="1" spans="16:17">
      <c r="P537" s="140" t="s">
        <v>457</v>
      </c>
      <c r="Q537" s="152">
        <v>1</v>
      </c>
    </row>
    <row r="538" customHeight="1" spans="16:17">
      <c r="P538" s="140" t="s">
        <v>457</v>
      </c>
      <c r="Q538" s="152">
        <v>1</v>
      </c>
    </row>
    <row r="539" customHeight="1" spans="16:17">
      <c r="P539" s="140" t="s">
        <v>457</v>
      </c>
      <c r="Q539" s="152">
        <v>1</v>
      </c>
    </row>
    <row r="540" customHeight="1" spans="16:17">
      <c r="P540" s="140" t="s">
        <v>457</v>
      </c>
      <c r="Q540" s="152">
        <v>1</v>
      </c>
    </row>
    <row r="541" customHeight="1" spans="16:17">
      <c r="P541" s="140" t="s">
        <v>460</v>
      </c>
      <c r="Q541" s="152">
        <v>1</v>
      </c>
    </row>
    <row r="542" customHeight="1" spans="16:17">
      <c r="P542" s="140" t="s">
        <v>460</v>
      </c>
      <c r="Q542" s="152">
        <v>1</v>
      </c>
    </row>
    <row r="543" customHeight="1" spans="16:17">
      <c r="P543" s="140" t="s">
        <v>460</v>
      </c>
      <c r="Q543" s="152">
        <v>1</v>
      </c>
    </row>
    <row r="544" customHeight="1" spans="16:17">
      <c r="P544" s="140" t="s">
        <v>460</v>
      </c>
      <c r="Q544" s="152">
        <v>1</v>
      </c>
    </row>
    <row r="545" customHeight="1" spans="16:17">
      <c r="P545" s="140" t="s">
        <v>460</v>
      </c>
      <c r="Q545" s="152">
        <v>1</v>
      </c>
    </row>
    <row r="546" customHeight="1" spans="16:17">
      <c r="P546" s="140" t="s">
        <v>460</v>
      </c>
      <c r="Q546" s="152">
        <v>1</v>
      </c>
    </row>
    <row r="547" customHeight="1" spans="16:17">
      <c r="P547" s="140" t="s">
        <v>460</v>
      </c>
      <c r="Q547" s="152">
        <v>1</v>
      </c>
    </row>
    <row r="548" customHeight="1" spans="16:17">
      <c r="P548" s="140" t="s">
        <v>463</v>
      </c>
      <c r="Q548" s="152">
        <v>1</v>
      </c>
    </row>
    <row r="549" customHeight="1" spans="16:17">
      <c r="P549" s="140" t="s">
        <v>463</v>
      </c>
      <c r="Q549" s="152">
        <v>1</v>
      </c>
    </row>
    <row r="550" customHeight="1" spans="16:17">
      <c r="P550" s="140" t="s">
        <v>463</v>
      </c>
      <c r="Q550" s="152">
        <v>1</v>
      </c>
    </row>
    <row r="551" customHeight="1" spans="16:17">
      <c r="P551" s="140" t="s">
        <v>463</v>
      </c>
      <c r="Q551" s="152">
        <v>1</v>
      </c>
    </row>
    <row r="552" customHeight="1" spans="16:17">
      <c r="P552" s="140" t="s">
        <v>463</v>
      </c>
      <c r="Q552" s="152">
        <v>0.5</v>
      </c>
    </row>
    <row r="553" customHeight="1" spans="16:17">
      <c r="P553" s="140" t="s">
        <v>463</v>
      </c>
      <c r="Q553" s="152">
        <v>1</v>
      </c>
    </row>
    <row r="554" customHeight="1" spans="16:17">
      <c r="P554" s="140" t="s">
        <v>463</v>
      </c>
      <c r="Q554" s="152">
        <v>1</v>
      </c>
    </row>
    <row r="555" customHeight="1" spans="16:17">
      <c r="P555" s="140" t="s">
        <v>466</v>
      </c>
      <c r="Q555" s="152">
        <v>1</v>
      </c>
    </row>
    <row r="556" customHeight="1" spans="16:17">
      <c r="P556" s="140" t="s">
        <v>466</v>
      </c>
      <c r="Q556" s="152">
        <v>1</v>
      </c>
    </row>
    <row r="557" customHeight="1" spans="16:17">
      <c r="P557" s="140" t="s">
        <v>466</v>
      </c>
      <c r="Q557" s="152">
        <v>1</v>
      </c>
    </row>
    <row r="558" customHeight="1" spans="16:17">
      <c r="P558" s="140" t="s">
        <v>466</v>
      </c>
      <c r="Q558" s="152">
        <v>1</v>
      </c>
    </row>
    <row r="559" customHeight="1" spans="16:17">
      <c r="P559" s="140" t="s">
        <v>466</v>
      </c>
      <c r="Q559" s="152">
        <v>1</v>
      </c>
    </row>
    <row r="560" customHeight="1" spans="16:17">
      <c r="P560" s="140" t="s">
        <v>466</v>
      </c>
      <c r="Q560" s="152">
        <v>1</v>
      </c>
    </row>
    <row r="561" customHeight="1" spans="16:17">
      <c r="P561" s="140" t="s">
        <v>466</v>
      </c>
      <c r="Q561" s="152">
        <v>1</v>
      </c>
    </row>
    <row r="562" customHeight="1" spans="16:17">
      <c r="P562" s="140" t="s">
        <v>468</v>
      </c>
      <c r="Q562" s="152">
        <v>1</v>
      </c>
    </row>
    <row r="563" customHeight="1" spans="16:17">
      <c r="P563" s="140" t="s">
        <v>468</v>
      </c>
      <c r="Q563" s="152">
        <v>1</v>
      </c>
    </row>
    <row r="564" customHeight="1" spans="16:17">
      <c r="P564" s="140" t="s">
        <v>468</v>
      </c>
      <c r="Q564" s="152">
        <v>1</v>
      </c>
    </row>
    <row r="565" customHeight="1" spans="16:17">
      <c r="P565" s="140" t="s">
        <v>468</v>
      </c>
      <c r="Q565" s="152">
        <v>1</v>
      </c>
    </row>
    <row r="566" customHeight="1" spans="16:17">
      <c r="P566" s="140" t="s">
        <v>468</v>
      </c>
      <c r="Q566" s="152">
        <v>1</v>
      </c>
    </row>
    <row r="567" customHeight="1" spans="16:17">
      <c r="P567" s="140" t="s">
        <v>468</v>
      </c>
      <c r="Q567" s="152">
        <v>1</v>
      </c>
    </row>
    <row r="568" customHeight="1" spans="16:17">
      <c r="P568" s="140" t="s">
        <v>468</v>
      </c>
      <c r="Q568" s="152">
        <v>1</v>
      </c>
    </row>
    <row r="569" customHeight="1" spans="16:17">
      <c r="P569" s="140" t="s">
        <v>469</v>
      </c>
      <c r="Q569" s="152">
        <v>1</v>
      </c>
    </row>
    <row r="570" customHeight="1" spans="16:17">
      <c r="P570" s="140" t="s">
        <v>469</v>
      </c>
      <c r="Q570" s="152">
        <v>1</v>
      </c>
    </row>
    <row r="571" customHeight="1" spans="16:17">
      <c r="P571" s="140" t="s">
        <v>469</v>
      </c>
      <c r="Q571" s="152">
        <v>1</v>
      </c>
    </row>
    <row r="572" customHeight="1" spans="16:17">
      <c r="P572" s="140" t="s">
        <v>469</v>
      </c>
      <c r="Q572" s="152">
        <v>1</v>
      </c>
    </row>
    <row r="573" customHeight="1" spans="16:17">
      <c r="P573" s="140" t="s">
        <v>469</v>
      </c>
      <c r="Q573" s="152">
        <v>1</v>
      </c>
    </row>
    <row r="574" customHeight="1" spans="16:17">
      <c r="P574" s="140" t="s">
        <v>469</v>
      </c>
      <c r="Q574" s="152">
        <v>1</v>
      </c>
    </row>
    <row r="575" customHeight="1" spans="16:17">
      <c r="P575" s="140" t="s">
        <v>469</v>
      </c>
      <c r="Q575" s="152">
        <v>1</v>
      </c>
    </row>
    <row r="576" customHeight="1" spans="16:17">
      <c r="P576" s="140" t="s">
        <v>469</v>
      </c>
      <c r="Q576" s="152">
        <v>1</v>
      </c>
    </row>
    <row r="577" customHeight="1" spans="16:17">
      <c r="P577" s="140" t="s">
        <v>470</v>
      </c>
      <c r="Q577" s="152">
        <v>1</v>
      </c>
    </row>
    <row r="578" customHeight="1" spans="16:17">
      <c r="P578" s="140" t="s">
        <v>470</v>
      </c>
      <c r="Q578" s="152">
        <v>1</v>
      </c>
    </row>
    <row r="579" customHeight="1" spans="16:17">
      <c r="P579" s="140" t="s">
        <v>470</v>
      </c>
      <c r="Q579" s="152">
        <v>1</v>
      </c>
    </row>
    <row r="580" customHeight="1" spans="16:17">
      <c r="P580" s="140" t="s">
        <v>470</v>
      </c>
      <c r="Q580" s="152">
        <v>1</v>
      </c>
    </row>
    <row r="581" customHeight="1" spans="16:17">
      <c r="P581" s="140" t="s">
        <v>470</v>
      </c>
      <c r="Q581" s="152">
        <v>1</v>
      </c>
    </row>
    <row r="582" customHeight="1" spans="16:17">
      <c r="P582" s="140" t="s">
        <v>470</v>
      </c>
      <c r="Q582" s="152">
        <v>1</v>
      </c>
    </row>
    <row r="583" customHeight="1" spans="16:17">
      <c r="P583" s="140" t="s">
        <v>470</v>
      </c>
      <c r="Q583" s="152">
        <v>1</v>
      </c>
    </row>
    <row r="584" customHeight="1" spans="16:17">
      <c r="P584" s="140" t="s">
        <v>471</v>
      </c>
      <c r="Q584" s="152">
        <v>1</v>
      </c>
    </row>
    <row r="585" customHeight="1" spans="16:17">
      <c r="P585" s="140" t="s">
        <v>471</v>
      </c>
      <c r="Q585" s="152">
        <v>1</v>
      </c>
    </row>
    <row r="586" customHeight="1" spans="16:17">
      <c r="P586" s="140" t="s">
        <v>471</v>
      </c>
      <c r="Q586" s="152">
        <v>0.5</v>
      </c>
    </row>
    <row r="587" customHeight="1" spans="16:17">
      <c r="P587" s="140" t="s">
        <v>471</v>
      </c>
      <c r="Q587" s="152">
        <v>1</v>
      </c>
    </row>
    <row r="588" customHeight="1" spans="16:17">
      <c r="P588" s="140" t="s">
        <v>471</v>
      </c>
      <c r="Q588" s="152">
        <v>1</v>
      </c>
    </row>
    <row r="589" customHeight="1" spans="16:17">
      <c r="P589" s="140" t="s">
        <v>471</v>
      </c>
      <c r="Q589" s="152">
        <v>1</v>
      </c>
    </row>
    <row r="590" customHeight="1" spans="16:17">
      <c r="P590" s="140" t="s">
        <v>471</v>
      </c>
      <c r="Q590" s="152">
        <v>1</v>
      </c>
    </row>
    <row r="591" customHeight="1" spans="16:17">
      <c r="P591" s="140" t="s">
        <v>471</v>
      </c>
      <c r="Q591" s="152">
        <v>1</v>
      </c>
    </row>
    <row r="592" customHeight="1" spans="16:17">
      <c r="P592" s="140" t="s">
        <v>476</v>
      </c>
      <c r="Q592" s="152">
        <v>1</v>
      </c>
    </row>
    <row r="593" customHeight="1" spans="16:17">
      <c r="P593" s="140" t="s">
        <v>476</v>
      </c>
      <c r="Q593" s="152">
        <v>1</v>
      </c>
    </row>
    <row r="594" customHeight="1" spans="16:17">
      <c r="P594" s="140" t="s">
        <v>476</v>
      </c>
      <c r="Q594" s="152">
        <v>1</v>
      </c>
    </row>
    <row r="595" customHeight="1" spans="16:17">
      <c r="P595" s="140" t="s">
        <v>476</v>
      </c>
      <c r="Q595" s="152">
        <v>1</v>
      </c>
    </row>
    <row r="596" customHeight="1" spans="16:17">
      <c r="P596" s="140" t="s">
        <v>476</v>
      </c>
      <c r="Q596" s="152">
        <v>1</v>
      </c>
    </row>
    <row r="597" customHeight="1" spans="16:17">
      <c r="P597" s="140" t="s">
        <v>476</v>
      </c>
      <c r="Q597" s="152">
        <v>1</v>
      </c>
    </row>
    <row r="598" customHeight="1" spans="16:17">
      <c r="P598" s="140" t="s">
        <v>476</v>
      </c>
      <c r="Q598" s="152">
        <v>1</v>
      </c>
    </row>
    <row r="599" customHeight="1" spans="16:17">
      <c r="P599" s="140" t="s">
        <v>476</v>
      </c>
      <c r="Q599" s="152">
        <v>1</v>
      </c>
    </row>
    <row r="600" customHeight="1" spans="16:17">
      <c r="P600" s="140" t="s">
        <v>476</v>
      </c>
      <c r="Q600" s="152">
        <v>1</v>
      </c>
    </row>
    <row r="601" customHeight="1" spans="16:17">
      <c r="P601" s="140" t="s">
        <v>478</v>
      </c>
      <c r="Q601" s="152">
        <v>1</v>
      </c>
    </row>
    <row r="602" customHeight="1" spans="16:17">
      <c r="P602" s="140" t="s">
        <v>478</v>
      </c>
      <c r="Q602" s="152">
        <v>1</v>
      </c>
    </row>
    <row r="603" customHeight="1" spans="16:17">
      <c r="P603" s="140" t="s">
        <v>478</v>
      </c>
      <c r="Q603" s="152">
        <v>1</v>
      </c>
    </row>
    <row r="604" customHeight="1" spans="16:17">
      <c r="P604" s="140" t="s">
        <v>478</v>
      </c>
      <c r="Q604" s="152">
        <v>1</v>
      </c>
    </row>
    <row r="605" customHeight="1" spans="16:17">
      <c r="P605" s="140" t="s">
        <v>478</v>
      </c>
      <c r="Q605" s="152">
        <v>1</v>
      </c>
    </row>
    <row r="606" customHeight="1" spans="16:17">
      <c r="P606" s="140" t="s">
        <v>478</v>
      </c>
      <c r="Q606" s="152">
        <v>1</v>
      </c>
    </row>
    <row r="607" customHeight="1" spans="16:17">
      <c r="P607" s="140" t="s">
        <v>479</v>
      </c>
      <c r="Q607" s="152">
        <v>1</v>
      </c>
    </row>
    <row r="608" customHeight="1" spans="16:17">
      <c r="P608" s="140" t="s">
        <v>479</v>
      </c>
      <c r="Q608" s="152">
        <v>1</v>
      </c>
    </row>
    <row r="609" customHeight="1" spans="16:17">
      <c r="P609" s="140" t="s">
        <v>479</v>
      </c>
      <c r="Q609" s="152">
        <v>1</v>
      </c>
    </row>
    <row r="610" customHeight="1" spans="16:17">
      <c r="P610" s="140" t="s">
        <v>479</v>
      </c>
      <c r="Q610" s="152">
        <v>1</v>
      </c>
    </row>
    <row r="611" customHeight="1" spans="16:17">
      <c r="P611" s="140" t="s">
        <v>479</v>
      </c>
      <c r="Q611" s="152">
        <v>1</v>
      </c>
    </row>
    <row r="612" customHeight="1" spans="16:17">
      <c r="P612" s="140" t="s">
        <v>479</v>
      </c>
      <c r="Q612" s="152">
        <v>1</v>
      </c>
    </row>
    <row r="613" customHeight="1" spans="16:17">
      <c r="P613" s="140" t="s">
        <v>479</v>
      </c>
      <c r="Q613" s="152">
        <v>1</v>
      </c>
    </row>
    <row r="614" customHeight="1" spans="16:17">
      <c r="P614" s="140" t="s">
        <v>480</v>
      </c>
      <c r="Q614" s="152">
        <v>1</v>
      </c>
    </row>
    <row r="615" customHeight="1" spans="16:17">
      <c r="P615" s="140" t="s">
        <v>480</v>
      </c>
      <c r="Q615" s="152">
        <v>1</v>
      </c>
    </row>
    <row r="616" customHeight="1" spans="16:17">
      <c r="P616" s="140" t="s">
        <v>480</v>
      </c>
      <c r="Q616" s="152">
        <v>1</v>
      </c>
    </row>
    <row r="617" customHeight="1" spans="16:17">
      <c r="P617" s="140" t="s">
        <v>480</v>
      </c>
      <c r="Q617" s="152">
        <v>1</v>
      </c>
    </row>
    <row r="618" customHeight="1" spans="16:17">
      <c r="P618" s="140" t="s">
        <v>480</v>
      </c>
      <c r="Q618" s="152">
        <v>1</v>
      </c>
    </row>
    <row r="619" customHeight="1" spans="16:17">
      <c r="P619" s="140" t="s">
        <v>480</v>
      </c>
      <c r="Q619" s="152">
        <v>1</v>
      </c>
    </row>
    <row r="620" customHeight="1" spans="16:17">
      <c r="P620" s="140" t="s">
        <v>480</v>
      </c>
      <c r="Q620" s="152">
        <v>1</v>
      </c>
    </row>
    <row r="621" customHeight="1" spans="16:17">
      <c r="P621" s="140" t="s">
        <v>480</v>
      </c>
      <c r="Q621" s="152">
        <v>1</v>
      </c>
    </row>
    <row r="622" customHeight="1" spans="16:17">
      <c r="P622" s="140" t="s">
        <v>480</v>
      </c>
      <c r="Q622" s="152">
        <v>1</v>
      </c>
    </row>
    <row r="623" customHeight="1" spans="16:17">
      <c r="P623" s="140" t="s">
        <v>484</v>
      </c>
      <c r="Q623" s="152">
        <v>1</v>
      </c>
    </row>
    <row r="624" customHeight="1" spans="16:17">
      <c r="P624" s="140" t="s">
        <v>484</v>
      </c>
      <c r="Q624" s="152">
        <v>1</v>
      </c>
    </row>
    <row r="625" customHeight="1" spans="16:17">
      <c r="P625" s="140" t="s">
        <v>484</v>
      </c>
      <c r="Q625" s="152">
        <v>1</v>
      </c>
    </row>
    <row r="626" customHeight="1" spans="16:17">
      <c r="P626" s="140" t="s">
        <v>484</v>
      </c>
      <c r="Q626" s="152">
        <v>1</v>
      </c>
    </row>
    <row r="627" customHeight="1" spans="16:17">
      <c r="P627" s="140" t="s">
        <v>484</v>
      </c>
      <c r="Q627" s="152">
        <v>1</v>
      </c>
    </row>
    <row r="628" customHeight="1" spans="16:17">
      <c r="P628" s="140" t="s">
        <v>484</v>
      </c>
      <c r="Q628" s="152">
        <v>1</v>
      </c>
    </row>
    <row r="629" customHeight="1" spans="16:17">
      <c r="P629" s="140" t="s">
        <v>484</v>
      </c>
      <c r="Q629" s="152">
        <v>1</v>
      </c>
    </row>
    <row r="630" customHeight="1" spans="16:17">
      <c r="P630" s="140" t="s">
        <v>485</v>
      </c>
      <c r="Q630" s="152">
        <v>1</v>
      </c>
    </row>
    <row r="631" customHeight="1" spans="16:17">
      <c r="P631" s="140" t="s">
        <v>485</v>
      </c>
      <c r="Q631" s="152">
        <v>1</v>
      </c>
    </row>
    <row r="632" customHeight="1" spans="16:17">
      <c r="P632" s="140" t="s">
        <v>485</v>
      </c>
      <c r="Q632" s="152">
        <v>1</v>
      </c>
    </row>
    <row r="633" customHeight="1" spans="16:17">
      <c r="P633" s="140" t="s">
        <v>485</v>
      </c>
      <c r="Q633" s="152">
        <v>1</v>
      </c>
    </row>
    <row r="634" customHeight="1" spans="16:17">
      <c r="P634" s="140" t="s">
        <v>485</v>
      </c>
      <c r="Q634" s="152">
        <v>1</v>
      </c>
    </row>
    <row r="635" customHeight="1" spans="16:17">
      <c r="P635" s="140" t="s">
        <v>485</v>
      </c>
      <c r="Q635" s="152">
        <v>1</v>
      </c>
    </row>
    <row r="636" customHeight="1" spans="16:17">
      <c r="P636" s="140" t="s">
        <v>486</v>
      </c>
      <c r="Q636" s="152">
        <v>1</v>
      </c>
    </row>
    <row r="637" customHeight="1" spans="16:17">
      <c r="P637" s="140" t="s">
        <v>486</v>
      </c>
      <c r="Q637" s="152">
        <v>1</v>
      </c>
    </row>
    <row r="638" customHeight="1" spans="16:17">
      <c r="P638" s="140" t="s">
        <v>486</v>
      </c>
      <c r="Q638" s="152">
        <v>1</v>
      </c>
    </row>
    <row r="639" customHeight="1" spans="16:17">
      <c r="P639" s="140" t="s">
        <v>486</v>
      </c>
      <c r="Q639" s="152">
        <v>1</v>
      </c>
    </row>
    <row r="640" customHeight="1" spans="16:17">
      <c r="P640" s="140" t="s">
        <v>486</v>
      </c>
      <c r="Q640" s="152">
        <v>1</v>
      </c>
    </row>
    <row r="641" customHeight="1" spans="16:17">
      <c r="P641" s="140" t="s">
        <v>486</v>
      </c>
      <c r="Q641" s="152">
        <v>1</v>
      </c>
    </row>
    <row r="642" customHeight="1" spans="16:17">
      <c r="P642" s="140" t="s">
        <v>488</v>
      </c>
      <c r="Q642" s="152">
        <v>1</v>
      </c>
    </row>
    <row r="643" customHeight="1" spans="16:17">
      <c r="P643" s="140" t="s">
        <v>488</v>
      </c>
      <c r="Q643" s="152">
        <v>1</v>
      </c>
    </row>
    <row r="644" customHeight="1" spans="16:17">
      <c r="P644" s="140" t="s">
        <v>488</v>
      </c>
      <c r="Q644" s="152">
        <v>1</v>
      </c>
    </row>
    <row r="645" customHeight="1" spans="16:17">
      <c r="P645" s="140" t="s">
        <v>488</v>
      </c>
      <c r="Q645" s="152">
        <v>1</v>
      </c>
    </row>
    <row r="646" customHeight="1" spans="16:17">
      <c r="P646" s="140" t="s">
        <v>488</v>
      </c>
      <c r="Q646" s="152">
        <v>1</v>
      </c>
    </row>
    <row r="647" customHeight="1" spans="16:17">
      <c r="P647" s="140" t="s">
        <v>488</v>
      </c>
      <c r="Q647" s="152">
        <v>1</v>
      </c>
    </row>
    <row r="648" customHeight="1" spans="16:17">
      <c r="P648" s="140" t="s">
        <v>488</v>
      </c>
      <c r="Q648" s="152">
        <v>1</v>
      </c>
    </row>
    <row r="649" customHeight="1" spans="16:17">
      <c r="P649" s="140" t="s">
        <v>490</v>
      </c>
      <c r="Q649" s="152">
        <v>1</v>
      </c>
    </row>
    <row r="650" customHeight="1" spans="16:17">
      <c r="P650" s="140" t="s">
        <v>490</v>
      </c>
      <c r="Q650" s="152">
        <v>1</v>
      </c>
    </row>
    <row r="651" customHeight="1" spans="16:17">
      <c r="P651" s="140" t="s">
        <v>490</v>
      </c>
      <c r="Q651" s="152">
        <v>1</v>
      </c>
    </row>
    <row r="652" customHeight="1" spans="16:17">
      <c r="P652" s="140" t="s">
        <v>490</v>
      </c>
      <c r="Q652" s="152">
        <v>1</v>
      </c>
    </row>
    <row r="653" customHeight="1" spans="16:17">
      <c r="P653" s="140" t="s">
        <v>490</v>
      </c>
      <c r="Q653" s="152">
        <v>1</v>
      </c>
    </row>
    <row r="654" customHeight="1" spans="16:17">
      <c r="P654" s="140" t="s">
        <v>490</v>
      </c>
      <c r="Q654" s="152">
        <v>1</v>
      </c>
    </row>
    <row r="655" customHeight="1" spans="16:17">
      <c r="P655" s="140" t="s">
        <v>490</v>
      </c>
      <c r="Q655" s="152">
        <v>1</v>
      </c>
    </row>
    <row r="656" customHeight="1" spans="16:17">
      <c r="P656" s="140" t="s">
        <v>491</v>
      </c>
      <c r="Q656" s="152">
        <v>1</v>
      </c>
    </row>
    <row r="657" customHeight="1" spans="16:17">
      <c r="P657" s="140" t="s">
        <v>491</v>
      </c>
      <c r="Q657" s="152">
        <v>1</v>
      </c>
    </row>
    <row r="658" customHeight="1" spans="16:17">
      <c r="P658" s="140" t="s">
        <v>495</v>
      </c>
      <c r="Q658" s="152">
        <v>1</v>
      </c>
    </row>
    <row r="659" customHeight="1" spans="16:17">
      <c r="P659" s="140" t="s">
        <v>495</v>
      </c>
      <c r="Q659" s="152">
        <v>1</v>
      </c>
    </row>
    <row r="660" customHeight="1" spans="16:17">
      <c r="P660" s="140" t="s">
        <v>495</v>
      </c>
      <c r="Q660" s="152">
        <v>1</v>
      </c>
    </row>
    <row r="661" customHeight="1" spans="16:17">
      <c r="P661" s="140" t="s">
        <v>495</v>
      </c>
      <c r="Q661" s="152">
        <v>1</v>
      </c>
    </row>
    <row r="662" customHeight="1" spans="16:17">
      <c r="P662" s="140" t="s">
        <v>495</v>
      </c>
      <c r="Q662" s="152">
        <v>1</v>
      </c>
    </row>
    <row r="663" customHeight="1" spans="16:17">
      <c r="P663" s="140" t="s">
        <v>495</v>
      </c>
      <c r="Q663" s="152">
        <v>1</v>
      </c>
    </row>
    <row r="664" customHeight="1" spans="16:17">
      <c r="P664" s="140" t="s">
        <v>495</v>
      </c>
      <c r="Q664" s="152">
        <v>1</v>
      </c>
    </row>
    <row r="665" customHeight="1" spans="16:17">
      <c r="P665" s="140" t="s">
        <v>495</v>
      </c>
      <c r="Q665" s="152">
        <v>1</v>
      </c>
    </row>
    <row r="666" customHeight="1" spans="16:17">
      <c r="P666" s="140" t="s">
        <v>495</v>
      </c>
      <c r="Q666" s="152">
        <v>1</v>
      </c>
    </row>
    <row r="667" customHeight="1" spans="16:17">
      <c r="P667" s="140" t="s">
        <v>495</v>
      </c>
      <c r="Q667" s="152">
        <v>1</v>
      </c>
    </row>
    <row r="668" customHeight="1" spans="16:17">
      <c r="P668" s="140" t="s">
        <v>497</v>
      </c>
      <c r="Q668" s="152">
        <v>1</v>
      </c>
    </row>
    <row r="669" customHeight="1" spans="16:17">
      <c r="P669" s="140" t="s">
        <v>497</v>
      </c>
      <c r="Q669" s="152">
        <v>1</v>
      </c>
    </row>
    <row r="670" customHeight="1" spans="16:17">
      <c r="P670" s="140" t="s">
        <v>497</v>
      </c>
      <c r="Q670" s="152">
        <v>1</v>
      </c>
    </row>
    <row r="671" customHeight="1" spans="16:17">
      <c r="P671" s="140" t="s">
        <v>497</v>
      </c>
      <c r="Q671" s="152">
        <v>1</v>
      </c>
    </row>
    <row r="672" customHeight="1" spans="16:17">
      <c r="P672" s="140" t="s">
        <v>497</v>
      </c>
      <c r="Q672" s="152">
        <v>1</v>
      </c>
    </row>
    <row r="673" customHeight="1" spans="16:17">
      <c r="P673" s="140" t="s">
        <v>497</v>
      </c>
      <c r="Q673" s="152">
        <v>1</v>
      </c>
    </row>
    <row r="674" customHeight="1" spans="16:17">
      <c r="P674" s="140" t="s">
        <v>500</v>
      </c>
      <c r="Q674" s="152">
        <v>1</v>
      </c>
    </row>
    <row r="675" customHeight="1" spans="16:17">
      <c r="P675" s="140" t="s">
        <v>500</v>
      </c>
      <c r="Q675" s="152">
        <v>1</v>
      </c>
    </row>
    <row r="676" customHeight="1" spans="16:17">
      <c r="P676" s="140" t="s">
        <v>500</v>
      </c>
      <c r="Q676" s="152">
        <v>1</v>
      </c>
    </row>
    <row r="677" customHeight="1" spans="16:17">
      <c r="P677" s="140" t="s">
        <v>500</v>
      </c>
      <c r="Q677" s="152">
        <v>1</v>
      </c>
    </row>
    <row r="678" customHeight="1" spans="16:17">
      <c r="P678" s="140" t="s">
        <v>500</v>
      </c>
      <c r="Q678" s="152">
        <v>1</v>
      </c>
    </row>
    <row r="679" customHeight="1" spans="16:17">
      <c r="P679" s="140" t="s">
        <v>500</v>
      </c>
      <c r="Q679" s="152">
        <v>1</v>
      </c>
    </row>
    <row r="680" customHeight="1" spans="16:17">
      <c r="P680" s="140" t="s">
        <v>500</v>
      </c>
      <c r="Q680" s="152">
        <v>1</v>
      </c>
    </row>
    <row r="681" customHeight="1" spans="16:17">
      <c r="P681" s="140" t="s">
        <v>501</v>
      </c>
      <c r="Q681" s="152">
        <v>1</v>
      </c>
    </row>
    <row r="682" customHeight="1" spans="16:17">
      <c r="P682" s="140" t="s">
        <v>501</v>
      </c>
      <c r="Q682" s="152">
        <v>1</v>
      </c>
    </row>
    <row r="683" customHeight="1" spans="16:17">
      <c r="P683" s="140" t="s">
        <v>501</v>
      </c>
      <c r="Q683" s="152">
        <v>1</v>
      </c>
    </row>
    <row r="684" customHeight="1" spans="16:17">
      <c r="P684" s="140" t="s">
        <v>501</v>
      </c>
      <c r="Q684" s="152">
        <v>1</v>
      </c>
    </row>
    <row r="685" customHeight="1" spans="16:17">
      <c r="P685" s="140" t="s">
        <v>501</v>
      </c>
      <c r="Q685" s="152">
        <v>1</v>
      </c>
    </row>
    <row r="686" customHeight="1" spans="16:17">
      <c r="P686" s="140" t="s">
        <v>501</v>
      </c>
      <c r="Q686" s="152">
        <v>1</v>
      </c>
    </row>
    <row r="687" customHeight="1" spans="16:17">
      <c r="P687" s="140" t="s">
        <v>501</v>
      </c>
      <c r="Q687" s="152">
        <v>1</v>
      </c>
    </row>
    <row r="688" customHeight="1" spans="16:17">
      <c r="P688" s="140" t="s">
        <v>501</v>
      </c>
      <c r="Q688" s="152">
        <v>1</v>
      </c>
    </row>
    <row r="689" customHeight="1" spans="16:17">
      <c r="P689" s="140" t="s">
        <v>501</v>
      </c>
      <c r="Q689" s="152">
        <v>1</v>
      </c>
    </row>
    <row r="690" customHeight="1" spans="16:17">
      <c r="P690" s="140" t="s">
        <v>504</v>
      </c>
      <c r="Q690" s="152">
        <v>1</v>
      </c>
    </row>
    <row r="691" customHeight="1" spans="16:17">
      <c r="P691" s="140" t="s">
        <v>504</v>
      </c>
      <c r="Q691" s="152">
        <v>1</v>
      </c>
    </row>
    <row r="692" customHeight="1" spans="16:17">
      <c r="P692" s="140" t="s">
        <v>504</v>
      </c>
      <c r="Q692" s="152">
        <v>1</v>
      </c>
    </row>
    <row r="693" customHeight="1" spans="16:17">
      <c r="P693" s="140" t="s">
        <v>504</v>
      </c>
      <c r="Q693" s="152">
        <v>1</v>
      </c>
    </row>
    <row r="694" customHeight="1" spans="16:17">
      <c r="P694" s="140" t="s">
        <v>504</v>
      </c>
      <c r="Q694" s="152">
        <v>1</v>
      </c>
    </row>
    <row r="695" customHeight="1" spans="16:17">
      <c r="P695" s="140" t="s">
        <v>504</v>
      </c>
      <c r="Q695" s="152">
        <v>1</v>
      </c>
    </row>
    <row r="696" customHeight="1" spans="16:17">
      <c r="P696" s="140" t="s">
        <v>504</v>
      </c>
      <c r="Q696" s="152">
        <v>1</v>
      </c>
    </row>
    <row r="697" customHeight="1" spans="16:17">
      <c r="P697" s="140" t="s">
        <v>504</v>
      </c>
      <c r="Q697" s="152">
        <v>1</v>
      </c>
    </row>
    <row r="698" customHeight="1" spans="16:17">
      <c r="P698" s="140" t="s">
        <v>505</v>
      </c>
      <c r="Q698" s="152">
        <v>1</v>
      </c>
    </row>
    <row r="699" customHeight="1" spans="16:17">
      <c r="P699" s="140" t="s">
        <v>505</v>
      </c>
      <c r="Q699" s="152">
        <v>1</v>
      </c>
    </row>
    <row r="700" customHeight="1" spans="16:17">
      <c r="P700" s="140" t="s">
        <v>505</v>
      </c>
      <c r="Q700" s="152">
        <v>1</v>
      </c>
    </row>
    <row r="701" customHeight="1" spans="16:17">
      <c r="P701" s="140" t="s">
        <v>505</v>
      </c>
      <c r="Q701" s="152">
        <v>1</v>
      </c>
    </row>
    <row r="702" customHeight="1" spans="16:17">
      <c r="P702" s="140" t="s">
        <v>505</v>
      </c>
      <c r="Q702" s="152">
        <v>1</v>
      </c>
    </row>
    <row r="703" customHeight="1" spans="16:17">
      <c r="P703" s="140" t="s">
        <v>505</v>
      </c>
      <c r="Q703" s="152">
        <v>1</v>
      </c>
    </row>
    <row r="704" customHeight="1" spans="16:17">
      <c r="P704" s="140" t="s">
        <v>505</v>
      </c>
      <c r="Q704" s="152">
        <v>1</v>
      </c>
    </row>
    <row r="705" customHeight="1" spans="16:17">
      <c r="P705" s="140" t="s">
        <v>505</v>
      </c>
      <c r="Q705" s="152">
        <v>1</v>
      </c>
    </row>
    <row r="706" customHeight="1" spans="16:17">
      <c r="P706" s="140" t="s">
        <v>505</v>
      </c>
      <c r="Q706" s="152">
        <v>1</v>
      </c>
    </row>
    <row r="707" customHeight="1" spans="16:17">
      <c r="P707" s="140" t="s">
        <v>505</v>
      </c>
      <c r="Q707" s="152">
        <v>1</v>
      </c>
    </row>
    <row r="708" customHeight="1" spans="16:17">
      <c r="P708" s="140" t="s">
        <v>505</v>
      </c>
      <c r="Q708" s="152">
        <v>1</v>
      </c>
    </row>
    <row r="709" customHeight="1" spans="16:17">
      <c r="P709" s="140" t="s">
        <v>512</v>
      </c>
      <c r="Q709" s="152">
        <v>1</v>
      </c>
    </row>
    <row r="710" customHeight="1" spans="16:17">
      <c r="P710" s="140" t="s">
        <v>512</v>
      </c>
      <c r="Q710" s="152">
        <v>1</v>
      </c>
    </row>
    <row r="711" customHeight="1" spans="16:17">
      <c r="P711" s="140" t="s">
        <v>512</v>
      </c>
      <c r="Q711" s="152">
        <v>1</v>
      </c>
    </row>
    <row r="712" customHeight="1" spans="16:17">
      <c r="P712" s="140" t="s">
        <v>512</v>
      </c>
      <c r="Q712" s="152">
        <v>1</v>
      </c>
    </row>
    <row r="713" customHeight="1" spans="16:17">
      <c r="P713" s="140" t="s">
        <v>512</v>
      </c>
      <c r="Q713" s="152">
        <v>1</v>
      </c>
    </row>
    <row r="714" customHeight="1" spans="16:17">
      <c r="P714" s="140" t="s">
        <v>512</v>
      </c>
      <c r="Q714" s="152">
        <v>1</v>
      </c>
    </row>
    <row r="715" customHeight="1" spans="16:17">
      <c r="P715" s="140" t="s">
        <v>512</v>
      </c>
      <c r="Q715" s="152">
        <v>1</v>
      </c>
    </row>
    <row r="716" customHeight="1" spans="16:17">
      <c r="P716" s="140" t="s">
        <v>512</v>
      </c>
      <c r="Q716" s="152">
        <v>1</v>
      </c>
    </row>
    <row r="717" customHeight="1" spans="16:17">
      <c r="P717" s="140" t="s">
        <v>512</v>
      </c>
      <c r="Q717" s="152">
        <v>1</v>
      </c>
    </row>
    <row r="718" customHeight="1" spans="16:17">
      <c r="P718" s="140" t="s">
        <v>515</v>
      </c>
      <c r="Q718" s="152">
        <v>1</v>
      </c>
    </row>
    <row r="719" customHeight="1" spans="16:17">
      <c r="P719" s="140" t="s">
        <v>515</v>
      </c>
      <c r="Q719" s="152">
        <v>1</v>
      </c>
    </row>
    <row r="720" customHeight="1" spans="16:17">
      <c r="P720" s="140" t="s">
        <v>515</v>
      </c>
      <c r="Q720" s="152">
        <v>1</v>
      </c>
    </row>
    <row r="721" customHeight="1" spans="16:17">
      <c r="P721" s="140" t="s">
        <v>515</v>
      </c>
      <c r="Q721" s="152">
        <v>1</v>
      </c>
    </row>
    <row r="722" customHeight="1" spans="16:17">
      <c r="P722" s="140" t="s">
        <v>515</v>
      </c>
      <c r="Q722" s="152">
        <v>1</v>
      </c>
    </row>
    <row r="723" customHeight="1" spans="16:17">
      <c r="P723" s="140" t="s">
        <v>518</v>
      </c>
      <c r="Q723" s="152">
        <v>1</v>
      </c>
    </row>
    <row r="724" customHeight="1" spans="16:17">
      <c r="P724" s="140" t="s">
        <v>518</v>
      </c>
      <c r="Q724" s="152">
        <v>1</v>
      </c>
    </row>
    <row r="725" customHeight="1" spans="16:17">
      <c r="P725" s="140" t="s">
        <v>518</v>
      </c>
      <c r="Q725" s="152">
        <v>1</v>
      </c>
    </row>
    <row r="726" customHeight="1" spans="16:17">
      <c r="P726" s="140" t="s">
        <v>518</v>
      </c>
      <c r="Q726" s="152">
        <v>1</v>
      </c>
    </row>
    <row r="727" customHeight="1" spans="16:17">
      <c r="P727" s="140" t="s">
        <v>518</v>
      </c>
      <c r="Q727" s="152">
        <v>1</v>
      </c>
    </row>
    <row r="728" customHeight="1" spans="16:17">
      <c r="P728" s="140" t="s">
        <v>518</v>
      </c>
      <c r="Q728" s="152">
        <v>1</v>
      </c>
    </row>
    <row r="729" customHeight="1" spans="16:17">
      <c r="P729" s="140" t="s">
        <v>518</v>
      </c>
      <c r="Q729" s="152">
        <v>1</v>
      </c>
    </row>
    <row r="730" customHeight="1" spans="16:17">
      <c r="P730" s="140" t="s">
        <v>520</v>
      </c>
      <c r="Q730" s="152">
        <v>1</v>
      </c>
    </row>
    <row r="731" customHeight="1" spans="16:17">
      <c r="P731" s="140" t="s">
        <v>520</v>
      </c>
      <c r="Q731" s="152">
        <v>1</v>
      </c>
    </row>
    <row r="732" customHeight="1" spans="16:17">
      <c r="P732" s="140" t="s">
        <v>520</v>
      </c>
      <c r="Q732" s="152">
        <v>1</v>
      </c>
    </row>
    <row r="733" customHeight="1" spans="16:17">
      <c r="P733" s="140" t="s">
        <v>520</v>
      </c>
      <c r="Q733" s="152">
        <v>1</v>
      </c>
    </row>
    <row r="734" customHeight="1" spans="16:17">
      <c r="P734" s="140" t="s">
        <v>520</v>
      </c>
      <c r="Q734" s="152">
        <v>1</v>
      </c>
    </row>
    <row r="735" customHeight="1" spans="16:17">
      <c r="P735" s="140" t="s">
        <v>520</v>
      </c>
      <c r="Q735" s="152">
        <v>1</v>
      </c>
    </row>
    <row r="736" customHeight="1" spans="16:17">
      <c r="P736" s="140" t="s">
        <v>520</v>
      </c>
      <c r="Q736" s="152">
        <v>1</v>
      </c>
    </row>
    <row r="737" customHeight="1" spans="16:17">
      <c r="P737" s="140" t="s">
        <v>520</v>
      </c>
      <c r="Q737" s="152">
        <v>1</v>
      </c>
    </row>
    <row r="738" customHeight="1" spans="16:17">
      <c r="P738" s="140" t="s">
        <v>520</v>
      </c>
      <c r="Q738" s="152">
        <v>1</v>
      </c>
    </row>
    <row r="739" customHeight="1" spans="16:17">
      <c r="P739" s="140" t="s">
        <v>520</v>
      </c>
      <c r="Q739" s="152">
        <v>1</v>
      </c>
    </row>
    <row r="740" customHeight="1" spans="16:17">
      <c r="P740" s="140" t="s">
        <v>521</v>
      </c>
      <c r="Q740" s="152">
        <v>1</v>
      </c>
    </row>
    <row r="741" customHeight="1" spans="16:17">
      <c r="P741" s="140" t="s">
        <v>521</v>
      </c>
      <c r="Q741" s="152">
        <v>1</v>
      </c>
    </row>
    <row r="742" customHeight="1" spans="16:17">
      <c r="P742" s="140" t="s">
        <v>521</v>
      </c>
      <c r="Q742" s="152">
        <v>1</v>
      </c>
    </row>
    <row r="743" customHeight="1" spans="16:17">
      <c r="P743" s="140" t="s">
        <v>521</v>
      </c>
      <c r="Q743" s="152">
        <v>1</v>
      </c>
    </row>
    <row r="744" customHeight="1" spans="16:17">
      <c r="P744" s="140" t="s">
        <v>521</v>
      </c>
      <c r="Q744" s="152">
        <v>1</v>
      </c>
    </row>
    <row r="745" customHeight="1" spans="16:17">
      <c r="P745" s="140" t="s">
        <v>521</v>
      </c>
      <c r="Q745" s="152">
        <v>1</v>
      </c>
    </row>
    <row r="746" customHeight="1" spans="16:17">
      <c r="P746" s="140" t="s">
        <v>521</v>
      </c>
      <c r="Q746" s="152">
        <v>1</v>
      </c>
    </row>
    <row r="747" customHeight="1" spans="16:17">
      <c r="P747" s="140" t="s">
        <v>521</v>
      </c>
      <c r="Q747" s="152">
        <v>1</v>
      </c>
    </row>
    <row r="748" customHeight="1" spans="16:17">
      <c r="P748" s="140" t="s">
        <v>521</v>
      </c>
      <c r="Q748" s="152">
        <v>1</v>
      </c>
    </row>
    <row r="749" customHeight="1" spans="16:17">
      <c r="P749" s="140" t="s">
        <v>523</v>
      </c>
      <c r="Q749" s="152">
        <v>1</v>
      </c>
    </row>
    <row r="750" customHeight="1" spans="16:17">
      <c r="P750" s="140" t="s">
        <v>523</v>
      </c>
      <c r="Q750" s="152">
        <v>1</v>
      </c>
    </row>
    <row r="751" customHeight="1" spans="16:17">
      <c r="P751" s="140" t="s">
        <v>523</v>
      </c>
      <c r="Q751" s="152">
        <v>1</v>
      </c>
    </row>
    <row r="752" customHeight="1" spans="16:17">
      <c r="P752" s="140" t="s">
        <v>523</v>
      </c>
      <c r="Q752" s="152">
        <v>1</v>
      </c>
    </row>
    <row r="753" customHeight="1" spans="16:17">
      <c r="P753" s="140" t="s">
        <v>523</v>
      </c>
      <c r="Q753" s="152">
        <v>1</v>
      </c>
    </row>
    <row r="754" customHeight="1" spans="16:17">
      <c r="P754" s="140" t="s">
        <v>523</v>
      </c>
      <c r="Q754" s="152">
        <v>1</v>
      </c>
    </row>
    <row r="755" customHeight="1" spans="16:17">
      <c r="P755" s="140" t="s">
        <v>523</v>
      </c>
      <c r="Q755" s="152">
        <v>1</v>
      </c>
    </row>
    <row r="756" customHeight="1" spans="16:17">
      <c r="P756" s="140" t="s">
        <v>524</v>
      </c>
      <c r="Q756" s="152">
        <v>1</v>
      </c>
    </row>
    <row r="757" customHeight="1" spans="16:17">
      <c r="P757" s="140" t="s">
        <v>524</v>
      </c>
      <c r="Q757" s="152">
        <v>1</v>
      </c>
    </row>
    <row r="758" customHeight="1" spans="16:17">
      <c r="P758" s="140" t="s">
        <v>524</v>
      </c>
      <c r="Q758" s="152">
        <v>1</v>
      </c>
    </row>
    <row r="759" customHeight="1" spans="16:17">
      <c r="P759" s="140" t="s">
        <v>524</v>
      </c>
      <c r="Q759" s="152">
        <v>1</v>
      </c>
    </row>
    <row r="760" customHeight="1" spans="16:17">
      <c r="P760" s="140" t="s">
        <v>524</v>
      </c>
      <c r="Q760" s="152">
        <v>1</v>
      </c>
    </row>
    <row r="761" customHeight="1" spans="16:17">
      <c r="P761" s="140" t="s">
        <v>524</v>
      </c>
      <c r="Q761" s="152">
        <v>1</v>
      </c>
    </row>
    <row r="762" customHeight="1" spans="16:17">
      <c r="P762" s="140" t="s">
        <v>524</v>
      </c>
      <c r="Q762" s="152">
        <v>1</v>
      </c>
    </row>
    <row r="763" customHeight="1" spans="16:17">
      <c r="P763" s="140" t="s">
        <v>524</v>
      </c>
      <c r="Q763" s="152">
        <v>1</v>
      </c>
    </row>
    <row r="764" customHeight="1" spans="16:17">
      <c r="P764" s="140" t="s">
        <v>524</v>
      </c>
      <c r="Q764" s="152">
        <v>1</v>
      </c>
    </row>
    <row r="765" customHeight="1" spans="16:17">
      <c r="P765" s="140" t="s">
        <v>524</v>
      </c>
      <c r="Q765" s="152">
        <v>1</v>
      </c>
    </row>
    <row r="766" customHeight="1" spans="16:17">
      <c r="P766" s="140" t="s">
        <v>524</v>
      </c>
      <c r="Q766" s="152">
        <v>1</v>
      </c>
    </row>
    <row r="767" customHeight="1" spans="16:17">
      <c r="P767" s="140" t="s">
        <v>527</v>
      </c>
      <c r="Q767" s="152">
        <v>1</v>
      </c>
    </row>
    <row r="768" customHeight="1" spans="16:17">
      <c r="P768" s="140" t="s">
        <v>527</v>
      </c>
      <c r="Q768" s="152">
        <v>1</v>
      </c>
    </row>
    <row r="769" customHeight="1" spans="16:17">
      <c r="P769" s="140" t="s">
        <v>527</v>
      </c>
      <c r="Q769" s="152">
        <v>1</v>
      </c>
    </row>
    <row r="770" customHeight="1" spans="16:17">
      <c r="P770" s="140" t="s">
        <v>527</v>
      </c>
      <c r="Q770" s="152">
        <v>1</v>
      </c>
    </row>
    <row r="771" customHeight="1" spans="16:17">
      <c r="P771" s="140" t="s">
        <v>527</v>
      </c>
      <c r="Q771" s="152">
        <v>1</v>
      </c>
    </row>
    <row r="772" customHeight="1" spans="16:17">
      <c r="P772" s="140" t="s">
        <v>527</v>
      </c>
      <c r="Q772" s="152">
        <v>1</v>
      </c>
    </row>
    <row r="773" customHeight="1" spans="16:17">
      <c r="P773" s="140" t="s">
        <v>527</v>
      </c>
      <c r="Q773" s="152">
        <v>1</v>
      </c>
    </row>
    <row r="774" customHeight="1" spans="16:17">
      <c r="P774" s="140" t="s">
        <v>529</v>
      </c>
      <c r="Q774" s="152">
        <v>1</v>
      </c>
    </row>
    <row r="775" customHeight="1" spans="16:17">
      <c r="P775" s="140" t="s">
        <v>529</v>
      </c>
      <c r="Q775" s="152">
        <v>1</v>
      </c>
    </row>
    <row r="776" customHeight="1" spans="16:17">
      <c r="P776" s="140" t="s">
        <v>529</v>
      </c>
      <c r="Q776" s="152">
        <v>1</v>
      </c>
    </row>
    <row r="777" customHeight="1" spans="16:17">
      <c r="P777" s="140" t="s">
        <v>529</v>
      </c>
      <c r="Q777" s="152">
        <v>1</v>
      </c>
    </row>
    <row r="778" customHeight="1" spans="16:17">
      <c r="P778" s="140" t="s">
        <v>529</v>
      </c>
      <c r="Q778" s="152">
        <v>1</v>
      </c>
    </row>
    <row r="779" customHeight="1" spans="16:17">
      <c r="P779" s="140" t="s">
        <v>529</v>
      </c>
      <c r="Q779" s="152">
        <v>1</v>
      </c>
    </row>
    <row r="780" customHeight="1" spans="16:17">
      <c r="P780" s="140" t="s">
        <v>529</v>
      </c>
      <c r="Q780" s="152">
        <v>1</v>
      </c>
    </row>
    <row r="781" customHeight="1" spans="16:17">
      <c r="P781" s="140" t="s">
        <v>529</v>
      </c>
      <c r="Q781" s="152">
        <v>1</v>
      </c>
    </row>
    <row r="782" customHeight="1" spans="16:17">
      <c r="P782" s="140" t="s">
        <v>530</v>
      </c>
      <c r="Q782" s="152">
        <v>1</v>
      </c>
    </row>
    <row r="783" customHeight="1" spans="16:17">
      <c r="P783" s="140" t="s">
        <v>530</v>
      </c>
      <c r="Q783" s="152">
        <v>1</v>
      </c>
    </row>
    <row r="784" customHeight="1" spans="16:17">
      <c r="P784" s="140" t="s">
        <v>530</v>
      </c>
      <c r="Q784" s="152">
        <v>1</v>
      </c>
    </row>
    <row r="785" customHeight="1" spans="16:17">
      <c r="P785" s="140" t="s">
        <v>530</v>
      </c>
      <c r="Q785" s="152">
        <v>1</v>
      </c>
    </row>
    <row r="786" customHeight="1" spans="16:17">
      <c r="P786" s="140" t="s">
        <v>530</v>
      </c>
      <c r="Q786" s="152">
        <v>1</v>
      </c>
    </row>
    <row r="787" customHeight="1" spans="16:17">
      <c r="P787" s="140" t="s">
        <v>530</v>
      </c>
      <c r="Q787" s="152">
        <v>1</v>
      </c>
    </row>
    <row r="788" customHeight="1" spans="16:17">
      <c r="P788" s="140" t="s">
        <v>530</v>
      </c>
      <c r="Q788" s="152">
        <v>1</v>
      </c>
    </row>
    <row r="789" customHeight="1" spans="16:17">
      <c r="P789" s="140" t="s">
        <v>530</v>
      </c>
      <c r="Q789" s="152">
        <v>1</v>
      </c>
    </row>
    <row r="790" customHeight="1" spans="16:17">
      <c r="P790" s="140" t="s">
        <v>531</v>
      </c>
      <c r="Q790" s="152">
        <v>1</v>
      </c>
    </row>
    <row r="791" customHeight="1" spans="16:17">
      <c r="P791" s="140" t="s">
        <v>531</v>
      </c>
      <c r="Q791" s="152">
        <v>1</v>
      </c>
    </row>
    <row r="792" customHeight="1" spans="16:17">
      <c r="P792" s="140" t="s">
        <v>531</v>
      </c>
      <c r="Q792" s="152">
        <v>1</v>
      </c>
    </row>
    <row r="793" customHeight="1" spans="16:17">
      <c r="P793" s="140" t="s">
        <v>531</v>
      </c>
      <c r="Q793" s="152">
        <v>1</v>
      </c>
    </row>
    <row r="794" customHeight="1" spans="16:17">
      <c r="P794" s="140" t="s">
        <v>531</v>
      </c>
      <c r="Q794" s="152">
        <v>1</v>
      </c>
    </row>
    <row r="795" customHeight="1" spans="16:17">
      <c r="P795" s="140" t="s">
        <v>531</v>
      </c>
      <c r="Q795" s="152">
        <v>1</v>
      </c>
    </row>
    <row r="796" customHeight="1" spans="16:17">
      <c r="P796" s="140" t="s">
        <v>531</v>
      </c>
      <c r="Q796" s="152">
        <v>1</v>
      </c>
    </row>
    <row r="797" customHeight="1" spans="16:17">
      <c r="P797" s="140" t="s">
        <v>532</v>
      </c>
      <c r="Q797" s="152">
        <v>1</v>
      </c>
    </row>
    <row r="798" customHeight="1" spans="16:17">
      <c r="P798" s="140" t="s">
        <v>532</v>
      </c>
      <c r="Q798" s="152">
        <v>1</v>
      </c>
    </row>
    <row r="799" customHeight="1" spans="16:17">
      <c r="P799" s="140" t="s">
        <v>532</v>
      </c>
      <c r="Q799" s="152">
        <v>1</v>
      </c>
    </row>
    <row r="800" customHeight="1" spans="16:17">
      <c r="P800" s="140" t="s">
        <v>532</v>
      </c>
      <c r="Q800" s="152">
        <v>1</v>
      </c>
    </row>
    <row r="801" customHeight="1" spans="16:17">
      <c r="P801" s="140" t="s">
        <v>532</v>
      </c>
      <c r="Q801" s="152">
        <v>1</v>
      </c>
    </row>
    <row r="802" customHeight="1" spans="16:17">
      <c r="P802" s="140" t="s">
        <v>532</v>
      </c>
      <c r="Q802" s="152">
        <v>1</v>
      </c>
    </row>
    <row r="803" customHeight="1" spans="16:17">
      <c r="P803" s="140" t="s">
        <v>532</v>
      </c>
      <c r="Q803" s="152">
        <v>1</v>
      </c>
    </row>
    <row r="804" customHeight="1" spans="16:17">
      <c r="P804" s="140" t="s">
        <v>532</v>
      </c>
      <c r="Q804" s="152">
        <v>0.5</v>
      </c>
    </row>
    <row r="805" customHeight="1" spans="16:17">
      <c r="P805" s="140" t="s">
        <v>532</v>
      </c>
      <c r="Q805" s="152">
        <v>1</v>
      </c>
    </row>
    <row r="806" customHeight="1" spans="16:17">
      <c r="P806" s="140" t="s">
        <v>532</v>
      </c>
      <c r="Q806" s="152">
        <v>1</v>
      </c>
    </row>
    <row r="807" customHeight="1" spans="16:17">
      <c r="P807" s="140" t="s">
        <v>541</v>
      </c>
      <c r="Q807" s="152">
        <v>1</v>
      </c>
    </row>
    <row r="808" customHeight="1" spans="16:17">
      <c r="P808" s="140" t="s">
        <v>541</v>
      </c>
      <c r="Q808" s="152">
        <v>1</v>
      </c>
    </row>
    <row r="809" customHeight="1" spans="16:17">
      <c r="P809" s="140" t="s">
        <v>541</v>
      </c>
      <c r="Q809" s="152">
        <v>1</v>
      </c>
    </row>
    <row r="810" customHeight="1" spans="16:17">
      <c r="P810" s="140" t="s">
        <v>541</v>
      </c>
      <c r="Q810" s="152">
        <v>1</v>
      </c>
    </row>
    <row r="811" customHeight="1" spans="16:17">
      <c r="P811" s="140" t="s">
        <v>541</v>
      </c>
      <c r="Q811" s="152">
        <v>1</v>
      </c>
    </row>
    <row r="812" customHeight="1" spans="16:17">
      <c r="P812" s="140" t="s">
        <v>541</v>
      </c>
      <c r="Q812" s="152">
        <v>1</v>
      </c>
    </row>
    <row r="813" customHeight="1" spans="16:17">
      <c r="P813" s="140" t="s">
        <v>541</v>
      </c>
      <c r="Q813" s="152">
        <v>1</v>
      </c>
    </row>
    <row r="814" customHeight="1" spans="16:17">
      <c r="P814" s="140" t="s">
        <v>541</v>
      </c>
      <c r="Q814" s="152">
        <v>1</v>
      </c>
    </row>
    <row r="815" customHeight="1" spans="16:17">
      <c r="P815" s="140" t="s">
        <v>542</v>
      </c>
      <c r="Q815" s="152">
        <v>1</v>
      </c>
    </row>
    <row r="816" customHeight="1" spans="16:17">
      <c r="P816" s="140" t="s">
        <v>542</v>
      </c>
      <c r="Q816" s="152">
        <v>1</v>
      </c>
    </row>
    <row r="817" customHeight="1" spans="16:17">
      <c r="P817" s="140" t="s">
        <v>542</v>
      </c>
      <c r="Q817" s="152">
        <v>1</v>
      </c>
    </row>
    <row r="818" customHeight="1" spans="16:17">
      <c r="P818" s="140" t="s">
        <v>542</v>
      </c>
      <c r="Q818" s="152">
        <v>1</v>
      </c>
    </row>
    <row r="819" customHeight="1" spans="16:17">
      <c r="P819" s="140" t="s">
        <v>542</v>
      </c>
      <c r="Q819" s="152">
        <v>1</v>
      </c>
    </row>
    <row r="820" customHeight="1" spans="16:17">
      <c r="P820" s="140" t="s">
        <v>542</v>
      </c>
      <c r="Q820" s="152">
        <v>1</v>
      </c>
    </row>
    <row r="821" customHeight="1" spans="16:17">
      <c r="P821" s="140" t="s">
        <v>542</v>
      </c>
      <c r="Q821" s="152">
        <v>1</v>
      </c>
    </row>
    <row r="822" customHeight="1" spans="16:17">
      <c r="P822" s="140" t="s">
        <v>543</v>
      </c>
      <c r="Q822" s="152">
        <v>1</v>
      </c>
    </row>
    <row r="823" customHeight="1" spans="16:17">
      <c r="P823" s="140" t="s">
        <v>543</v>
      </c>
      <c r="Q823" s="152">
        <v>1</v>
      </c>
    </row>
    <row r="824" customHeight="1" spans="16:17">
      <c r="P824" s="140" t="s">
        <v>543</v>
      </c>
      <c r="Q824" s="152">
        <v>1</v>
      </c>
    </row>
    <row r="825" customHeight="1" spans="16:17">
      <c r="P825" s="140" t="s">
        <v>543</v>
      </c>
      <c r="Q825" s="152">
        <v>1</v>
      </c>
    </row>
    <row r="826" customHeight="1" spans="16:17">
      <c r="P826" s="140" t="s">
        <v>543</v>
      </c>
      <c r="Q826" s="152">
        <v>1</v>
      </c>
    </row>
    <row r="827" customHeight="1" spans="16:17">
      <c r="P827" s="140" t="s">
        <v>543</v>
      </c>
      <c r="Q827" s="152">
        <v>1</v>
      </c>
    </row>
    <row r="828" customHeight="1" spans="16:17">
      <c r="P828" s="140" t="s">
        <v>546</v>
      </c>
      <c r="Q828" s="152">
        <v>1</v>
      </c>
    </row>
    <row r="829" customHeight="1" spans="16:17">
      <c r="P829" s="140" t="s">
        <v>546</v>
      </c>
      <c r="Q829" s="152">
        <v>1</v>
      </c>
    </row>
    <row r="830" customHeight="1" spans="16:17">
      <c r="P830" s="140" t="s">
        <v>546</v>
      </c>
      <c r="Q830" s="152">
        <v>1</v>
      </c>
    </row>
    <row r="831" customHeight="1" spans="16:17">
      <c r="P831" s="140" t="s">
        <v>546</v>
      </c>
      <c r="Q831" s="152">
        <v>1</v>
      </c>
    </row>
    <row r="832" customHeight="1" spans="16:17">
      <c r="P832" s="140" t="s">
        <v>546</v>
      </c>
      <c r="Q832" s="152">
        <v>1</v>
      </c>
    </row>
    <row r="833" customHeight="1" spans="16:17">
      <c r="P833" s="140" t="s">
        <v>546</v>
      </c>
      <c r="Q833" s="152">
        <v>1</v>
      </c>
    </row>
    <row r="834" customHeight="1" spans="16:17">
      <c r="P834" s="140" t="s">
        <v>546</v>
      </c>
      <c r="Q834" s="152">
        <v>1</v>
      </c>
    </row>
    <row r="835" customHeight="1" spans="16:17">
      <c r="P835" s="140" t="s">
        <v>547</v>
      </c>
      <c r="Q835" s="152">
        <v>1</v>
      </c>
    </row>
    <row r="836" customHeight="1" spans="16:17">
      <c r="P836" s="140" t="s">
        <v>547</v>
      </c>
      <c r="Q836" s="152">
        <v>1</v>
      </c>
    </row>
    <row r="837" customHeight="1" spans="16:17">
      <c r="P837" s="140" t="s">
        <v>547</v>
      </c>
      <c r="Q837" s="152">
        <v>2</v>
      </c>
    </row>
    <row r="838" customHeight="1" spans="16:17">
      <c r="P838" s="140" t="s">
        <v>547</v>
      </c>
      <c r="Q838" s="152">
        <v>1</v>
      </c>
    </row>
    <row r="839" customHeight="1" spans="16:17">
      <c r="P839" s="140" t="s">
        <v>547</v>
      </c>
      <c r="Q839" s="152">
        <v>1</v>
      </c>
    </row>
    <row r="840" customHeight="1" spans="16:17">
      <c r="P840" s="140" t="s">
        <v>549</v>
      </c>
      <c r="Q840" s="152">
        <v>1</v>
      </c>
    </row>
    <row r="841" customHeight="1" spans="16:17">
      <c r="P841" s="140" t="s">
        <v>549</v>
      </c>
      <c r="Q841" s="152">
        <v>1</v>
      </c>
    </row>
    <row r="842" customHeight="1" spans="16:17">
      <c r="P842" s="140" t="s">
        <v>549</v>
      </c>
      <c r="Q842" s="152">
        <v>1</v>
      </c>
    </row>
    <row r="843" customHeight="1" spans="16:17">
      <c r="P843" s="140" t="s">
        <v>549</v>
      </c>
      <c r="Q843" s="152">
        <v>1</v>
      </c>
    </row>
    <row r="844" customHeight="1" spans="16:17">
      <c r="P844" s="140" t="s">
        <v>549</v>
      </c>
      <c r="Q844" s="152">
        <v>1</v>
      </c>
    </row>
    <row r="845" customHeight="1" spans="16:17">
      <c r="P845" s="140" t="s">
        <v>549</v>
      </c>
      <c r="Q845" s="152">
        <v>1</v>
      </c>
    </row>
    <row r="846" customHeight="1" spans="16:17">
      <c r="P846" s="140" t="s">
        <v>549</v>
      </c>
      <c r="Q846" s="152">
        <v>1</v>
      </c>
    </row>
    <row r="847" customHeight="1" spans="16:17">
      <c r="P847" s="140" t="s">
        <v>549</v>
      </c>
      <c r="Q847" s="152">
        <v>1</v>
      </c>
    </row>
    <row r="848" customHeight="1" spans="16:17">
      <c r="P848" s="140" t="s">
        <v>549</v>
      </c>
      <c r="Q848" s="152">
        <v>1</v>
      </c>
    </row>
    <row r="849" customHeight="1" spans="16:17">
      <c r="P849" s="140" t="s">
        <v>549</v>
      </c>
      <c r="Q849" s="152">
        <v>1</v>
      </c>
    </row>
    <row r="850" customHeight="1" spans="16:17">
      <c r="P850" s="140" t="s">
        <v>549</v>
      </c>
      <c r="Q850" s="152">
        <v>1</v>
      </c>
    </row>
    <row r="851" customHeight="1" spans="16:17">
      <c r="P851" s="140" t="s">
        <v>549</v>
      </c>
      <c r="Q851" s="152">
        <v>1</v>
      </c>
    </row>
    <row r="852" customHeight="1" spans="16:17">
      <c r="P852" s="140" t="s">
        <v>549</v>
      </c>
      <c r="Q852" s="152">
        <v>1</v>
      </c>
    </row>
    <row r="853" customHeight="1" spans="16:17">
      <c r="P853" s="140" t="s">
        <v>549</v>
      </c>
      <c r="Q853" s="152">
        <v>1</v>
      </c>
    </row>
    <row r="854" customHeight="1" spans="16:17">
      <c r="P854" s="140" t="s">
        <v>557</v>
      </c>
      <c r="Q854" s="152">
        <v>1</v>
      </c>
    </row>
    <row r="855" customHeight="1" spans="16:17">
      <c r="P855" s="140" t="s">
        <v>557</v>
      </c>
      <c r="Q855" s="152">
        <v>1</v>
      </c>
    </row>
    <row r="856" customHeight="1" spans="16:17">
      <c r="P856" s="140" t="s">
        <v>557</v>
      </c>
      <c r="Q856" s="152">
        <v>1</v>
      </c>
    </row>
    <row r="857" customHeight="1" spans="16:17">
      <c r="P857" s="140" t="s">
        <v>557</v>
      </c>
      <c r="Q857" s="152">
        <v>1</v>
      </c>
    </row>
    <row r="858" customHeight="1" spans="16:17">
      <c r="P858" s="140" t="s">
        <v>559</v>
      </c>
      <c r="Q858" s="152">
        <v>1</v>
      </c>
    </row>
    <row r="859" customHeight="1" spans="16:17">
      <c r="P859" s="140" t="s">
        <v>559</v>
      </c>
      <c r="Q859" s="152">
        <v>1</v>
      </c>
    </row>
    <row r="860" customHeight="1" spans="16:17">
      <c r="P860" s="140" t="s">
        <v>559</v>
      </c>
      <c r="Q860" s="152">
        <v>1</v>
      </c>
    </row>
    <row r="861" customHeight="1" spans="16:17">
      <c r="P861" s="140" t="s">
        <v>559</v>
      </c>
      <c r="Q861" s="152">
        <v>1</v>
      </c>
    </row>
    <row r="862" customHeight="1" spans="16:17">
      <c r="P862" s="140" t="s">
        <v>559</v>
      </c>
      <c r="Q862" s="152">
        <v>1</v>
      </c>
    </row>
    <row r="863" customHeight="1" spans="16:17">
      <c r="P863" s="140" t="s">
        <v>559</v>
      </c>
      <c r="Q863" s="152">
        <v>1</v>
      </c>
    </row>
    <row r="864" customHeight="1" spans="16:17">
      <c r="P864" s="140" t="s">
        <v>560</v>
      </c>
      <c r="Q864" s="152">
        <v>1</v>
      </c>
    </row>
    <row r="865" customHeight="1" spans="16:17">
      <c r="P865" s="140" t="s">
        <v>560</v>
      </c>
      <c r="Q865" s="152">
        <v>1</v>
      </c>
    </row>
    <row r="866" customHeight="1" spans="16:17">
      <c r="P866" s="140" t="s">
        <v>560</v>
      </c>
      <c r="Q866" s="152">
        <v>1</v>
      </c>
    </row>
    <row r="867" customHeight="1" spans="16:17">
      <c r="P867" s="140" t="s">
        <v>560</v>
      </c>
      <c r="Q867" s="152">
        <v>1</v>
      </c>
    </row>
    <row r="868" customHeight="1" spans="16:17">
      <c r="P868" s="140" t="s">
        <v>560</v>
      </c>
      <c r="Q868" s="152">
        <v>1</v>
      </c>
    </row>
    <row r="869" customHeight="1" spans="16:17">
      <c r="P869" s="140" t="s">
        <v>560</v>
      </c>
      <c r="Q869" s="152">
        <v>1</v>
      </c>
    </row>
    <row r="870" customHeight="1" spans="16:17">
      <c r="P870" s="140" t="s">
        <v>562</v>
      </c>
      <c r="Q870" s="152">
        <v>1</v>
      </c>
    </row>
    <row r="871" customHeight="1" spans="16:17">
      <c r="P871" s="140" t="s">
        <v>562</v>
      </c>
      <c r="Q871" s="152">
        <v>1</v>
      </c>
    </row>
    <row r="872" customHeight="1" spans="16:17">
      <c r="P872" s="140" t="s">
        <v>562</v>
      </c>
      <c r="Q872" s="152">
        <v>1</v>
      </c>
    </row>
    <row r="873" customHeight="1" spans="16:17">
      <c r="P873" s="140" t="s">
        <v>562</v>
      </c>
      <c r="Q873" s="152">
        <v>1</v>
      </c>
    </row>
    <row r="874" customHeight="1" spans="16:17">
      <c r="P874" s="140" t="s">
        <v>562</v>
      </c>
      <c r="Q874" s="152">
        <v>1</v>
      </c>
    </row>
    <row r="875" customHeight="1" spans="16:17">
      <c r="P875" s="140" t="s">
        <v>562</v>
      </c>
      <c r="Q875" s="152">
        <v>1</v>
      </c>
    </row>
    <row r="876" customHeight="1" spans="16:17">
      <c r="P876" s="140" t="s">
        <v>563</v>
      </c>
      <c r="Q876" s="152">
        <v>1</v>
      </c>
    </row>
    <row r="877" customHeight="1" spans="16:17">
      <c r="P877" s="140" t="s">
        <v>563</v>
      </c>
      <c r="Q877" s="152">
        <v>1</v>
      </c>
    </row>
    <row r="878" customHeight="1" spans="16:17">
      <c r="P878" s="140" t="s">
        <v>563</v>
      </c>
      <c r="Q878" s="152">
        <v>1</v>
      </c>
    </row>
    <row r="879" customHeight="1" spans="16:17">
      <c r="P879" s="140" t="s">
        <v>563</v>
      </c>
      <c r="Q879" s="152">
        <v>1</v>
      </c>
    </row>
    <row r="880" customHeight="1" spans="16:17">
      <c r="P880" s="140" t="s">
        <v>563</v>
      </c>
      <c r="Q880" s="152">
        <v>1</v>
      </c>
    </row>
    <row r="881" customHeight="1" spans="16:17">
      <c r="P881" s="140" t="s">
        <v>563</v>
      </c>
      <c r="Q881" s="152">
        <v>1</v>
      </c>
    </row>
    <row r="882" customHeight="1" spans="16:17">
      <c r="P882" s="140" t="s">
        <v>564</v>
      </c>
      <c r="Q882" s="152">
        <v>1</v>
      </c>
    </row>
    <row r="883" customHeight="1" spans="16:17">
      <c r="P883" s="140" t="s">
        <v>564</v>
      </c>
      <c r="Q883" s="152">
        <v>1</v>
      </c>
    </row>
    <row r="884" customHeight="1" spans="16:17">
      <c r="P884" s="140" t="s">
        <v>564</v>
      </c>
      <c r="Q884" s="152">
        <v>1</v>
      </c>
    </row>
    <row r="885" customHeight="1" spans="16:17">
      <c r="P885" s="140" t="s">
        <v>564</v>
      </c>
      <c r="Q885" s="152">
        <v>1</v>
      </c>
    </row>
    <row r="886" customHeight="1" spans="16:17">
      <c r="P886" s="140" t="s">
        <v>564</v>
      </c>
      <c r="Q886" s="152">
        <v>1</v>
      </c>
    </row>
    <row r="887" customHeight="1" spans="16:17">
      <c r="P887" s="140" t="s">
        <v>564</v>
      </c>
      <c r="Q887" s="152">
        <v>1</v>
      </c>
    </row>
    <row r="888" customHeight="1" spans="16:17">
      <c r="P888" s="140" t="s">
        <v>564</v>
      </c>
      <c r="Q888" s="152">
        <v>1</v>
      </c>
    </row>
    <row r="889" customHeight="1" spans="16:17">
      <c r="P889" s="140" t="s">
        <v>564</v>
      </c>
      <c r="Q889" s="152">
        <v>1</v>
      </c>
    </row>
    <row r="890" customHeight="1" spans="16:17">
      <c r="P890" s="140" t="s">
        <v>564</v>
      </c>
      <c r="Q890" s="152">
        <v>1</v>
      </c>
    </row>
    <row r="891" customHeight="1" spans="16:17">
      <c r="P891" s="140" t="s">
        <v>564</v>
      </c>
      <c r="Q891" s="152">
        <v>1</v>
      </c>
    </row>
    <row r="892" customHeight="1" spans="16:17">
      <c r="P892" s="140" t="s">
        <v>564</v>
      </c>
      <c r="Q892" s="152">
        <v>1</v>
      </c>
    </row>
    <row r="893" customHeight="1" spans="16:17">
      <c r="P893" s="140" t="s">
        <v>564</v>
      </c>
      <c r="Q893" s="152">
        <v>1</v>
      </c>
    </row>
    <row r="894" customHeight="1" spans="16:17">
      <c r="P894" s="140" t="s">
        <v>565</v>
      </c>
      <c r="Q894" s="152">
        <v>1</v>
      </c>
    </row>
    <row r="895" customHeight="1" spans="16:17">
      <c r="P895" s="140" t="s">
        <v>565</v>
      </c>
      <c r="Q895" s="152">
        <v>1</v>
      </c>
    </row>
    <row r="896" customHeight="1" spans="16:17">
      <c r="P896" s="140" t="s">
        <v>565</v>
      </c>
      <c r="Q896" s="152">
        <v>1</v>
      </c>
    </row>
    <row r="897" customHeight="1" spans="16:17">
      <c r="P897" s="140" t="s">
        <v>565</v>
      </c>
      <c r="Q897" s="152">
        <v>1</v>
      </c>
    </row>
    <row r="898" customHeight="1" spans="16:17">
      <c r="P898" s="140" t="s">
        <v>565</v>
      </c>
      <c r="Q898" s="152">
        <v>1</v>
      </c>
    </row>
    <row r="899" customHeight="1" spans="16:17">
      <c r="P899" s="140" t="s">
        <v>565</v>
      </c>
      <c r="Q899" s="152">
        <v>1</v>
      </c>
    </row>
    <row r="900" customHeight="1" spans="16:17">
      <c r="P900" s="140" t="s">
        <v>565</v>
      </c>
      <c r="Q900" s="152">
        <v>1</v>
      </c>
    </row>
    <row r="901" customHeight="1" spans="16:17">
      <c r="P901" s="140" t="s">
        <v>567</v>
      </c>
      <c r="Q901" s="152">
        <v>1</v>
      </c>
    </row>
    <row r="902" customHeight="1" spans="16:17">
      <c r="P902" s="140" t="s">
        <v>567</v>
      </c>
      <c r="Q902" s="152">
        <v>1</v>
      </c>
    </row>
    <row r="903" customHeight="1" spans="16:17">
      <c r="P903" s="140" t="s">
        <v>567</v>
      </c>
      <c r="Q903" s="152">
        <v>1</v>
      </c>
    </row>
    <row r="904" customHeight="1" spans="16:17">
      <c r="P904" s="140" t="s">
        <v>567</v>
      </c>
      <c r="Q904" s="152">
        <v>1</v>
      </c>
    </row>
    <row r="905" customHeight="1" spans="16:17">
      <c r="P905" s="140" t="s">
        <v>567</v>
      </c>
      <c r="Q905" s="152">
        <v>1</v>
      </c>
    </row>
    <row r="906" customHeight="1" spans="16:17">
      <c r="P906" s="140" t="s">
        <v>567</v>
      </c>
      <c r="Q906" s="152">
        <v>1</v>
      </c>
    </row>
    <row r="907" customHeight="1" spans="16:17">
      <c r="P907" s="140" t="s">
        <v>568</v>
      </c>
      <c r="Q907" s="152">
        <v>1</v>
      </c>
    </row>
    <row r="908" customHeight="1" spans="16:17">
      <c r="P908" s="140" t="s">
        <v>568</v>
      </c>
      <c r="Q908" s="152">
        <v>0.5</v>
      </c>
    </row>
    <row r="909" customHeight="1" spans="16:17">
      <c r="P909" s="140" t="s">
        <v>568</v>
      </c>
      <c r="Q909" s="152">
        <v>1</v>
      </c>
    </row>
    <row r="910" customHeight="1" spans="16:17">
      <c r="P910" s="140" t="s">
        <v>568</v>
      </c>
      <c r="Q910" s="152">
        <v>1</v>
      </c>
    </row>
    <row r="911" customHeight="1" spans="16:17">
      <c r="P911" s="140" t="s">
        <v>568</v>
      </c>
      <c r="Q911" s="152">
        <v>1</v>
      </c>
    </row>
    <row r="912" customHeight="1" spans="16:17">
      <c r="P912" s="140" t="s">
        <v>568</v>
      </c>
      <c r="Q912" s="152">
        <v>0.5</v>
      </c>
    </row>
    <row r="913" customHeight="1" spans="16:17">
      <c r="P913" s="140" t="s">
        <v>568</v>
      </c>
      <c r="Q913" s="152">
        <v>1</v>
      </c>
    </row>
    <row r="914" customHeight="1" spans="16:17">
      <c r="P914" s="140" t="s">
        <v>568</v>
      </c>
      <c r="Q914" s="152">
        <v>1</v>
      </c>
    </row>
    <row r="915" customHeight="1" spans="16:17">
      <c r="P915" s="140" t="s">
        <v>568</v>
      </c>
      <c r="Q915" s="152">
        <v>1</v>
      </c>
    </row>
    <row r="916" customHeight="1" spans="16:17">
      <c r="P916" s="140" t="s">
        <v>568</v>
      </c>
      <c r="Q916" s="152">
        <v>1</v>
      </c>
    </row>
    <row r="917" customHeight="1" spans="16:17">
      <c r="P917" s="140" t="s">
        <v>568</v>
      </c>
      <c r="Q917" s="152">
        <v>1</v>
      </c>
    </row>
    <row r="918" customHeight="1" spans="16:17">
      <c r="P918" s="140" t="s">
        <v>581</v>
      </c>
      <c r="Q918" s="152">
        <v>1</v>
      </c>
    </row>
    <row r="919" customHeight="1" spans="16:17">
      <c r="P919" s="140" t="s">
        <v>581</v>
      </c>
      <c r="Q919" s="152">
        <v>1</v>
      </c>
    </row>
    <row r="920" customHeight="1" spans="16:17">
      <c r="P920" s="140" t="s">
        <v>581</v>
      </c>
      <c r="Q920" s="152">
        <v>1</v>
      </c>
    </row>
    <row r="921" customHeight="1" spans="16:17">
      <c r="P921" s="140" t="s">
        <v>581</v>
      </c>
      <c r="Q921" s="152">
        <v>1</v>
      </c>
    </row>
    <row r="922" customHeight="1" spans="16:17">
      <c r="P922" s="140" t="s">
        <v>581</v>
      </c>
      <c r="Q922" s="152">
        <v>1</v>
      </c>
    </row>
    <row r="923" customHeight="1" spans="16:17">
      <c r="P923" s="140" t="s">
        <v>581</v>
      </c>
      <c r="Q923" s="152">
        <v>1</v>
      </c>
    </row>
    <row r="924" customHeight="1" spans="16:17">
      <c r="P924" s="140" t="s">
        <v>581</v>
      </c>
      <c r="Q924" s="152">
        <v>1</v>
      </c>
    </row>
    <row r="925" customHeight="1" spans="16:17">
      <c r="P925" s="140" t="s">
        <v>581</v>
      </c>
      <c r="Q925" s="152">
        <v>0.5</v>
      </c>
    </row>
    <row r="926" customHeight="1" spans="16:17">
      <c r="P926" s="140" t="s">
        <v>581</v>
      </c>
      <c r="Q926" s="152">
        <v>1</v>
      </c>
    </row>
    <row r="927" customHeight="1" spans="16:17">
      <c r="P927" s="140" t="s">
        <v>581</v>
      </c>
      <c r="Q927" s="152">
        <v>1</v>
      </c>
    </row>
    <row r="928" customHeight="1" spans="16:17">
      <c r="P928" s="140" t="s">
        <v>581</v>
      </c>
      <c r="Q928" s="152">
        <v>1</v>
      </c>
    </row>
    <row r="929" customHeight="1" spans="16:17">
      <c r="P929" s="140"/>
      <c r="Q929" s="152"/>
    </row>
    <row r="930" customHeight="1" spans="16:17">
      <c r="P930" s="140"/>
      <c r="Q930" s="152"/>
    </row>
    <row r="931" customHeight="1" spans="16:17">
      <c r="P931" s="140"/>
      <c r="Q931" s="152"/>
    </row>
    <row r="932" customHeight="1" spans="16:17">
      <c r="P932" s="140"/>
      <c r="Q932" s="152"/>
    </row>
    <row r="933" customHeight="1" spans="16:17">
      <c r="P933" s="140"/>
      <c r="Q933" s="152"/>
    </row>
    <row r="934" customHeight="1" spans="16:17">
      <c r="P934" s="140"/>
      <c r="Q934" s="152"/>
    </row>
    <row r="935" customHeight="1" spans="16:17">
      <c r="P935" s="140"/>
      <c r="Q935" s="152"/>
    </row>
    <row r="936" customHeight="1" spans="16:17">
      <c r="P936" s="140"/>
      <c r="Q936" s="152"/>
    </row>
    <row r="937" customHeight="1" spans="16:17">
      <c r="P937" s="140"/>
      <c r="Q937" s="152"/>
    </row>
    <row r="938" customHeight="1" spans="16:17">
      <c r="P938" s="140"/>
      <c r="Q938" s="152"/>
    </row>
    <row r="939" customHeight="1" spans="16:17">
      <c r="P939" s="140"/>
      <c r="Q939" s="152"/>
    </row>
    <row r="940" customHeight="1" spans="16:17">
      <c r="P940" s="140"/>
      <c r="Q940" s="152"/>
    </row>
    <row r="941" customHeight="1" spans="16:17">
      <c r="P941" s="140"/>
      <c r="Q941" s="152"/>
    </row>
    <row r="942" customHeight="1" spans="16:17">
      <c r="P942" s="140"/>
      <c r="Q942" s="152"/>
    </row>
    <row r="943" customHeight="1" spans="16:17">
      <c r="P943" s="140"/>
      <c r="Q943" s="152"/>
    </row>
    <row r="944" customHeight="1" spans="16:17">
      <c r="P944" s="140"/>
      <c r="Q944" s="152"/>
    </row>
    <row r="945" customHeight="1" spans="16:17">
      <c r="P945" s="140"/>
      <c r="Q945" s="152"/>
    </row>
    <row r="946" customHeight="1" spans="16:17">
      <c r="P946" s="140"/>
      <c r="Q946" s="152"/>
    </row>
    <row r="947" customHeight="1" spans="16:17">
      <c r="P947" s="140"/>
      <c r="Q947" s="152"/>
    </row>
    <row r="948" customHeight="1" spans="16:17">
      <c r="P948" s="140"/>
      <c r="Q948" s="152"/>
    </row>
    <row r="949" customHeight="1" spans="16:17">
      <c r="P949" s="140"/>
      <c r="Q949" s="152"/>
    </row>
    <row r="950" customHeight="1" spans="16:17">
      <c r="P950" s="140"/>
      <c r="Q950" s="152"/>
    </row>
    <row r="951" customHeight="1" spans="16:17">
      <c r="P951" s="140"/>
      <c r="Q951" s="152"/>
    </row>
    <row r="952" customHeight="1" spans="16:17">
      <c r="P952" s="140"/>
      <c r="Q952" s="152"/>
    </row>
    <row r="953" customHeight="1" spans="16:17">
      <c r="P953" s="140"/>
      <c r="Q953" s="152"/>
    </row>
    <row r="954" customHeight="1" spans="16:17">
      <c r="P954" s="140"/>
      <c r="Q954" s="152"/>
    </row>
    <row r="955" customHeight="1" spans="16:17">
      <c r="P955" s="140"/>
      <c r="Q955" s="152"/>
    </row>
    <row r="956" customHeight="1" spans="16:17">
      <c r="P956" s="140"/>
      <c r="Q956" s="152"/>
    </row>
    <row r="957" customHeight="1" spans="16:17">
      <c r="P957" s="140"/>
      <c r="Q957" s="152"/>
    </row>
    <row r="958" customHeight="1" spans="16:17">
      <c r="P958" s="140"/>
      <c r="Q958" s="152"/>
    </row>
    <row r="959" customHeight="1" spans="16:17">
      <c r="P959" s="140"/>
      <c r="Q959" s="152"/>
    </row>
    <row r="960" customHeight="1" spans="16:17">
      <c r="P960" s="140"/>
      <c r="Q960" s="152"/>
    </row>
    <row r="961" customHeight="1" spans="16:17">
      <c r="P961" s="140"/>
      <c r="Q961" s="152"/>
    </row>
    <row r="962" customHeight="1" spans="16:17">
      <c r="P962" s="140"/>
      <c r="Q962" s="152"/>
    </row>
    <row r="963" customHeight="1" spans="16:17">
      <c r="P963" s="140"/>
      <c r="Q963" s="152"/>
    </row>
    <row r="964" customHeight="1" spans="16:17">
      <c r="P964" s="140"/>
      <c r="Q964" s="152"/>
    </row>
    <row r="965" customHeight="1" spans="16:17">
      <c r="P965" s="140"/>
      <c r="Q965" s="152"/>
    </row>
    <row r="966" customHeight="1" spans="16:17">
      <c r="P966" s="140"/>
      <c r="Q966" s="152"/>
    </row>
    <row r="967" customHeight="1" spans="16:17">
      <c r="P967" s="140"/>
      <c r="Q967" s="152"/>
    </row>
    <row r="968" customHeight="1" spans="16:17">
      <c r="P968" s="140"/>
      <c r="Q968" s="152"/>
    </row>
    <row r="969" customHeight="1" spans="16:17">
      <c r="P969" s="140"/>
      <c r="Q969" s="152"/>
    </row>
    <row r="970" customHeight="1" spans="16:17">
      <c r="P970" s="140"/>
      <c r="Q970" s="152"/>
    </row>
    <row r="971" customHeight="1" spans="16:17">
      <c r="P971" s="140"/>
      <c r="Q971" s="152"/>
    </row>
    <row r="972" customHeight="1" spans="16:17">
      <c r="P972" s="140"/>
      <c r="Q972" s="152"/>
    </row>
    <row r="973" customHeight="1" spans="16:17">
      <c r="P973" s="140"/>
      <c r="Q973" s="152"/>
    </row>
    <row r="974" customHeight="1" spans="16:17">
      <c r="P974" s="140"/>
      <c r="Q974" s="152"/>
    </row>
    <row r="975" customHeight="1" spans="16:17">
      <c r="P975" s="140"/>
      <c r="Q975" s="152"/>
    </row>
    <row r="976" customHeight="1" spans="16:17">
      <c r="P976" s="140"/>
      <c r="Q976" s="152"/>
    </row>
    <row r="977" customHeight="1" spans="16:17">
      <c r="P977" s="140"/>
      <c r="Q977" s="152"/>
    </row>
    <row r="978" customHeight="1" spans="16:17">
      <c r="P978" s="140"/>
      <c r="Q978" s="152"/>
    </row>
    <row r="979" customHeight="1" spans="16:17">
      <c r="P979" s="140"/>
      <c r="Q979" s="152"/>
    </row>
    <row r="980" customHeight="1" spans="16:17">
      <c r="P980" s="140"/>
      <c r="Q980" s="152"/>
    </row>
    <row r="981" customHeight="1" spans="16:17">
      <c r="P981" s="140"/>
      <c r="Q981" s="152"/>
    </row>
    <row r="982" customHeight="1" spans="16:17">
      <c r="P982" s="140"/>
      <c r="Q982" s="152"/>
    </row>
    <row r="983" customHeight="1" spans="16:17">
      <c r="P983" s="140"/>
      <c r="Q983" s="152"/>
    </row>
    <row r="984" customHeight="1" spans="16:17">
      <c r="P984" s="140"/>
      <c r="Q984" s="152"/>
    </row>
    <row r="985" customHeight="1" spans="16:17">
      <c r="P985" s="140"/>
      <c r="Q985" s="152"/>
    </row>
    <row r="986" customHeight="1" spans="16:17">
      <c r="P986" s="140"/>
      <c r="Q986" s="152"/>
    </row>
    <row r="987" customHeight="1" spans="16:17">
      <c r="P987" s="140"/>
      <c r="Q987" s="152"/>
    </row>
    <row r="988" customHeight="1" spans="16:17">
      <c r="P988" s="140"/>
      <c r="Q988" s="152"/>
    </row>
    <row r="989" customHeight="1" spans="16:17">
      <c r="P989" s="140"/>
      <c r="Q989" s="152"/>
    </row>
    <row r="990" customHeight="1" spans="16:17">
      <c r="P990" s="140"/>
      <c r="Q990" s="152"/>
    </row>
    <row r="991" customHeight="1" spans="16:17">
      <c r="P991" s="140"/>
      <c r="Q991" s="152"/>
    </row>
    <row r="992" customHeight="1" spans="16:17">
      <c r="P992" s="140"/>
      <c r="Q992" s="152"/>
    </row>
    <row r="993" customHeight="1" spans="16:17">
      <c r="P993" s="140"/>
      <c r="Q993" s="152"/>
    </row>
    <row r="994" customHeight="1" spans="16:17">
      <c r="P994" s="140"/>
      <c r="Q994" s="152"/>
    </row>
    <row r="995" customHeight="1" spans="16:17">
      <c r="P995" s="140"/>
      <c r="Q995" s="152"/>
    </row>
    <row r="996" customHeight="1" spans="16:17">
      <c r="P996" s="140"/>
      <c r="Q996" s="152"/>
    </row>
    <row r="997" customHeight="1" spans="16:17">
      <c r="P997" s="140"/>
      <c r="Q997" s="152"/>
    </row>
    <row r="998" customHeight="1" spans="16:17">
      <c r="P998" s="140"/>
      <c r="Q998" s="152"/>
    </row>
    <row r="999" customHeight="1" spans="16:17">
      <c r="P999" s="140"/>
      <c r="Q999" s="152"/>
    </row>
    <row r="1000" customHeight="1" spans="16:17">
      <c r="P1000" s="140"/>
      <c r="Q1000" s="152"/>
    </row>
    <row r="1001" customHeight="1" spans="16:17">
      <c r="P1001" s="140"/>
      <c r="Q1001" s="152"/>
    </row>
    <row r="1002" customHeight="1" spans="16:17">
      <c r="P1002" s="140"/>
      <c r="Q1002" s="152"/>
    </row>
    <row r="1003" customHeight="1" spans="16:17">
      <c r="P1003" s="140"/>
      <c r="Q1003" s="152"/>
    </row>
    <row r="1004" customHeight="1" spans="16:17">
      <c r="P1004" s="140"/>
      <c r="Q1004" s="152"/>
    </row>
    <row r="1005" customHeight="1" spans="16:17">
      <c r="P1005" s="140"/>
      <c r="Q1005" s="152"/>
    </row>
    <row r="1006" customHeight="1" spans="16:17">
      <c r="P1006" s="140"/>
      <c r="Q1006" s="152"/>
    </row>
    <row r="1007" customHeight="1" spans="16:17">
      <c r="P1007" s="140"/>
      <c r="Q1007" s="152"/>
    </row>
    <row r="1008" customHeight="1" spans="16:17">
      <c r="P1008" s="140"/>
      <c r="Q1008" s="152"/>
    </row>
    <row r="1009" customHeight="1" spans="16:17">
      <c r="P1009" s="140"/>
      <c r="Q1009" s="152"/>
    </row>
    <row r="1010" customHeight="1" spans="16:17">
      <c r="P1010" s="140"/>
      <c r="Q1010" s="152"/>
    </row>
    <row r="1011" customHeight="1" spans="16:17">
      <c r="P1011" s="140"/>
      <c r="Q1011" s="152"/>
    </row>
    <row r="1012" customHeight="1" spans="16:17">
      <c r="P1012" s="140"/>
      <c r="Q1012" s="152"/>
    </row>
    <row r="1013" customHeight="1" spans="16:17">
      <c r="P1013" s="140"/>
      <c r="Q1013" s="152"/>
    </row>
    <row r="1014" customHeight="1" spans="16:17">
      <c r="P1014" s="140"/>
      <c r="Q1014" s="152"/>
    </row>
    <row r="1015" customHeight="1" spans="16:17">
      <c r="P1015" s="140"/>
      <c r="Q1015" s="152"/>
    </row>
    <row r="1016" customHeight="1" spans="16:17">
      <c r="P1016" s="140"/>
      <c r="Q1016" s="152"/>
    </row>
    <row r="1017" customHeight="1" spans="16:17">
      <c r="P1017" s="140"/>
      <c r="Q1017" s="152"/>
    </row>
    <row r="1018" customHeight="1" spans="16:17">
      <c r="P1018" s="140"/>
      <c r="Q1018" s="152"/>
    </row>
    <row r="1019" customHeight="1" spans="16:17">
      <c r="P1019" s="140"/>
      <c r="Q1019" s="152"/>
    </row>
    <row r="1020" customHeight="1" spans="16:17">
      <c r="P1020" s="140"/>
      <c r="Q1020" s="152"/>
    </row>
    <row r="1021" customHeight="1" spans="16:17">
      <c r="P1021" s="140"/>
      <c r="Q1021" s="152"/>
    </row>
    <row r="1022" customHeight="1" spans="16:17">
      <c r="P1022" s="140"/>
      <c r="Q1022" s="152"/>
    </row>
    <row r="1023" customHeight="1" spans="16:17">
      <c r="P1023" s="140"/>
      <c r="Q1023" s="152"/>
    </row>
    <row r="1024" customHeight="1" spans="16:17">
      <c r="P1024" s="140"/>
      <c r="Q1024" s="152"/>
    </row>
    <row r="1025" customHeight="1" spans="16:17">
      <c r="P1025" s="140"/>
      <c r="Q1025" s="152"/>
    </row>
    <row r="1026" customHeight="1" spans="16:17">
      <c r="P1026" s="140"/>
      <c r="Q1026" s="152"/>
    </row>
    <row r="1027" customHeight="1" spans="16:17">
      <c r="P1027" s="140"/>
      <c r="Q1027" s="152"/>
    </row>
    <row r="1028" customHeight="1" spans="16:17">
      <c r="P1028" s="140"/>
      <c r="Q1028" s="152"/>
    </row>
    <row r="1029" customHeight="1" spans="16:17">
      <c r="P1029" s="140"/>
      <c r="Q1029" s="152"/>
    </row>
    <row r="1030" customHeight="1" spans="16:17">
      <c r="P1030" s="140"/>
      <c r="Q1030" s="152"/>
    </row>
    <row r="1031" customHeight="1" spans="16:17">
      <c r="P1031" s="140"/>
      <c r="Q1031" s="152"/>
    </row>
    <row r="1032" customHeight="1" spans="16:17">
      <c r="P1032" s="140"/>
      <c r="Q1032" s="152"/>
    </row>
    <row r="1033" customHeight="1" spans="16:17">
      <c r="P1033" s="140"/>
      <c r="Q1033" s="152"/>
    </row>
    <row r="1034" customHeight="1" spans="16:17">
      <c r="P1034" s="140"/>
      <c r="Q1034" s="152"/>
    </row>
    <row r="1035" customHeight="1" spans="16:17">
      <c r="P1035" s="140"/>
      <c r="Q1035" s="152"/>
    </row>
    <row r="1036" customHeight="1" spans="16:17">
      <c r="P1036" s="140"/>
      <c r="Q1036" s="152"/>
    </row>
    <row r="1037" customHeight="1" spans="16:17">
      <c r="P1037" s="140"/>
      <c r="Q1037" s="152"/>
    </row>
    <row r="1038" customHeight="1" spans="16:17">
      <c r="P1038" s="140"/>
      <c r="Q1038" s="152"/>
    </row>
    <row r="1039" customHeight="1" spans="16:17">
      <c r="P1039" s="140"/>
      <c r="Q1039" s="152"/>
    </row>
    <row r="1040" customHeight="1" spans="16:17">
      <c r="P1040" s="140"/>
      <c r="Q1040" s="152"/>
    </row>
    <row r="1041" customHeight="1" spans="16:17">
      <c r="P1041" s="140"/>
      <c r="Q1041" s="152"/>
    </row>
    <row r="1042" customHeight="1" spans="16:17">
      <c r="P1042" s="140"/>
      <c r="Q1042" s="152"/>
    </row>
    <row r="1043" customHeight="1" spans="16:17">
      <c r="P1043" s="140"/>
      <c r="Q1043" s="152"/>
    </row>
    <row r="1044" customHeight="1" spans="16:17">
      <c r="P1044" s="140"/>
      <c r="Q1044" s="152"/>
    </row>
    <row r="1045" customHeight="1" spans="16:17">
      <c r="P1045" s="140"/>
      <c r="Q1045" s="152"/>
    </row>
    <row r="1046" customHeight="1" spans="16:17">
      <c r="P1046" s="140"/>
      <c r="Q1046" s="152"/>
    </row>
    <row r="1047" customHeight="1" spans="16:17">
      <c r="P1047" s="140"/>
      <c r="Q1047" s="152"/>
    </row>
    <row r="1048" customHeight="1" spans="16:17">
      <c r="P1048" s="140"/>
      <c r="Q1048" s="152"/>
    </row>
    <row r="1049" customHeight="1" spans="16:17">
      <c r="P1049" s="140"/>
      <c r="Q1049" s="152"/>
    </row>
    <row r="1050" customHeight="1" spans="16:17">
      <c r="P1050" s="140"/>
      <c r="Q1050" s="152"/>
    </row>
    <row r="1051" customHeight="1" spans="16:17">
      <c r="P1051" s="140"/>
      <c r="Q1051" s="152"/>
    </row>
    <row r="1052" customHeight="1" spans="16:17">
      <c r="P1052" s="140"/>
      <c r="Q1052" s="152"/>
    </row>
    <row r="1053" customHeight="1" spans="16:17">
      <c r="P1053" s="140"/>
      <c r="Q1053" s="152"/>
    </row>
    <row r="1054" customHeight="1" spans="16:17">
      <c r="P1054" s="140"/>
      <c r="Q1054" s="152"/>
    </row>
    <row r="1055" customHeight="1" spans="16:17">
      <c r="P1055" s="140"/>
      <c r="Q1055" s="152"/>
    </row>
    <row r="1056" customHeight="1" spans="16:17">
      <c r="P1056" s="140"/>
      <c r="Q1056" s="152"/>
    </row>
    <row r="1057" customHeight="1" spans="16:17">
      <c r="P1057" s="140"/>
      <c r="Q1057" s="152"/>
    </row>
    <row r="1058" customHeight="1" spans="16:17">
      <c r="P1058" s="140"/>
      <c r="Q1058" s="152"/>
    </row>
    <row r="1059" customHeight="1" spans="16:17">
      <c r="P1059" s="140"/>
      <c r="Q1059" s="152"/>
    </row>
    <row r="1060" customHeight="1" spans="16:17">
      <c r="P1060" s="140"/>
      <c r="Q1060" s="152"/>
    </row>
    <row r="1061" customHeight="1" spans="16:17">
      <c r="P1061" s="140"/>
      <c r="Q1061" s="152"/>
    </row>
    <row r="1062" customHeight="1" spans="16:17">
      <c r="P1062" s="140"/>
      <c r="Q1062" s="152"/>
    </row>
    <row r="1063" customHeight="1" spans="16:17">
      <c r="P1063" s="140"/>
      <c r="Q1063" s="152"/>
    </row>
    <row r="1064" customHeight="1" spans="16:17">
      <c r="P1064" s="140"/>
      <c r="Q1064" s="152"/>
    </row>
    <row r="1065" customHeight="1" spans="16:17">
      <c r="P1065" s="140"/>
      <c r="Q1065" s="152"/>
    </row>
    <row r="1066" customHeight="1" spans="16:17">
      <c r="P1066" s="140"/>
      <c r="Q1066" s="152"/>
    </row>
    <row r="1067" customHeight="1" spans="16:17">
      <c r="P1067" s="140"/>
      <c r="Q1067" s="152"/>
    </row>
    <row r="1068" customHeight="1" spans="16:17">
      <c r="P1068" s="140"/>
      <c r="Q1068" s="152"/>
    </row>
    <row r="1069" customHeight="1" spans="16:17">
      <c r="P1069" s="140"/>
      <c r="Q1069" s="152"/>
    </row>
    <row r="1070" customHeight="1" spans="16:17">
      <c r="P1070" s="140"/>
      <c r="Q1070" s="152"/>
    </row>
    <row r="1071" customHeight="1" spans="16:17">
      <c r="P1071" s="140"/>
      <c r="Q1071" s="152"/>
    </row>
    <row r="1072" customHeight="1" spans="16:17">
      <c r="P1072" s="140"/>
      <c r="Q1072" s="152"/>
    </row>
    <row r="1073" customHeight="1" spans="16:17">
      <c r="P1073" s="140"/>
      <c r="Q1073" s="152"/>
    </row>
    <row r="1074" customHeight="1" spans="16:17">
      <c r="P1074" s="140"/>
      <c r="Q1074" s="152"/>
    </row>
    <row r="1075" customHeight="1" spans="16:17">
      <c r="P1075" s="140"/>
      <c r="Q1075" s="152"/>
    </row>
    <row r="1076" customHeight="1" spans="16:17">
      <c r="P1076" s="140"/>
      <c r="Q1076" s="152"/>
    </row>
    <row r="1077" customHeight="1" spans="16:17">
      <c r="P1077" s="140"/>
      <c r="Q1077" s="152"/>
    </row>
    <row r="1078" customHeight="1" spans="16:17">
      <c r="P1078" s="140"/>
      <c r="Q1078" s="152"/>
    </row>
    <row r="1079" customHeight="1" spans="16:17">
      <c r="P1079" s="140"/>
      <c r="Q1079" s="152"/>
    </row>
    <row r="1080" customHeight="1" spans="16:17">
      <c r="P1080" s="140"/>
      <c r="Q1080" s="152"/>
    </row>
    <row r="1081" customHeight="1" spans="16:17">
      <c r="P1081" s="140"/>
      <c r="Q1081" s="152"/>
    </row>
    <row r="1082" customHeight="1" spans="16:17">
      <c r="P1082" s="140"/>
      <c r="Q1082" s="152"/>
    </row>
    <row r="1083" customHeight="1" spans="16:17">
      <c r="P1083" s="140"/>
      <c r="Q1083" s="152"/>
    </row>
    <row r="1084" customHeight="1" spans="16:17">
      <c r="P1084" s="140"/>
      <c r="Q1084" s="152"/>
    </row>
    <row r="1085" customHeight="1" spans="16:17">
      <c r="P1085" s="140"/>
      <c r="Q1085" s="152"/>
    </row>
    <row r="1086" customHeight="1" spans="16:17">
      <c r="P1086" s="140"/>
      <c r="Q1086" s="152"/>
    </row>
    <row r="1087" customHeight="1" spans="16:17">
      <c r="P1087" s="140"/>
      <c r="Q1087" s="152"/>
    </row>
    <row r="1088" customHeight="1" spans="16:17">
      <c r="P1088" s="140"/>
      <c r="Q1088" s="152"/>
    </row>
    <row r="1089" customHeight="1" spans="16:17">
      <c r="P1089" s="140"/>
      <c r="Q1089" s="152"/>
    </row>
    <row r="1090" customHeight="1" spans="16:17">
      <c r="P1090" s="140"/>
      <c r="Q1090" s="152"/>
    </row>
    <row r="1091" customHeight="1" spans="16:17">
      <c r="P1091" s="140"/>
      <c r="Q1091" s="152"/>
    </row>
    <row r="1092" customHeight="1" spans="16:17">
      <c r="P1092" s="140"/>
      <c r="Q1092" s="152"/>
    </row>
    <row r="1093" customHeight="1" spans="16:17">
      <c r="P1093" s="140"/>
      <c r="Q1093" s="152"/>
    </row>
    <row r="1094" customHeight="1" spans="16:17">
      <c r="P1094" s="140"/>
      <c r="Q1094" s="152"/>
    </row>
    <row r="1095" customHeight="1" spans="16:17">
      <c r="P1095" s="140"/>
      <c r="Q1095" s="152"/>
    </row>
    <row r="1096" customHeight="1" spans="16:17">
      <c r="P1096" s="140"/>
      <c r="Q1096" s="152"/>
    </row>
    <row r="1097" customHeight="1" spans="16:17">
      <c r="P1097" s="140"/>
      <c r="Q1097" s="152"/>
    </row>
    <row r="1098" customHeight="1" spans="16:17">
      <c r="P1098" s="140"/>
      <c r="Q1098" s="152"/>
    </row>
    <row r="1099" customHeight="1" spans="16:17">
      <c r="P1099" s="140"/>
      <c r="Q1099" s="152"/>
    </row>
    <row r="1100" customHeight="1" spans="16:17">
      <c r="P1100" s="140"/>
      <c r="Q1100" s="152"/>
    </row>
    <row r="1101" customHeight="1" spans="16:17">
      <c r="P1101" s="140"/>
      <c r="Q1101" s="152"/>
    </row>
    <row r="1102" customHeight="1" spans="16:17">
      <c r="P1102" s="140"/>
      <c r="Q1102" s="152"/>
    </row>
    <row r="1103" customHeight="1" spans="16:17">
      <c r="P1103" s="140"/>
      <c r="Q1103" s="152"/>
    </row>
    <row r="1104" customHeight="1" spans="16:17">
      <c r="P1104" s="140"/>
      <c r="Q1104" s="152"/>
    </row>
    <row r="1105" customHeight="1" spans="16:17">
      <c r="P1105" s="140"/>
      <c r="Q1105" s="152"/>
    </row>
    <row r="1106" customHeight="1" spans="16:17">
      <c r="P1106" s="140"/>
      <c r="Q1106" s="152"/>
    </row>
    <row r="1107" customHeight="1" spans="16:17">
      <c r="P1107" s="140"/>
      <c r="Q1107" s="152"/>
    </row>
    <row r="1108" customHeight="1" spans="16:17">
      <c r="P1108" s="140"/>
      <c r="Q1108" s="152"/>
    </row>
    <row r="1109" customHeight="1" spans="16:17">
      <c r="P1109" s="140"/>
      <c r="Q1109" s="152"/>
    </row>
    <row r="1110" customHeight="1" spans="16:17">
      <c r="P1110" s="140"/>
      <c r="Q1110" s="152"/>
    </row>
    <row r="1111" customHeight="1" spans="16:17">
      <c r="P1111" s="140"/>
      <c r="Q1111" s="152"/>
    </row>
    <row r="1112" customHeight="1" spans="16:17">
      <c r="P1112" s="140"/>
      <c r="Q1112" s="152"/>
    </row>
    <row r="1113" customHeight="1" spans="16:17">
      <c r="P1113" s="140"/>
      <c r="Q1113" s="152"/>
    </row>
    <row r="1114" customHeight="1" spans="16:17">
      <c r="P1114" s="140"/>
      <c r="Q1114" s="152"/>
    </row>
    <row r="1115" customHeight="1" spans="16:17">
      <c r="P1115" s="140"/>
      <c r="Q1115" s="152"/>
    </row>
    <row r="1116" customHeight="1" spans="16:17">
      <c r="P1116" s="140"/>
      <c r="Q1116" s="152"/>
    </row>
    <row r="1117" customHeight="1" spans="16:17">
      <c r="P1117" s="140"/>
      <c r="Q1117" s="152"/>
    </row>
    <row r="1118" customHeight="1" spans="16:17">
      <c r="P1118" s="140"/>
      <c r="Q1118" s="152"/>
    </row>
    <row r="1119" customHeight="1" spans="16:17">
      <c r="P1119" s="140"/>
      <c r="Q1119" s="152"/>
    </row>
    <row r="1120" customHeight="1" spans="16:17">
      <c r="P1120" s="140"/>
      <c r="Q1120" s="152"/>
    </row>
    <row r="1121" customHeight="1" spans="16:17">
      <c r="P1121" s="140"/>
      <c r="Q1121" s="152"/>
    </row>
    <row r="1122" customHeight="1" spans="16:17">
      <c r="P1122" s="140"/>
      <c r="Q1122" s="152"/>
    </row>
    <row r="1123" customHeight="1" spans="16:17">
      <c r="P1123" s="140"/>
      <c r="Q1123" s="152"/>
    </row>
    <row r="1124" customHeight="1" spans="16:17">
      <c r="P1124" s="140"/>
      <c r="Q1124" s="152"/>
    </row>
    <row r="1125" customHeight="1" spans="16:17">
      <c r="P1125" s="140"/>
      <c r="Q1125" s="152"/>
    </row>
    <row r="1126" customHeight="1" spans="16:17">
      <c r="P1126" s="140"/>
      <c r="Q1126" s="152"/>
    </row>
    <row r="1127" customHeight="1" spans="16:17">
      <c r="P1127" s="140"/>
      <c r="Q1127" s="152"/>
    </row>
    <row r="1128" customHeight="1" spans="16:17">
      <c r="P1128" s="140"/>
      <c r="Q1128" s="152"/>
    </row>
    <row r="1129" customHeight="1" spans="16:17">
      <c r="P1129" s="140"/>
      <c r="Q1129" s="152"/>
    </row>
    <row r="1130" customHeight="1" spans="16:17">
      <c r="P1130" s="140"/>
      <c r="Q1130" s="152"/>
    </row>
    <row r="1131" customHeight="1" spans="16:17">
      <c r="P1131" s="140"/>
      <c r="Q1131" s="152"/>
    </row>
    <row r="1132" customHeight="1" spans="16:17">
      <c r="P1132" s="140"/>
      <c r="Q1132" s="152"/>
    </row>
    <row r="1133" customHeight="1" spans="16:17">
      <c r="P1133" s="140"/>
      <c r="Q1133" s="152"/>
    </row>
    <row r="1134" customHeight="1" spans="16:17">
      <c r="P1134" s="140"/>
      <c r="Q1134" s="152"/>
    </row>
    <row r="1135" customHeight="1" spans="16:17">
      <c r="P1135" s="140"/>
      <c r="Q1135" s="152"/>
    </row>
    <row r="1136" customHeight="1" spans="16:17">
      <c r="P1136" s="140"/>
      <c r="Q1136" s="152"/>
    </row>
    <row r="1137" customHeight="1" spans="16:17">
      <c r="P1137" s="140"/>
      <c r="Q1137" s="152"/>
    </row>
    <row r="1138" customHeight="1" spans="16:17">
      <c r="P1138" s="140"/>
      <c r="Q1138" s="152"/>
    </row>
    <row r="1139" customHeight="1" spans="16:17">
      <c r="P1139" s="140"/>
      <c r="Q1139" s="152"/>
    </row>
    <row r="1140" customHeight="1" spans="16:17">
      <c r="P1140" s="140"/>
      <c r="Q1140" s="152"/>
    </row>
    <row r="1141" customHeight="1" spans="16:17">
      <c r="P1141" s="140"/>
      <c r="Q1141" s="152"/>
    </row>
    <row r="1142" customHeight="1" spans="16:17">
      <c r="P1142" s="140"/>
      <c r="Q1142" s="152"/>
    </row>
    <row r="1143" customHeight="1" spans="16:17">
      <c r="P1143" s="140"/>
      <c r="Q1143" s="152"/>
    </row>
    <row r="1144" customHeight="1" spans="16:17">
      <c r="P1144" s="140"/>
      <c r="Q1144" s="152"/>
    </row>
    <row r="1145" customHeight="1" spans="16:17">
      <c r="P1145" s="140"/>
      <c r="Q1145" s="152"/>
    </row>
    <row r="1146" customHeight="1" spans="16:17">
      <c r="P1146" s="140"/>
      <c r="Q1146" s="152"/>
    </row>
    <row r="1147" customHeight="1" spans="16:17">
      <c r="P1147" s="140"/>
      <c r="Q1147" s="152"/>
    </row>
    <row r="1148" customHeight="1" spans="16:17">
      <c r="P1148" s="140"/>
      <c r="Q1148" s="152"/>
    </row>
    <row r="1149" customHeight="1" spans="16:17">
      <c r="P1149" s="140"/>
      <c r="Q1149" s="152"/>
    </row>
    <row r="1150" customHeight="1" spans="16:17">
      <c r="P1150" s="140"/>
      <c r="Q1150" s="152"/>
    </row>
    <row r="1151" customHeight="1" spans="16:17">
      <c r="P1151" s="140"/>
      <c r="Q1151" s="152"/>
    </row>
    <row r="1152" customHeight="1" spans="16:17">
      <c r="P1152" s="140"/>
      <c r="Q1152" s="152"/>
    </row>
    <row r="1153" customHeight="1" spans="16:17">
      <c r="P1153" s="140"/>
      <c r="Q1153" s="152"/>
    </row>
    <row r="1154" customHeight="1" spans="16:17">
      <c r="P1154" s="140"/>
      <c r="Q1154" s="152"/>
    </row>
    <row r="1155" customHeight="1" spans="16:17">
      <c r="P1155" s="140"/>
      <c r="Q1155" s="152"/>
    </row>
    <row r="1156" customHeight="1" spans="16:17">
      <c r="P1156" s="140"/>
      <c r="Q1156" s="152"/>
    </row>
    <row r="1157" customHeight="1" spans="16:17">
      <c r="P1157" s="140"/>
      <c r="Q1157" s="152"/>
    </row>
    <row r="1158" customHeight="1" spans="16:17">
      <c r="P1158" s="140"/>
      <c r="Q1158" s="152"/>
    </row>
    <row r="1159" customHeight="1" spans="16:17">
      <c r="P1159" s="140"/>
      <c r="Q1159" s="152"/>
    </row>
    <row r="1160" customHeight="1" spans="16:17">
      <c r="P1160" s="140"/>
      <c r="Q1160" s="152"/>
    </row>
    <row r="1161" customHeight="1" spans="16:17">
      <c r="P1161" s="140"/>
      <c r="Q1161" s="152"/>
    </row>
    <row r="1162" customHeight="1" spans="16:17">
      <c r="P1162" s="140"/>
      <c r="Q1162" s="152"/>
    </row>
    <row r="1163" customHeight="1" spans="16:17">
      <c r="P1163" s="140"/>
      <c r="Q1163" s="152"/>
    </row>
    <row r="1164" customHeight="1" spans="16:17">
      <c r="P1164" s="140"/>
      <c r="Q1164" s="152"/>
    </row>
    <row r="1165" customHeight="1" spans="16:17">
      <c r="P1165" s="140"/>
      <c r="Q1165" s="152"/>
    </row>
    <row r="1166" customHeight="1" spans="16:17">
      <c r="P1166" s="140"/>
      <c r="Q1166" s="152"/>
    </row>
    <row r="1167" customHeight="1" spans="16:17">
      <c r="P1167" s="140"/>
      <c r="Q1167" s="152"/>
    </row>
    <row r="1168" customHeight="1" spans="16:17">
      <c r="P1168" s="140"/>
      <c r="Q1168" s="152"/>
    </row>
    <row r="1169" customHeight="1" spans="16:17">
      <c r="P1169" s="140"/>
      <c r="Q1169" s="152"/>
    </row>
    <row r="1170" customHeight="1" spans="16:17">
      <c r="P1170" s="140"/>
      <c r="Q1170" s="152"/>
    </row>
    <row r="1171" customHeight="1" spans="16:17">
      <c r="P1171" s="140"/>
      <c r="Q1171" s="152"/>
    </row>
    <row r="1172" customHeight="1" spans="16:17">
      <c r="P1172" s="140"/>
      <c r="Q1172" s="152"/>
    </row>
    <row r="1173" customHeight="1" spans="16:17">
      <c r="P1173" s="140"/>
      <c r="Q1173" s="152"/>
    </row>
    <row r="1174" customHeight="1" spans="16:17">
      <c r="P1174" s="140"/>
      <c r="Q1174" s="152"/>
    </row>
    <row r="1175" customHeight="1" spans="16:17">
      <c r="P1175" s="140"/>
      <c r="Q1175" s="152"/>
    </row>
    <row r="1176" customHeight="1" spans="16:17">
      <c r="P1176" s="140"/>
      <c r="Q1176" s="152"/>
    </row>
    <row r="1177" customHeight="1" spans="16:17">
      <c r="P1177" s="140"/>
      <c r="Q1177" s="152"/>
    </row>
    <row r="1178" customHeight="1" spans="16:17">
      <c r="P1178" s="140"/>
      <c r="Q1178" s="152"/>
    </row>
    <row r="1179" customHeight="1" spans="16:17">
      <c r="P1179" s="140"/>
      <c r="Q1179" s="152"/>
    </row>
    <row r="1180" customHeight="1" spans="16:17">
      <c r="P1180" s="140"/>
      <c r="Q1180" s="152"/>
    </row>
    <row r="1181" customHeight="1" spans="16:17">
      <c r="P1181" s="140"/>
      <c r="Q1181" s="152"/>
    </row>
    <row r="1182" customHeight="1" spans="16:17">
      <c r="P1182" s="140"/>
      <c r="Q1182" s="152"/>
    </row>
    <row r="1183" customHeight="1" spans="16:17">
      <c r="P1183" s="140"/>
      <c r="Q1183" s="152"/>
    </row>
    <row r="1184" customHeight="1" spans="16:17">
      <c r="P1184" s="140"/>
      <c r="Q1184" s="152"/>
    </row>
    <row r="1185" customHeight="1" spans="16:17">
      <c r="P1185" s="140"/>
      <c r="Q1185" s="152"/>
    </row>
    <row r="1186" customHeight="1" spans="16:17">
      <c r="P1186" s="140"/>
      <c r="Q1186" s="152"/>
    </row>
    <row r="1187" customHeight="1" spans="16:17">
      <c r="P1187" s="140"/>
      <c r="Q1187" s="152"/>
    </row>
    <row r="1188" customHeight="1" spans="16:17">
      <c r="P1188" s="140"/>
      <c r="Q1188" s="152"/>
    </row>
    <row r="1189" customHeight="1" spans="16:17">
      <c r="P1189" s="140"/>
      <c r="Q1189" s="152"/>
    </row>
    <row r="1190" customHeight="1" spans="16:17">
      <c r="P1190" s="140"/>
      <c r="Q1190" s="152"/>
    </row>
    <row r="1191" customHeight="1" spans="16:17">
      <c r="P1191" s="140"/>
      <c r="Q1191" s="152"/>
    </row>
    <row r="1192" customHeight="1" spans="16:17">
      <c r="P1192" s="140"/>
      <c r="Q1192" s="152"/>
    </row>
    <row r="1193" customHeight="1" spans="16:17">
      <c r="P1193" s="140"/>
      <c r="Q1193" s="152"/>
    </row>
    <row r="1194" customHeight="1" spans="16:17">
      <c r="P1194" s="140"/>
      <c r="Q1194" s="152"/>
    </row>
    <row r="1195" customHeight="1" spans="16:17">
      <c r="P1195" s="140"/>
      <c r="Q1195" s="152"/>
    </row>
    <row r="1196" customHeight="1" spans="16:17">
      <c r="P1196" s="140"/>
      <c r="Q1196" s="152"/>
    </row>
    <row r="1197" customHeight="1" spans="16:17">
      <c r="P1197" s="140"/>
      <c r="Q1197" s="152"/>
    </row>
    <row r="1198" customHeight="1" spans="16:17">
      <c r="P1198" s="140"/>
      <c r="Q1198" s="152"/>
    </row>
    <row r="1199" customHeight="1" spans="16:17">
      <c r="P1199" s="140"/>
      <c r="Q1199" s="152"/>
    </row>
    <row r="1200" customHeight="1" spans="16:17">
      <c r="P1200" s="140"/>
      <c r="Q1200" s="152"/>
    </row>
    <row r="1201" customHeight="1" spans="16:17">
      <c r="P1201" s="140"/>
      <c r="Q1201" s="152"/>
    </row>
    <row r="1202" customHeight="1" spans="16:17">
      <c r="P1202" s="140"/>
      <c r="Q1202" s="152"/>
    </row>
    <row r="1203" customHeight="1" spans="16:17">
      <c r="P1203" s="140"/>
      <c r="Q1203" s="152"/>
    </row>
    <row r="1204" customHeight="1" spans="16:17">
      <c r="P1204" s="140"/>
      <c r="Q1204" s="152"/>
    </row>
    <row r="1205" customHeight="1" spans="16:17">
      <c r="P1205" s="140"/>
      <c r="Q1205" s="152"/>
    </row>
    <row r="1206" customHeight="1" spans="16:17">
      <c r="P1206" s="140"/>
      <c r="Q1206" s="152"/>
    </row>
    <row r="1207" customHeight="1" spans="16:17">
      <c r="P1207" s="140"/>
      <c r="Q1207" s="152"/>
    </row>
    <row r="1208" customHeight="1" spans="16:17">
      <c r="P1208" s="140"/>
      <c r="Q1208" s="152"/>
    </row>
    <row r="1209" customHeight="1" spans="16:17">
      <c r="P1209" s="140"/>
      <c r="Q1209" s="152"/>
    </row>
    <row r="1210" customHeight="1" spans="16:17">
      <c r="P1210" s="140"/>
      <c r="Q1210" s="152"/>
    </row>
    <row r="1211" customHeight="1" spans="16:17">
      <c r="P1211" s="140"/>
      <c r="Q1211" s="152"/>
    </row>
    <row r="1212" customHeight="1" spans="16:17">
      <c r="P1212" s="140"/>
      <c r="Q1212" s="152"/>
    </row>
    <row r="1213" customHeight="1" spans="16:17">
      <c r="P1213" s="140"/>
      <c r="Q1213" s="152"/>
    </row>
    <row r="1214" customHeight="1" spans="16:17">
      <c r="P1214" s="140"/>
      <c r="Q1214" s="152"/>
    </row>
    <row r="1215" customHeight="1" spans="16:17">
      <c r="P1215" s="140"/>
      <c r="Q1215" s="152"/>
    </row>
    <row r="1216" customHeight="1" spans="16:17">
      <c r="P1216" s="140"/>
      <c r="Q1216" s="152"/>
    </row>
    <row r="1217" customHeight="1" spans="16:17">
      <c r="P1217" s="140"/>
      <c r="Q1217" s="152"/>
    </row>
    <row r="1218" customHeight="1" spans="16:17">
      <c r="P1218" s="140"/>
      <c r="Q1218" s="152"/>
    </row>
    <row r="1219" customHeight="1" spans="16:17">
      <c r="P1219" s="140"/>
      <c r="Q1219" s="152"/>
    </row>
    <row r="1220" customHeight="1" spans="16:17">
      <c r="P1220" s="140"/>
      <c r="Q1220" s="152"/>
    </row>
    <row r="1221" customHeight="1" spans="16:17">
      <c r="P1221" s="140"/>
      <c r="Q1221" s="152"/>
    </row>
    <row r="1222" customHeight="1" spans="16:17">
      <c r="P1222" s="140"/>
      <c r="Q1222" s="152"/>
    </row>
    <row r="1223" customHeight="1" spans="16:17">
      <c r="P1223" s="140"/>
      <c r="Q1223" s="152"/>
    </row>
    <row r="1224" customHeight="1" spans="16:17">
      <c r="P1224" s="140"/>
      <c r="Q1224" s="152"/>
    </row>
    <row r="1225" customHeight="1" spans="16:17">
      <c r="P1225" s="140"/>
      <c r="Q1225" s="152"/>
    </row>
    <row r="1226" customHeight="1" spans="16:17">
      <c r="P1226" s="140"/>
      <c r="Q1226" s="152"/>
    </row>
    <row r="1227" customHeight="1" spans="16:17">
      <c r="P1227" s="140"/>
      <c r="Q1227" s="152"/>
    </row>
    <row r="1228" customHeight="1" spans="16:17">
      <c r="P1228" s="140"/>
      <c r="Q1228" s="152"/>
    </row>
    <row r="1229" customHeight="1" spans="16:17">
      <c r="P1229" s="140"/>
      <c r="Q1229" s="152"/>
    </row>
    <row r="1230" customHeight="1" spans="16:17">
      <c r="P1230" s="140"/>
      <c r="Q1230" s="152"/>
    </row>
    <row r="1231" customHeight="1" spans="16:17">
      <c r="P1231" s="140"/>
      <c r="Q1231" s="152"/>
    </row>
    <row r="1232" customHeight="1" spans="16:17">
      <c r="P1232" s="140"/>
      <c r="Q1232" s="152"/>
    </row>
    <row r="1233" customHeight="1" spans="16:17">
      <c r="P1233" s="140"/>
      <c r="Q1233" s="152"/>
    </row>
    <row r="1234" customHeight="1" spans="16:17">
      <c r="P1234" s="140"/>
      <c r="Q1234" s="152"/>
    </row>
    <row r="1235" customHeight="1" spans="16:17">
      <c r="P1235" s="140"/>
      <c r="Q1235" s="152"/>
    </row>
    <row r="1236" customHeight="1" spans="16:17">
      <c r="P1236" s="140"/>
      <c r="Q1236" s="152"/>
    </row>
    <row r="1237" customHeight="1" spans="16:17">
      <c r="P1237" s="140"/>
      <c r="Q1237" s="152"/>
    </row>
    <row r="1238" customHeight="1" spans="16:17">
      <c r="P1238" s="140"/>
      <c r="Q1238" s="152"/>
    </row>
    <row r="1239" customHeight="1" spans="16:17">
      <c r="P1239" s="140"/>
      <c r="Q1239" s="152"/>
    </row>
    <row r="1240" customHeight="1" spans="16:17">
      <c r="P1240" s="140"/>
      <c r="Q1240" s="152"/>
    </row>
    <row r="1241" customHeight="1" spans="16:17">
      <c r="P1241" s="140"/>
      <c r="Q1241" s="152"/>
    </row>
    <row r="1242" customHeight="1" spans="16:17">
      <c r="P1242" s="140"/>
      <c r="Q1242" s="152"/>
    </row>
    <row r="1243" customHeight="1" spans="16:17">
      <c r="P1243" s="140"/>
      <c r="Q1243" s="152"/>
    </row>
    <row r="1244" customHeight="1" spans="16:17">
      <c r="P1244" s="140"/>
      <c r="Q1244" s="152"/>
    </row>
    <row r="1245" customHeight="1" spans="16:17">
      <c r="P1245" s="140"/>
      <c r="Q1245" s="152"/>
    </row>
    <row r="1246" customHeight="1" spans="16:17">
      <c r="P1246" s="140"/>
      <c r="Q1246" s="152"/>
    </row>
    <row r="1247" customHeight="1" spans="16:17">
      <c r="P1247" s="140"/>
      <c r="Q1247" s="152"/>
    </row>
    <row r="1248" customHeight="1" spans="16:17">
      <c r="P1248" s="140"/>
      <c r="Q1248" s="152"/>
    </row>
    <row r="1249" customHeight="1" spans="16:17">
      <c r="P1249" s="140"/>
      <c r="Q1249" s="152"/>
    </row>
    <row r="1250" customHeight="1" spans="16:17">
      <c r="P1250" s="140"/>
      <c r="Q1250" s="152"/>
    </row>
    <row r="1251" customHeight="1" spans="16:17">
      <c r="P1251" s="140"/>
      <c r="Q1251" s="152"/>
    </row>
    <row r="1252" customHeight="1" spans="16:17">
      <c r="P1252" s="140"/>
      <c r="Q1252" s="152"/>
    </row>
    <row r="1253" customHeight="1" spans="16:17">
      <c r="P1253" s="140"/>
      <c r="Q1253" s="152"/>
    </row>
    <row r="1254" customHeight="1" spans="16:17">
      <c r="P1254" s="140"/>
      <c r="Q1254" s="152"/>
    </row>
    <row r="1255" customHeight="1" spans="16:17">
      <c r="P1255" s="140"/>
      <c r="Q1255" s="152"/>
    </row>
    <row r="1256" customHeight="1" spans="16:17">
      <c r="P1256" s="140"/>
      <c r="Q1256" s="152"/>
    </row>
    <row r="1257" customHeight="1" spans="16:17">
      <c r="P1257" s="140"/>
      <c r="Q1257" s="152"/>
    </row>
    <row r="1258" customHeight="1" spans="16:17">
      <c r="P1258" s="140"/>
      <c r="Q1258" s="152"/>
    </row>
    <row r="1259" customHeight="1" spans="16:17">
      <c r="P1259" s="140"/>
      <c r="Q1259" s="152"/>
    </row>
    <row r="1260" customHeight="1" spans="16:17">
      <c r="P1260" s="140"/>
      <c r="Q1260" s="152"/>
    </row>
    <row r="1261" customHeight="1" spans="16:17">
      <c r="P1261" s="140"/>
      <c r="Q1261" s="152"/>
    </row>
    <row r="1262" customHeight="1" spans="16:17">
      <c r="P1262" s="140"/>
      <c r="Q1262" s="152"/>
    </row>
    <row r="1263" customHeight="1" spans="16:17">
      <c r="P1263" s="140"/>
      <c r="Q1263" s="152"/>
    </row>
    <row r="1264" customHeight="1" spans="16:17">
      <c r="P1264" s="140"/>
      <c r="Q1264" s="152"/>
    </row>
    <row r="1265" customHeight="1" spans="16:17">
      <c r="P1265" s="140"/>
      <c r="Q1265" s="152"/>
    </row>
    <row r="1266" customHeight="1" spans="16:17">
      <c r="P1266" s="140"/>
      <c r="Q1266" s="152"/>
    </row>
    <row r="1267" customHeight="1" spans="16:17">
      <c r="P1267" s="140"/>
      <c r="Q1267" s="152"/>
    </row>
    <row r="1268" customHeight="1" spans="16:17">
      <c r="P1268" s="140"/>
      <c r="Q1268" s="152"/>
    </row>
    <row r="1269" customHeight="1" spans="16:17">
      <c r="P1269" s="140"/>
      <c r="Q1269" s="152"/>
    </row>
    <row r="1270" customHeight="1" spans="16:17">
      <c r="P1270" s="140"/>
      <c r="Q1270" s="152"/>
    </row>
    <row r="1271" customHeight="1" spans="16:17">
      <c r="P1271" s="140"/>
      <c r="Q1271" s="152"/>
    </row>
    <row r="1272" customHeight="1" spans="16:16">
      <c r="P1272" s="140"/>
    </row>
    <row r="1273" customHeight="1" spans="16:16">
      <c r="P1273" s="140"/>
    </row>
    <row r="1274" customHeight="1" spans="16:16">
      <c r="P1274" s="140"/>
    </row>
  </sheetData>
  <autoFilter xmlns:etc="http://www.wps.cn/officeDocument/2017/etCustomData" ref="F1:I87" etc:filterBottomFollowUsedRange="0">
    <extLst/>
  </autoFilter>
  <sortState ref="F2:I86">
    <sortCondition ref="F2"/>
  </sortState>
  <mergeCells count="4">
    <mergeCell ref="E1:E1048576"/>
    <mergeCell ref="J1:J1048576"/>
    <mergeCell ref="O1:O1048576"/>
    <mergeCell ref="T1:T1048576"/>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29"/>
  <sheetViews>
    <sheetView tabSelected="1" zoomScale="80" zoomScaleNormal="80" workbookViewId="0">
      <pane xSplit="5" ySplit="1" topLeftCell="F2" activePane="bottomRight" state="frozen"/>
      <selection/>
      <selection pane="topRight"/>
      <selection pane="bottomLeft"/>
      <selection pane="bottomRight" activeCell="U135" sqref="U135"/>
    </sheetView>
  </sheetViews>
  <sheetFormatPr defaultColWidth="18.1090909090909" defaultRowHeight="20.1" customHeight="1"/>
  <cols>
    <col min="1" max="1" width="12.3363636363636" style="89" hidden="1" customWidth="1"/>
    <col min="2" max="2" width="17.4454545454545" style="90" customWidth="1"/>
    <col min="3" max="3" width="9.33636363636364" style="89" customWidth="1"/>
    <col min="4" max="4" width="20.1090909090909" style="91" customWidth="1"/>
    <col min="5" max="5" width="6.33636363636364" style="89" customWidth="1"/>
    <col min="6" max="6" width="8.89090909090909" style="89" customWidth="1"/>
    <col min="7" max="7" width="9.42727272727273" style="89" customWidth="1"/>
    <col min="8" max="8" width="7" style="89" customWidth="1"/>
    <col min="9" max="9" width="9.77272727272727" style="89" customWidth="1"/>
    <col min="10" max="11" width="7" style="89" customWidth="1"/>
    <col min="12" max="12" width="9.09090909090909" style="89" customWidth="1"/>
    <col min="13" max="13" width="12.2727272727273" style="89" customWidth="1"/>
    <col min="14" max="14" width="7.33636363636364" style="89" customWidth="1"/>
    <col min="15" max="15" width="6.13636363636364" style="89" hidden="1" customWidth="1"/>
    <col min="16" max="16" width="4.21818181818182" style="89" hidden="1" customWidth="1"/>
    <col min="17" max="17" width="6.24545454545455" style="89" hidden="1" customWidth="1"/>
    <col min="18" max="18" width="4.66363636363636" style="89" hidden="1" customWidth="1"/>
    <col min="19" max="19" width="11.3272727272727" style="89" customWidth="1"/>
    <col min="20" max="20" width="10.7909090909091" style="89" customWidth="1"/>
    <col min="21" max="21" width="11.4727272727273" style="89" customWidth="1"/>
    <col min="22" max="22" width="9.88181818181818" style="89" customWidth="1"/>
    <col min="23" max="23" width="10.5727272727273" style="89" customWidth="1"/>
    <col min="24" max="24" width="7.66363636363636" style="89" customWidth="1"/>
    <col min="25" max="25" width="8.44545454545455" style="89" customWidth="1"/>
    <col min="26" max="26" width="9.54545454545454" style="92" customWidth="1"/>
    <col min="27" max="27" width="7.66363636363636" style="89" customWidth="1"/>
    <col min="28" max="28" width="16.3636363636364" style="89" customWidth="1"/>
    <col min="29" max="29" width="8.10909090909091" style="89" customWidth="1"/>
    <col min="30" max="30" width="11.8727272727273" style="89" customWidth="1"/>
    <col min="31" max="31" width="14.6545454545455" style="89" customWidth="1"/>
    <col min="32" max="32" width="10.2181818181818" style="89" customWidth="1"/>
    <col min="33" max="16384" width="18.1090909090909" style="89"/>
  </cols>
  <sheetData>
    <row r="1" s="82" customFormat="1" customHeight="1" spans="1:32">
      <c r="A1" s="82" t="s">
        <v>593</v>
      </c>
      <c r="B1" s="93" t="s">
        <v>594</v>
      </c>
      <c r="C1" s="82" t="s">
        <v>585</v>
      </c>
      <c r="D1" s="94" t="s">
        <v>595</v>
      </c>
      <c r="E1" s="82" t="s">
        <v>596</v>
      </c>
      <c r="F1" s="82" t="s">
        <v>590</v>
      </c>
      <c r="G1" s="82" t="s">
        <v>597</v>
      </c>
      <c r="H1" s="82" t="s">
        <v>598</v>
      </c>
      <c r="I1" s="82" t="s">
        <v>599</v>
      </c>
      <c r="J1" s="82" t="s">
        <v>600</v>
      </c>
      <c r="K1" s="82" t="s">
        <v>601</v>
      </c>
      <c r="L1" s="82" t="s">
        <v>602</v>
      </c>
      <c r="M1" s="82" t="s">
        <v>603</v>
      </c>
      <c r="N1" s="82" t="s">
        <v>604</v>
      </c>
      <c r="O1" s="82" t="s">
        <v>605</v>
      </c>
      <c r="P1" s="82" t="s">
        <v>606</v>
      </c>
      <c r="Q1" s="82" t="s">
        <v>607</v>
      </c>
      <c r="R1" s="82" t="s">
        <v>608</v>
      </c>
      <c r="S1" s="82" t="s">
        <v>609</v>
      </c>
      <c r="T1" s="82" t="s">
        <v>610</v>
      </c>
      <c r="U1" s="82" t="s">
        <v>611</v>
      </c>
      <c r="V1" s="82" t="s">
        <v>612</v>
      </c>
      <c r="W1" s="82" t="s">
        <v>613</v>
      </c>
      <c r="X1" s="82" t="s">
        <v>614</v>
      </c>
      <c r="Y1" s="82" t="s">
        <v>615</v>
      </c>
      <c r="Z1" s="107" t="s">
        <v>616</v>
      </c>
      <c r="AA1" s="82" t="s">
        <v>617</v>
      </c>
      <c r="AB1" s="82" t="s">
        <v>618</v>
      </c>
      <c r="AC1" s="82" t="s">
        <v>619</v>
      </c>
      <c r="AD1" s="82" t="s">
        <v>620</v>
      </c>
      <c r="AE1" s="82" t="s">
        <v>612</v>
      </c>
      <c r="AF1" s="82" t="s">
        <v>621</v>
      </c>
    </row>
    <row r="2" s="83" customFormat="1" ht="13" spans="1:32">
      <c r="A2" s="95" t="s">
        <v>622</v>
      </c>
      <c r="B2" s="96" t="s">
        <v>623</v>
      </c>
      <c r="C2" s="96" t="s">
        <v>624</v>
      </c>
      <c r="D2" s="96" t="s">
        <v>625</v>
      </c>
      <c r="E2" s="83" t="s">
        <v>626</v>
      </c>
      <c r="F2" s="97"/>
      <c r="G2" s="97"/>
      <c r="H2" s="97"/>
      <c r="I2" s="97"/>
      <c r="J2" s="97"/>
      <c r="K2" s="97"/>
      <c r="L2" s="97"/>
      <c r="M2" s="97"/>
      <c r="N2" s="105">
        <f>SUM(G2:M2)</f>
        <v>0</v>
      </c>
      <c r="O2" s="83" t="s">
        <v>14</v>
      </c>
      <c r="P2" s="83" t="s">
        <v>14</v>
      </c>
      <c r="Q2" s="83" t="s">
        <v>14</v>
      </c>
      <c r="R2" s="83" t="s">
        <v>14</v>
      </c>
      <c r="S2" s="105">
        <v>19</v>
      </c>
      <c r="T2" s="105">
        <f t="shared" ref="T2:T33" si="0">S2-N2</f>
        <v>19</v>
      </c>
      <c r="U2" s="105">
        <f>AC2*15</f>
        <v>180</v>
      </c>
      <c r="V2" s="105">
        <f t="shared" ref="V2:V33" si="1">AE2-Z2*15</f>
        <v>75</v>
      </c>
      <c r="W2" s="105">
        <f>U2+V2</f>
        <v>255</v>
      </c>
      <c r="X2" s="83" t="s">
        <v>627</v>
      </c>
      <c r="Y2" s="83" t="s">
        <v>628</v>
      </c>
      <c r="Z2" s="99"/>
      <c r="AA2" s="105">
        <f>VLOOKUP(C2,餐补次数!$C$2:$D$17,2,0)</f>
        <v>7</v>
      </c>
      <c r="AB2" s="108"/>
      <c r="AC2" s="105">
        <f t="shared" ref="AC2:AC33" si="2">T2-AA2-AB2</f>
        <v>12</v>
      </c>
      <c r="AD2" s="105">
        <f>VLOOKUP(C2,餐补次数!$R$2:$S$150,2,0)</f>
        <v>5</v>
      </c>
      <c r="AE2" s="105">
        <f t="shared" ref="AE2:AE18" si="3">AD2*15</f>
        <v>75</v>
      </c>
      <c r="AF2" s="105">
        <f>U2+AE2-Z2*15</f>
        <v>255</v>
      </c>
    </row>
    <row r="3" s="83" customFormat="1" ht="13" spans="1:32">
      <c r="A3" s="95" t="s">
        <v>629</v>
      </c>
      <c r="B3" s="96" t="s">
        <v>623</v>
      </c>
      <c r="C3" s="96" t="s">
        <v>630</v>
      </c>
      <c r="D3" s="96" t="s">
        <v>631</v>
      </c>
      <c r="E3" s="83" t="s">
        <v>626</v>
      </c>
      <c r="F3" s="97"/>
      <c r="G3" s="97"/>
      <c r="H3" s="97"/>
      <c r="I3" s="97"/>
      <c r="J3" s="97"/>
      <c r="K3" s="97"/>
      <c r="L3" s="97"/>
      <c r="M3" s="97"/>
      <c r="N3" s="105">
        <f>SUM(G3:M3)</f>
        <v>0</v>
      </c>
      <c r="O3" s="83" t="s">
        <v>14</v>
      </c>
      <c r="P3" s="83" t="s">
        <v>14</v>
      </c>
      <c r="Q3" s="83" t="s">
        <v>14</v>
      </c>
      <c r="R3" s="83" t="s">
        <v>14</v>
      </c>
      <c r="S3" s="105">
        <v>19</v>
      </c>
      <c r="T3" s="105">
        <f t="shared" si="0"/>
        <v>19</v>
      </c>
      <c r="U3" s="105">
        <f t="shared" ref="U2:U18" si="4">AC3*15</f>
        <v>255</v>
      </c>
      <c r="V3" s="105">
        <f t="shared" si="1"/>
        <v>157.5</v>
      </c>
      <c r="W3" s="105">
        <f>U3+V3</f>
        <v>412.5</v>
      </c>
      <c r="X3" s="83" t="s">
        <v>627</v>
      </c>
      <c r="Y3" s="83" t="s">
        <v>628</v>
      </c>
      <c r="Z3" s="99"/>
      <c r="AA3" s="105">
        <f>VLOOKUP(C3,餐补次数!$C$2:$D$17,2,0)</f>
        <v>1</v>
      </c>
      <c r="AB3" s="108">
        <f>VLOOKUP(C3,餐补次数!$H$2:$I$100,2,0)</f>
        <v>1</v>
      </c>
      <c r="AC3" s="105">
        <f t="shared" si="2"/>
        <v>17</v>
      </c>
      <c r="AD3" s="105">
        <f>VLOOKUP(C3,餐补次数!$R$2:$S$150,2,0)</f>
        <v>10.5</v>
      </c>
      <c r="AE3" s="105">
        <f t="shared" si="3"/>
        <v>157.5</v>
      </c>
      <c r="AF3" s="105">
        <f t="shared" ref="AF3:AF34" si="5">U3+AE3-Z3*15</f>
        <v>412.5</v>
      </c>
    </row>
    <row r="4" s="83" customFormat="1" ht="13" spans="1:32">
      <c r="A4" s="95" t="s">
        <v>632</v>
      </c>
      <c r="B4" s="96" t="s">
        <v>623</v>
      </c>
      <c r="C4" s="96" t="s">
        <v>633</v>
      </c>
      <c r="D4" s="96" t="s">
        <v>631</v>
      </c>
      <c r="E4" s="83" t="s">
        <v>626</v>
      </c>
      <c r="F4" s="97"/>
      <c r="G4" s="97"/>
      <c r="H4" s="97"/>
      <c r="I4" s="97"/>
      <c r="J4" s="97"/>
      <c r="K4" s="97"/>
      <c r="L4" s="97"/>
      <c r="M4" s="97"/>
      <c r="N4" s="105">
        <f>SUM(G4:M4)</f>
        <v>0</v>
      </c>
      <c r="O4" s="83" t="s">
        <v>14</v>
      </c>
      <c r="P4" s="83" t="s">
        <v>14</v>
      </c>
      <c r="Q4" s="83" t="s">
        <v>14</v>
      </c>
      <c r="R4" s="83" t="s">
        <v>14</v>
      </c>
      <c r="S4" s="105">
        <v>19</v>
      </c>
      <c r="T4" s="105">
        <f t="shared" si="0"/>
        <v>19</v>
      </c>
      <c r="U4" s="105">
        <f t="shared" si="4"/>
        <v>240</v>
      </c>
      <c r="V4" s="105">
        <f t="shared" si="1"/>
        <v>150</v>
      </c>
      <c r="W4" s="105">
        <f>U4+V4</f>
        <v>390</v>
      </c>
      <c r="X4" s="83" t="s">
        <v>627</v>
      </c>
      <c r="Y4" s="83" t="s">
        <v>628</v>
      </c>
      <c r="Z4" s="99"/>
      <c r="AA4" s="105">
        <f>VLOOKUP(C4,餐补次数!$C$2:$D$17,2,0)</f>
        <v>3</v>
      </c>
      <c r="AB4" s="108"/>
      <c r="AC4" s="105">
        <f t="shared" si="2"/>
        <v>16</v>
      </c>
      <c r="AD4" s="105">
        <f>VLOOKUP(C4,餐补次数!$R$2:$S$150,2,0)</f>
        <v>10</v>
      </c>
      <c r="AE4" s="105">
        <f t="shared" si="3"/>
        <v>150</v>
      </c>
      <c r="AF4" s="105">
        <f t="shared" si="5"/>
        <v>390</v>
      </c>
    </row>
    <row r="5" s="83" customFormat="1" ht="13" spans="1:32">
      <c r="A5" s="95" t="s">
        <v>634</v>
      </c>
      <c r="B5" s="96" t="s">
        <v>623</v>
      </c>
      <c r="C5" s="96" t="s">
        <v>635</v>
      </c>
      <c r="D5" s="96" t="s">
        <v>636</v>
      </c>
      <c r="E5" s="83" t="s">
        <v>626</v>
      </c>
      <c r="F5" s="97"/>
      <c r="G5" s="97"/>
      <c r="H5" s="97"/>
      <c r="I5" s="97"/>
      <c r="J5" s="97"/>
      <c r="K5" s="97"/>
      <c r="L5" s="97"/>
      <c r="M5" s="97"/>
      <c r="N5" s="105">
        <f t="shared" ref="N5:N8" si="6">SUM(G5:M5)</f>
        <v>0</v>
      </c>
      <c r="O5" s="83" t="s">
        <v>14</v>
      </c>
      <c r="P5" s="83" t="s">
        <v>14</v>
      </c>
      <c r="Q5" s="83" t="s">
        <v>14</v>
      </c>
      <c r="R5" s="83" t="s">
        <v>14</v>
      </c>
      <c r="S5" s="105">
        <v>19</v>
      </c>
      <c r="T5" s="105">
        <f t="shared" si="0"/>
        <v>19</v>
      </c>
      <c r="U5" s="105">
        <f t="shared" si="4"/>
        <v>285</v>
      </c>
      <c r="V5" s="105">
        <f t="shared" si="1"/>
        <v>75</v>
      </c>
      <c r="W5" s="105">
        <f>U5+V5</f>
        <v>360</v>
      </c>
      <c r="X5" s="83" t="s">
        <v>627</v>
      </c>
      <c r="Y5" s="83" t="s">
        <v>628</v>
      </c>
      <c r="Z5" s="99"/>
      <c r="AA5" s="105"/>
      <c r="AB5" s="108"/>
      <c r="AC5" s="105">
        <f t="shared" si="2"/>
        <v>19</v>
      </c>
      <c r="AD5" s="105">
        <f>VLOOKUP(C5,餐补次数!$R$2:$S$150,2,0)</f>
        <v>5</v>
      </c>
      <c r="AE5" s="105">
        <f t="shared" si="3"/>
        <v>75</v>
      </c>
      <c r="AF5" s="105">
        <f t="shared" si="5"/>
        <v>360</v>
      </c>
    </row>
    <row r="6" s="84" customFormat="1" ht="13" spans="1:33">
      <c r="A6" s="95" t="s">
        <v>637</v>
      </c>
      <c r="B6" s="96" t="s">
        <v>623</v>
      </c>
      <c r="C6" s="96" t="s">
        <v>638</v>
      </c>
      <c r="D6" s="96" t="s">
        <v>639</v>
      </c>
      <c r="E6" s="83" t="s">
        <v>626</v>
      </c>
      <c r="F6" s="97"/>
      <c r="G6" s="97"/>
      <c r="H6" s="97"/>
      <c r="I6" s="97"/>
      <c r="J6" s="97"/>
      <c r="K6" s="97"/>
      <c r="L6" s="97"/>
      <c r="M6" s="97"/>
      <c r="N6" s="105">
        <f t="shared" si="6"/>
        <v>0</v>
      </c>
      <c r="O6" s="83" t="s">
        <v>14</v>
      </c>
      <c r="P6" s="83" t="s">
        <v>14</v>
      </c>
      <c r="Q6" s="83" t="s">
        <v>14</v>
      </c>
      <c r="R6" s="83" t="s">
        <v>14</v>
      </c>
      <c r="S6" s="105">
        <v>19</v>
      </c>
      <c r="T6" s="105">
        <f t="shared" si="0"/>
        <v>19</v>
      </c>
      <c r="U6" s="105">
        <f t="shared" si="4"/>
        <v>277.5</v>
      </c>
      <c r="V6" s="105">
        <f t="shared" si="1"/>
        <v>112.5</v>
      </c>
      <c r="W6" s="105">
        <f>U6+V6</f>
        <v>390</v>
      </c>
      <c r="X6" s="83" t="s">
        <v>627</v>
      </c>
      <c r="Y6" s="83" t="s">
        <v>628</v>
      </c>
      <c r="Z6" s="99"/>
      <c r="AA6" s="105"/>
      <c r="AB6" s="108">
        <f>VLOOKUP(C6,餐补次数!$H$2:$I$100,2,0)</f>
        <v>0.5</v>
      </c>
      <c r="AC6" s="105">
        <f t="shared" si="2"/>
        <v>18.5</v>
      </c>
      <c r="AD6" s="105">
        <f>VLOOKUP(C6,餐补次数!$R$2:$S$150,2,0)</f>
        <v>7.5</v>
      </c>
      <c r="AE6" s="105">
        <f t="shared" si="3"/>
        <v>112.5</v>
      </c>
      <c r="AF6" s="105">
        <f t="shared" si="5"/>
        <v>390</v>
      </c>
      <c r="AG6" s="83"/>
    </row>
    <row r="7" s="84" customFormat="1" ht="13" spans="1:33">
      <c r="A7" s="95" t="s">
        <v>640</v>
      </c>
      <c r="B7" s="96" t="s">
        <v>623</v>
      </c>
      <c r="C7" s="96" t="s">
        <v>641</v>
      </c>
      <c r="D7" s="96" t="s">
        <v>642</v>
      </c>
      <c r="E7" s="83" t="s">
        <v>626</v>
      </c>
      <c r="F7" s="97"/>
      <c r="G7" s="97"/>
      <c r="H7" s="97"/>
      <c r="I7" s="97"/>
      <c r="J7" s="97"/>
      <c r="K7" s="97"/>
      <c r="L7" s="97"/>
      <c r="M7" s="97"/>
      <c r="N7" s="105">
        <f t="shared" si="6"/>
        <v>0</v>
      </c>
      <c r="O7" s="83" t="s">
        <v>14</v>
      </c>
      <c r="P7" s="83" t="s">
        <v>14</v>
      </c>
      <c r="Q7" s="83" t="s">
        <v>14</v>
      </c>
      <c r="R7" s="83" t="s">
        <v>14</v>
      </c>
      <c r="S7" s="105">
        <v>19</v>
      </c>
      <c r="T7" s="105">
        <f t="shared" si="0"/>
        <v>19</v>
      </c>
      <c r="U7" s="105">
        <f t="shared" si="4"/>
        <v>285</v>
      </c>
      <c r="V7" s="105">
        <f t="shared" si="1"/>
        <v>120</v>
      </c>
      <c r="W7" s="105">
        <f t="shared" ref="W7:W38" si="7">U7+V7</f>
        <v>405</v>
      </c>
      <c r="X7" s="83" t="s">
        <v>627</v>
      </c>
      <c r="Y7" s="83" t="s">
        <v>628</v>
      </c>
      <c r="Z7" s="99"/>
      <c r="AA7" s="105"/>
      <c r="AB7" s="108"/>
      <c r="AC7" s="105">
        <f t="shared" si="2"/>
        <v>19</v>
      </c>
      <c r="AD7" s="105">
        <f>VLOOKUP(C7,餐补次数!$R$2:$S$150,2,0)</f>
        <v>8</v>
      </c>
      <c r="AE7" s="105">
        <f t="shared" si="3"/>
        <v>120</v>
      </c>
      <c r="AF7" s="105">
        <f t="shared" si="5"/>
        <v>405</v>
      </c>
      <c r="AG7" s="83"/>
    </row>
    <row r="8" s="84" customFormat="1" ht="13" spans="1:33">
      <c r="A8" s="95" t="s">
        <v>643</v>
      </c>
      <c r="B8" s="96" t="s">
        <v>623</v>
      </c>
      <c r="C8" s="96" t="s">
        <v>644</v>
      </c>
      <c r="D8" s="96" t="s">
        <v>645</v>
      </c>
      <c r="E8" s="83" t="s">
        <v>626</v>
      </c>
      <c r="F8" s="97"/>
      <c r="G8" s="97"/>
      <c r="H8" s="97"/>
      <c r="I8" s="97"/>
      <c r="J8" s="97"/>
      <c r="K8" s="97"/>
      <c r="L8" s="97"/>
      <c r="M8" s="97"/>
      <c r="N8" s="105">
        <f t="shared" si="6"/>
        <v>0</v>
      </c>
      <c r="O8" s="83" t="s">
        <v>14</v>
      </c>
      <c r="P8" s="83" t="s">
        <v>14</v>
      </c>
      <c r="Q8" s="83" t="s">
        <v>14</v>
      </c>
      <c r="R8" s="83" t="s">
        <v>14</v>
      </c>
      <c r="S8" s="105">
        <v>19</v>
      </c>
      <c r="T8" s="105">
        <f t="shared" si="0"/>
        <v>19</v>
      </c>
      <c r="U8" s="105">
        <f t="shared" si="4"/>
        <v>210</v>
      </c>
      <c r="V8" s="105">
        <f t="shared" si="1"/>
        <v>90</v>
      </c>
      <c r="W8" s="105">
        <f t="shared" si="7"/>
        <v>300</v>
      </c>
      <c r="X8" s="83" t="s">
        <v>627</v>
      </c>
      <c r="Y8" s="83" t="s">
        <v>628</v>
      </c>
      <c r="Z8" s="99"/>
      <c r="AA8" s="105">
        <f>VLOOKUP(C8,餐补次数!$C$2:$D$17,2,0)</f>
        <v>5</v>
      </c>
      <c r="AB8" s="108"/>
      <c r="AC8" s="105">
        <f t="shared" si="2"/>
        <v>14</v>
      </c>
      <c r="AD8" s="105">
        <f>VLOOKUP(C8,餐补次数!$R$2:$S$150,2,0)</f>
        <v>6</v>
      </c>
      <c r="AE8" s="105">
        <f t="shared" si="3"/>
        <v>90</v>
      </c>
      <c r="AF8" s="105">
        <f t="shared" si="5"/>
        <v>300</v>
      </c>
      <c r="AG8" s="83"/>
    </row>
    <row r="9" s="85" customFormat="1" ht="13" spans="1:33">
      <c r="A9" s="95" t="s">
        <v>646</v>
      </c>
      <c r="B9" s="96" t="s">
        <v>647</v>
      </c>
      <c r="C9" s="96" t="s">
        <v>648</v>
      </c>
      <c r="D9" s="96" t="s">
        <v>649</v>
      </c>
      <c r="E9" s="83" t="s">
        <v>626</v>
      </c>
      <c r="F9" s="97"/>
      <c r="G9" s="97"/>
      <c r="H9" s="97"/>
      <c r="I9" s="97"/>
      <c r="J9" s="97"/>
      <c r="K9" s="97"/>
      <c r="L9" s="97"/>
      <c r="M9" s="97"/>
      <c r="N9" s="105">
        <f t="shared" ref="N9" si="8">SUM(G9:M9)</f>
        <v>0</v>
      </c>
      <c r="O9" s="83"/>
      <c r="P9" s="83"/>
      <c r="Q9" s="83"/>
      <c r="R9" s="83"/>
      <c r="S9" s="105">
        <v>19</v>
      </c>
      <c r="T9" s="105">
        <f t="shared" si="0"/>
        <v>19</v>
      </c>
      <c r="U9" s="105">
        <f t="shared" si="4"/>
        <v>285</v>
      </c>
      <c r="V9" s="105">
        <f t="shared" si="1"/>
        <v>150</v>
      </c>
      <c r="W9" s="105">
        <f t="shared" si="7"/>
        <v>435</v>
      </c>
      <c r="X9" s="83" t="s">
        <v>627</v>
      </c>
      <c r="Y9" s="83" t="s">
        <v>628</v>
      </c>
      <c r="Z9" s="99"/>
      <c r="AA9" s="105"/>
      <c r="AB9" s="108"/>
      <c r="AC9" s="105">
        <f t="shared" si="2"/>
        <v>19</v>
      </c>
      <c r="AD9" s="105">
        <f>VLOOKUP(C9,餐补次数!$R$2:$S$150,2,0)</f>
        <v>10</v>
      </c>
      <c r="AE9" s="105">
        <f t="shared" si="3"/>
        <v>150</v>
      </c>
      <c r="AF9" s="105">
        <f t="shared" si="5"/>
        <v>435</v>
      </c>
      <c r="AG9" s="83"/>
    </row>
    <row r="10" s="85" customFormat="1" ht="13" spans="1:33">
      <c r="A10" s="95" t="s">
        <v>650</v>
      </c>
      <c r="B10" s="98" t="s">
        <v>651</v>
      </c>
      <c r="C10" s="96" t="s">
        <v>652</v>
      </c>
      <c r="D10" s="96" t="s">
        <v>653</v>
      </c>
      <c r="E10" s="83" t="s">
        <v>626</v>
      </c>
      <c r="F10" s="97"/>
      <c r="G10" s="97"/>
      <c r="H10" s="97"/>
      <c r="I10" s="97"/>
      <c r="J10" s="97"/>
      <c r="K10" s="97"/>
      <c r="L10" s="97"/>
      <c r="M10" s="97">
        <v>1</v>
      </c>
      <c r="N10" s="105">
        <f t="shared" ref="N10" si="9">SUM(G10:M10)</f>
        <v>1</v>
      </c>
      <c r="O10" s="83"/>
      <c r="P10" s="83"/>
      <c r="Q10" s="83"/>
      <c r="R10" s="83"/>
      <c r="S10" s="105">
        <v>19</v>
      </c>
      <c r="T10" s="105">
        <f t="shared" si="0"/>
        <v>18</v>
      </c>
      <c r="U10" s="105">
        <f t="shared" si="4"/>
        <v>240</v>
      </c>
      <c r="V10" s="105">
        <f t="shared" si="1"/>
        <v>60</v>
      </c>
      <c r="W10" s="105">
        <f t="shared" si="7"/>
        <v>300</v>
      </c>
      <c r="X10" s="83" t="s">
        <v>627</v>
      </c>
      <c r="Y10" s="83" t="s">
        <v>628</v>
      </c>
      <c r="Z10" s="99"/>
      <c r="AA10" s="105"/>
      <c r="AB10" s="108">
        <f>VLOOKUP(C10,餐补次数!$H$2:$I$100,2,0)</f>
        <v>2</v>
      </c>
      <c r="AC10" s="105">
        <f t="shared" si="2"/>
        <v>16</v>
      </c>
      <c r="AD10" s="105">
        <f>VLOOKUP(C10,餐补次数!$R$2:$S$150,2,0)</f>
        <v>4</v>
      </c>
      <c r="AE10" s="105">
        <f t="shared" si="3"/>
        <v>60</v>
      </c>
      <c r="AF10" s="105">
        <f t="shared" si="5"/>
        <v>300</v>
      </c>
      <c r="AG10" s="83"/>
    </row>
    <row r="11" s="85" customFormat="1" ht="13" spans="1:33">
      <c r="A11" s="95" t="s">
        <v>654</v>
      </c>
      <c r="B11" s="96" t="s">
        <v>647</v>
      </c>
      <c r="C11" s="96" t="s">
        <v>655</v>
      </c>
      <c r="D11" s="96" t="s">
        <v>656</v>
      </c>
      <c r="E11" s="83" t="s">
        <v>626</v>
      </c>
      <c r="F11" s="97"/>
      <c r="G11" s="97"/>
      <c r="H11" s="97"/>
      <c r="I11" s="97"/>
      <c r="J11" s="97"/>
      <c r="K11" s="97"/>
      <c r="L11" s="97"/>
      <c r="M11" s="97"/>
      <c r="N11" s="105">
        <f t="shared" ref="N11:N18" si="10">SUM(G11:M11)</f>
        <v>0</v>
      </c>
      <c r="O11" s="83"/>
      <c r="P11" s="83"/>
      <c r="Q11" s="83"/>
      <c r="R11" s="83"/>
      <c r="S11" s="105">
        <v>19</v>
      </c>
      <c r="T11" s="105">
        <f t="shared" si="0"/>
        <v>19</v>
      </c>
      <c r="U11" s="105">
        <f t="shared" si="4"/>
        <v>285</v>
      </c>
      <c r="V11" s="105">
        <f t="shared" si="1"/>
        <v>0</v>
      </c>
      <c r="W11" s="105">
        <f t="shared" si="7"/>
        <v>285</v>
      </c>
      <c r="X11" s="83" t="s">
        <v>627</v>
      </c>
      <c r="Y11" s="83" t="s">
        <v>628</v>
      </c>
      <c r="Z11" s="99"/>
      <c r="AA11" s="105"/>
      <c r="AB11" s="108"/>
      <c r="AC11" s="105">
        <f t="shared" si="2"/>
        <v>19</v>
      </c>
      <c r="AD11" s="105">
        <v>0</v>
      </c>
      <c r="AE11" s="105">
        <f t="shared" si="3"/>
        <v>0</v>
      </c>
      <c r="AF11" s="105">
        <f t="shared" si="5"/>
        <v>285</v>
      </c>
      <c r="AG11" s="83"/>
    </row>
    <row r="12" s="85" customFormat="1" ht="13" spans="1:33">
      <c r="A12" s="95" t="s">
        <v>657</v>
      </c>
      <c r="B12" s="96" t="s">
        <v>658</v>
      </c>
      <c r="C12" s="96" t="s">
        <v>659</v>
      </c>
      <c r="D12" s="96" t="s">
        <v>649</v>
      </c>
      <c r="E12" s="83" t="s">
        <v>626</v>
      </c>
      <c r="F12" s="97"/>
      <c r="G12" s="97"/>
      <c r="H12" s="97"/>
      <c r="I12" s="97"/>
      <c r="J12" s="97"/>
      <c r="K12" s="97"/>
      <c r="L12" s="97"/>
      <c r="M12" s="97"/>
      <c r="N12" s="105">
        <f t="shared" si="10"/>
        <v>0</v>
      </c>
      <c r="O12" s="83"/>
      <c r="P12" s="83"/>
      <c r="Q12" s="83"/>
      <c r="R12" s="83"/>
      <c r="S12" s="105">
        <v>19</v>
      </c>
      <c r="T12" s="105">
        <f t="shared" si="0"/>
        <v>19</v>
      </c>
      <c r="U12" s="105">
        <f t="shared" si="4"/>
        <v>277.5</v>
      </c>
      <c r="V12" s="105">
        <f t="shared" si="1"/>
        <v>135</v>
      </c>
      <c r="W12" s="105">
        <f t="shared" si="7"/>
        <v>412.5</v>
      </c>
      <c r="X12" s="83" t="s">
        <v>627</v>
      </c>
      <c r="Y12" s="83" t="s">
        <v>628</v>
      </c>
      <c r="Z12" s="99"/>
      <c r="AA12" s="105"/>
      <c r="AB12" s="108">
        <f>VLOOKUP(C12,餐补次数!$H$2:$I$100,2,0)</f>
        <v>0.5</v>
      </c>
      <c r="AC12" s="105">
        <f t="shared" si="2"/>
        <v>18.5</v>
      </c>
      <c r="AD12" s="105">
        <f>VLOOKUP(C12,餐补次数!$R$2:$S$150,2,0)</f>
        <v>9</v>
      </c>
      <c r="AE12" s="105">
        <f t="shared" si="3"/>
        <v>135</v>
      </c>
      <c r="AF12" s="105">
        <f t="shared" si="5"/>
        <v>412.5</v>
      </c>
      <c r="AG12" s="83"/>
    </row>
    <row r="13" s="84" customFormat="1" ht="13" spans="1:33">
      <c r="A13" s="95" t="s">
        <v>660</v>
      </c>
      <c r="B13" s="96" t="s">
        <v>658</v>
      </c>
      <c r="C13" s="96" t="s">
        <v>661</v>
      </c>
      <c r="D13" s="96" t="s">
        <v>662</v>
      </c>
      <c r="E13" s="83" t="s">
        <v>626</v>
      </c>
      <c r="F13" s="97"/>
      <c r="G13" s="97"/>
      <c r="H13" s="97"/>
      <c r="I13" s="97"/>
      <c r="J13" s="97"/>
      <c r="K13" s="97"/>
      <c r="L13" s="97"/>
      <c r="M13" s="97"/>
      <c r="N13" s="105">
        <f t="shared" si="10"/>
        <v>0</v>
      </c>
      <c r="O13" s="83" t="s">
        <v>14</v>
      </c>
      <c r="P13" s="83" t="s">
        <v>14</v>
      </c>
      <c r="Q13" s="83" t="s">
        <v>14</v>
      </c>
      <c r="R13" s="83" t="s">
        <v>14</v>
      </c>
      <c r="S13" s="105">
        <v>19</v>
      </c>
      <c r="T13" s="105">
        <f t="shared" si="0"/>
        <v>19</v>
      </c>
      <c r="U13" s="105">
        <f t="shared" si="4"/>
        <v>285</v>
      </c>
      <c r="V13" s="105">
        <f t="shared" si="1"/>
        <v>105</v>
      </c>
      <c r="W13" s="105">
        <f t="shared" si="7"/>
        <v>390</v>
      </c>
      <c r="X13" s="83" t="s">
        <v>627</v>
      </c>
      <c r="Y13" s="83" t="s">
        <v>628</v>
      </c>
      <c r="Z13" s="99"/>
      <c r="AA13" s="105"/>
      <c r="AB13" s="108"/>
      <c r="AC13" s="105">
        <f t="shared" si="2"/>
        <v>19</v>
      </c>
      <c r="AD13" s="105">
        <f>VLOOKUP(C13,餐补次数!$R$2:$S$150,2,0)</f>
        <v>7</v>
      </c>
      <c r="AE13" s="105">
        <f t="shared" si="3"/>
        <v>105</v>
      </c>
      <c r="AF13" s="105">
        <f t="shared" si="5"/>
        <v>390</v>
      </c>
      <c r="AG13" s="83"/>
    </row>
    <row r="14" s="84" customFormat="1" ht="13" spans="1:33">
      <c r="A14" s="95" t="s">
        <v>663</v>
      </c>
      <c r="B14" s="96" t="s">
        <v>658</v>
      </c>
      <c r="C14" s="96" t="s">
        <v>664</v>
      </c>
      <c r="D14" s="96" t="s">
        <v>665</v>
      </c>
      <c r="E14" s="83" t="s">
        <v>626</v>
      </c>
      <c r="F14" s="97"/>
      <c r="G14" s="97"/>
      <c r="H14" s="97"/>
      <c r="I14" s="97"/>
      <c r="J14" s="97"/>
      <c r="K14" s="97"/>
      <c r="L14" s="97"/>
      <c r="M14" s="97"/>
      <c r="N14" s="105">
        <f t="shared" si="10"/>
        <v>0</v>
      </c>
      <c r="O14" s="83" t="s">
        <v>14</v>
      </c>
      <c r="P14" s="83" t="s">
        <v>14</v>
      </c>
      <c r="Q14" s="83" t="s">
        <v>14</v>
      </c>
      <c r="R14" s="83" t="s">
        <v>14</v>
      </c>
      <c r="S14" s="105">
        <v>19</v>
      </c>
      <c r="T14" s="105">
        <f t="shared" si="0"/>
        <v>19</v>
      </c>
      <c r="U14" s="105">
        <f t="shared" si="4"/>
        <v>285</v>
      </c>
      <c r="V14" s="105">
        <f t="shared" si="1"/>
        <v>60</v>
      </c>
      <c r="W14" s="105">
        <f t="shared" si="7"/>
        <v>345</v>
      </c>
      <c r="X14" s="83" t="s">
        <v>627</v>
      </c>
      <c r="Y14" s="83" t="s">
        <v>628</v>
      </c>
      <c r="Z14" s="99"/>
      <c r="AA14" s="105"/>
      <c r="AB14" s="108"/>
      <c r="AC14" s="105">
        <f t="shared" si="2"/>
        <v>19</v>
      </c>
      <c r="AD14" s="105">
        <f>VLOOKUP(C14,餐补次数!$R$2:$S$150,2,0)</f>
        <v>4</v>
      </c>
      <c r="AE14" s="105">
        <f t="shared" si="3"/>
        <v>60</v>
      </c>
      <c r="AF14" s="105">
        <f t="shared" si="5"/>
        <v>345</v>
      </c>
      <c r="AG14" s="83"/>
    </row>
    <row r="15" s="84" customFormat="1" ht="13" spans="1:33">
      <c r="A15" s="95" t="s">
        <v>666</v>
      </c>
      <c r="B15" s="96" t="s">
        <v>658</v>
      </c>
      <c r="C15" s="96" t="s">
        <v>667</v>
      </c>
      <c r="D15" s="96" t="s">
        <v>665</v>
      </c>
      <c r="E15" s="83" t="s">
        <v>626</v>
      </c>
      <c r="F15" s="97"/>
      <c r="G15" s="97"/>
      <c r="H15" s="97"/>
      <c r="I15" s="97"/>
      <c r="J15" s="97"/>
      <c r="K15" s="97"/>
      <c r="L15" s="97"/>
      <c r="M15" s="97"/>
      <c r="N15" s="105">
        <f t="shared" si="10"/>
        <v>0</v>
      </c>
      <c r="O15" s="83" t="s">
        <v>14</v>
      </c>
      <c r="P15" s="83" t="s">
        <v>14</v>
      </c>
      <c r="Q15" s="83" t="s">
        <v>14</v>
      </c>
      <c r="R15" s="83" t="s">
        <v>14</v>
      </c>
      <c r="S15" s="105">
        <v>19</v>
      </c>
      <c r="T15" s="105">
        <f t="shared" si="0"/>
        <v>19</v>
      </c>
      <c r="U15" s="105">
        <f t="shared" si="4"/>
        <v>277.5</v>
      </c>
      <c r="V15" s="105">
        <f t="shared" si="1"/>
        <v>135</v>
      </c>
      <c r="W15" s="105">
        <f t="shared" si="7"/>
        <v>412.5</v>
      </c>
      <c r="X15" s="83" t="s">
        <v>627</v>
      </c>
      <c r="Y15" s="83" t="s">
        <v>628</v>
      </c>
      <c r="Z15" s="99"/>
      <c r="AA15" s="105"/>
      <c r="AB15" s="108">
        <f>VLOOKUP(C15,餐补次数!$H$2:$I$100,2,0)</f>
        <v>0.5</v>
      </c>
      <c r="AC15" s="105">
        <f t="shared" si="2"/>
        <v>18.5</v>
      </c>
      <c r="AD15" s="105">
        <f>VLOOKUP(C15,餐补次数!$R$2:$S$150,2,0)</f>
        <v>9</v>
      </c>
      <c r="AE15" s="105">
        <f t="shared" si="3"/>
        <v>135</v>
      </c>
      <c r="AF15" s="105">
        <f t="shared" si="5"/>
        <v>412.5</v>
      </c>
      <c r="AG15" s="83"/>
    </row>
    <row r="16" s="84" customFormat="1" ht="13" spans="1:33">
      <c r="A16" s="95" t="s">
        <v>668</v>
      </c>
      <c r="B16" s="96" t="s">
        <v>658</v>
      </c>
      <c r="C16" s="96" t="s">
        <v>669</v>
      </c>
      <c r="D16" s="96" t="s">
        <v>670</v>
      </c>
      <c r="E16" s="83" t="s">
        <v>626</v>
      </c>
      <c r="F16" s="97"/>
      <c r="G16" s="97"/>
      <c r="H16" s="97"/>
      <c r="I16" s="97"/>
      <c r="J16" s="97"/>
      <c r="K16" s="97"/>
      <c r="L16" s="97"/>
      <c r="M16" s="97"/>
      <c r="N16" s="105">
        <f t="shared" si="10"/>
        <v>0</v>
      </c>
      <c r="O16" s="83" t="s">
        <v>14</v>
      </c>
      <c r="P16" s="83" t="s">
        <v>14</v>
      </c>
      <c r="Q16" s="83" t="s">
        <v>14</v>
      </c>
      <c r="R16" s="83" t="s">
        <v>14</v>
      </c>
      <c r="S16" s="105">
        <v>19</v>
      </c>
      <c r="T16" s="105">
        <f t="shared" si="0"/>
        <v>19</v>
      </c>
      <c r="U16" s="105">
        <f t="shared" si="4"/>
        <v>270</v>
      </c>
      <c r="V16" s="105">
        <f t="shared" si="1"/>
        <v>120</v>
      </c>
      <c r="W16" s="105">
        <f t="shared" si="7"/>
        <v>390</v>
      </c>
      <c r="X16" s="83" t="s">
        <v>627</v>
      </c>
      <c r="Y16" s="83" t="s">
        <v>628</v>
      </c>
      <c r="Z16" s="99"/>
      <c r="AA16" s="105"/>
      <c r="AB16" s="108">
        <f>VLOOKUP(C16,餐补次数!$H$2:$I$100,2,0)</f>
        <v>1</v>
      </c>
      <c r="AC16" s="105">
        <f t="shared" si="2"/>
        <v>18</v>
      </c>
      <c r="AD16" s="105">
        <f>VLOOKUP(C16,餐补次数!$R$2:$S$150,2,0)</f>
        <v>8</v>
      </c>
      <c r="AE16" s="105">
        <f t="shared" si="3"/>
        <v>120</v>
      </c>
      <c r="AF16" s="105">
        <f t="shared" si="5"/>
        <v>390</v>
      </c>
      <c r="AG16" s="83"/>
    </row>
    <row r="17" s="84" customFormat="1" ht="13" spans="1:33">
      <c r="A17" s="95" t="s">
        <v>671</v>
      </c>
      <c r="B17" s="96" t="s">
        <v>658</v>
      </c>
      <c r="C17" s="96" t="s">
        <v>672</v>
      </c>
      <c r="D17" s="96" t="s">
        <v>670</v>
      </c>
      <c r="E17" s="83" t="s">
        <v>626</v>
      </c>
      <c r="F17" s="97"/>
      <c r="G17" s="97"/>
      <c r="H17" s="97"/>
      <c r="I17" s="97"/>
      <c r="J17" s="97"/>
      <c r="K17" s="97"/>
      <c r="L17" s="97"/>
      <c r="M17" s="97"/>
      <c r="N17" s="105">
        <f t="shared" si="10"/>
        <v>0</v>
      </c>
      <c r="O17" s="83" t="s">
        <v>14</v>
      </c>
      <c r="P17" s="83" t="s">
        <v>14</v>
      </c>
      <c r="Q17" s="83" t="s">
        <v>14</v>
      </c>
      <c r="R17" s="83" t="s">
        <v>14</v>
      </c>
      <c r="S17" s="105">
        <v>19</v>
      </c>
      <c r="T17" s="105">
        <f t="shared" si="0"/>
        <v>19</v>
      </c>
      <c r="U17" s="105">
        <f t="shared" si="4"/>
        <v>255</v>
      </c>
      <c r="V17" s="105">
        <f t="shared" si="1"/>
        <v>90</v>
      </c>
      <c r="W17" s="105">
        <f t="shared" si="7"/>
        <v>345</v>
      </c>
      <c r="X17" s="83" t="s">
        <v>627</v>
      </c>
      <c r="Y17" s="83" t="s">
        <v>628</v>
      </c>
      <c r="Z17" s="99"/>
      <c r="AA17" s="105"/>
      <c r="AB17" s="108">
        <f>VLOOKUP(C17,餐补次数!$H$2:$I$100,2,0)</f>
        <v>2</v>
      </c>
      <c r="AC17" s="105">
        <f t="shared" si="2"/>
        <v>17</v>
      </c>
      <c r="AD17" s="105">
        <f>VLOOKUP(C17,餐补次数!$R$2:$S$150,2,0)</f>
        <v>6</v>
      </c>
      <c r="AE17" s="105">
        <f t="shared" si="3"/>
        <v>90</v>
      </c>
      <c r="AF17" s="105">
        <f t="shared" si="5"/>
        <v>345</v>
      </c>
      <c r="AG17" s="83"/>
    </row>
    <row r="18" s="84" customFormat="1" ht="13" spans="1:33">
      <c r="A18" s="95" t="s">
        <v>673</v>
      </c>
      <c r="B18" s="96" t="s">
        <v>658</v>
      </c>
      <c r="C18" s="96" t="s">
        <v>674</v>
      </c>
      <c r="D18" s="96" t="s">
        <v>670</v>
      </c>
      <c r="E18" s="83" t="s">
        <v>626</v>
      </c>
      <c r="F18" s="97"/>
      <c r="G18" s="97"/>
      <c r="H18" s="97"/>
      <c r="I18" s="97"/>
      <c r="J18" s="97"/>
      <c r="K18" s="97"/>
      <c r="L18" s="97"/>
      <c r="M18" s="97"/>
      <c r="N18" s="105">
        <f t="shared" si="10"/>
        <v>0</v>
      </c>
      <c r="O18" s="83" t="s">
        <v>14</v>
      </c>
      <c r="P18" s="83" t="s">
        <v>14</v>
      </c>
      <c r="Q18" s="83" t="s">
        <v>14</v>
      </c>
      <c r="R18" s="83" t="s">
        <v>14</v>
      </c>
      <c r="S18" s="105">
        <v>19</v>
      </c>
      <c r="T18" s="105">
        <f t="shared" si="0"/>
        <v>19</v>
      </c>
      <c r="U18" s="105">
        <f t="shared" si="4"/>
        <v>270</v>
      </c>
      <c r="V18" s="105">
        <f t="shared" si="1"/>
        <v>105</v>
      </c>
      <c r="W18" s="105">
        <f t="shared" si="7"/>
        <v>375</v>
      </c>
      <c r="X18" s="83" t="s">
        <v>627</v>
      </c>
      <c r="Y18" s="83" t="s">
        <v>628</v>
      </c>
      <c r="Z18" s="99"/>
      <c r="AA18" s="105"/>
      <c r="AB18" s="108">
        <f>VLOOKUP(C18,餐补次数!$H$2:$I$100,2,0)</f>
        <v>1</v>
      </c>
      <c r="AC18" s="105">
        <f t="shared" si="2"/>
        <v>18</v>
      </c>
      <c r="AD18" s="105">
        <f>VLOOKUP(C18,餐补次数!$R$2:$S$150,2,0)</f>
        <v>7</v>
      </c>
      <c r="AE18" s="105">
        <f t="shared" si="3"/>
        <v>105</v>
      </c>
      <c r="AF18" s="105">
        <f t="shared" si="5"/>
        <v>375</v>
      </c>
      <c r="AG18" s="83"/>
    </row>
    <row r="19" s="84" customFormat="1" ht="13" spans="1:33">
      <c r="A19" s="95" t="s">
        <v>675</v>
      </c>
      <c r="B19" s="96" t="s">
        <v>658</v>
      </c>
      <c r="C19" s="96" t="s">
        <v>676</v>
      </c>
      <c r="D19" s="96" t="s">
        <v>670</v>
      </c>
      <c r="E19" s="83" t="s">
        <v>626</v>
      </c>
      <c r="F19" s="97"/>
      <c r="G19" s="97"/>
      <c r="H19" s="97"/>
      <c r="I19" s="97"/>
      <c r="J19" s="97"/>
      <c r="K19" s="97"/>
      <c r="L19" s="97"/>
      <c r="M19" s="97"/>
      <c r="N19" s="105">
        <f t="shared" ref="N19" si="11">SUM(G19:M19)</f>
        <v>0</v>
      </c>
      <c r="O19" s="83" t="s">
        <v>14</v>
      </c>
      <c r="P19" s="83" t="s">
        <v>14</v>
      </c>
      <c r="Q19" s="83" t="s">
        <v>14</v>
      </c>
      <c r="R19" s="83" t="s">
        <v>14</v>
      </c>
      <c r="S19" s="105">
        <v>19</v>
      </c>
      <c r="T19" s="105">
        <f t="shared" si="0"/>
        <v>19</v>
      </c>
      <c r="U19" s="105">
        <f t="shared" ref="U19:U27" si="12">AC19*15</f>
        <v>277.5</v>
      </c>
      <c r="V19" s="105">
        <f t="shared" si="1"/>
        <v>112.5</v>
      </c>
      <c r="W19" s="105">
        <f t="shared" si="7"/>
        <v>390</v>
      </c>
      <c r="X19" s="83" t="s">
        <v>627</v>
      </c>
      <c r="Y19" s="83" t="s">
        <v>628</v>
      </c>
      <c r="Z19" s="99"/>
      <c r="AA19" s="105"/>
      <c r="AB19" s="108">
        <f>VLOOKUP(C19,餐补次数!$H$2:$I$100,2,0)</f>
        <v>0.5</v>
      </c>
      <c r="AC19" s="105">
        <f t="shared" si="2"/>
        <v>18.5</v>
      </c>
      <c r="AD19" s="105">
        <f>VLOOKUP(C19,餐补次数!$R$2:$S$150,2,0)</f>
        <v>7.5</v>
      </c>
      <c r="AE19" s="105">
        <f t="shared" ref="AE19:AE27" si="13">AD19*15</f>
        <v>112.5</v>
      </c>
      <c r="AF19" s="105">
        <f t="shared" si="5"/>
        <v>390</v>
      </c>
      <c r="AG19" s="83"/>
    </row>
    <row r="20" s="84" customFormat="1" ht="13" spans="1:33">
      <c r="A20" s="95" t="s">
        <v>677</v>
      </c>
      <c r="B20" s="96" t="s">
        <v>658</v>
      </c>
      <c r="C20" s="96" t="s">
        <v>678</v>
      </c>
      <c r="D20" s="96" t="s">
        <v>670</v>
      </c>
      <c r="E20" s="83" t="s">
        <v>626</v>
      </c>
      <c r="F20" s="97"/>
      <c r="G20" s="97"/>
      <c r="H20" s="97"/>
      <c r="I20" s="97"/>
      <c r="J20" s="97"/>
      <c r="K20" s="97"/>
      <c r="L20" s="97"/>
      <c r="M20" s="97"/>
      <c r="N20" s="105">
        <f t="shared" ref="N20" si="14">SUM(G20:M20)</f>
        <v>0</v>
      </c>
      <c r="O20" s="83" t="s">
        <v>14</v>
      </c>
      <c r="P20" s="83" t="s">
        <v>14</v>
      </c>
      <c r="Q20" s="83" t="s">
        <v>14</v>
      </c>
      <c r="R20" s="83" t="s">
        <v>14</v>
      </c>
      <c r="S20" s="105">
        <v>19</v>
      </c>
      <c r="T20" s="105">
        <f t="shared" si="0"/>
        <v>19</v>
      </c>
      <c r="U20" s="105">
        <f t="shared" si="12"/>
        <v>285</v>
      </c>
      <c r="V20" s="105">
        <f t="shared" si="1"/>
        <v>120</v>
      </c>
      <c r="W20" s="105">
        <f t="shared" si="7"/>
        <v>405</v>
      </c>
      <c r="X20" s="83" t="s">
        <v>627</v>
      </c>
      <c r="Y20" s="83" t="s">
        <v>628</v>
      </c>
      <c r="Z20" s="99"/>
      <c r="AA20" s="105"/>
      <c r="AB20" s="108"/>
      <c r="AC20" s="105">
        <f t="shared" si="2"/>
        <v>19</v>
      </c>
      <c r="AD20" s="105">
        <f>VLOOKUP(C20,餐补次数!$R$2:$S$150,2,0)</f>
        <v>8</v>
      </c>
      <c r="AE20" s="105">
        <f t="shared" si="13"/>
        <v>120</v>
      </c>
      <c r="AF20" s="105">
        <f t="shared" si="5"/>
        <v>405</v>
      </c>
      <c r="AG20" s="83"/>
    </row>
    <row r="21" s="84" customFormat="1" ht="13" spans="1:33">
      <c r="A21" s="95" t="s">
        <v>679</v>
      </c>
      <c r="B21" s="96" t="s">
        <v>658</v>
      </c>
      <c r="C21" s="96" t="s">
        <v>680</v>
      </c>
      <c r="D21" s="96" t="s">
        <v>670</v>
      </c>
      <c r="E21" s="83" t="s">
        <v>626</v>
      </c>
      <c r="F21" s="97"/>
      <c r="G21" s="97"/>
      <c r="H21" s="97"/>
      <c r="I21" s="97"/>
      <c r="J21" s="97"/>
      <c r="K21" s="97"/>
      <c r="L21" s="97"/>
      <c r="M21" s="97"/>
      <c r="N21" s="105">
        <f t="shared" ref="N21" si="15">SUM(G21:M21)</f>
        <v>0</v>
      </c>
      <c r="O21" s="83" t="s">
        <v>14</v>
      </c>
      <c r="P21" s="83" t="s">
        <v>14</v>
      </c>
      <c r="Q21" s="83" t="s">
        <v>14</v>
      </c>
      <c r="R21" s="83" t="s">
        <v>14</v>
      </c>
      <c r="S21" s="105">
        <v>19</v>
      </c>
      <c r="T21" s="105">
        <f t="shared" si="0"/>
        <v>19</v>
      </c>
      <c r="U21" s="105">
        <f t="shared" si="12"/>
        <v>285</v>
      </c>
      <c r="V21" s="105">
        <f t="shared" si="1"/>
        <v>105</v>
      </c>
      <c r="W21" s="105">
        <f t="shared" si="7"/>
        <v>390</v>
      </c>
      <c r="X21" s="83" t="s">
        <v>627</v>
      </c>
      <c r="Y21" s="83" t="s">
        <v>628</v>
      </c>
      <c r="Z21" s="99"/>
      <c r="AA21" s="105"/>
      <c r="AB21" s="108"/>
      <c r="AC21" s="105">
        <f t="shared" si="2"/>
        <v>19</v>
      </c>
      <c r="AD21" s="105">
        <f>VLOOKUP(C21,餐补次数!$R$2:$S$150,2,0)</f>
        <v>7</v>
      </c>
      <c r="AE21" s="105">
        <f t="shared" si="13"/>
        <v>105</v>
      </c>
      <c r="AF21" s="105">
        <f t="shared" si="5"/>
        <v>390</v>
      </c>
      <c r="AG21" s="83"/>
    </row>
    <row r="22" s="84" customFormat="1" ht="13" spans="1:33">
      <c r="A22" s="95" t="s">
        <v>681</v>
      </c>
      <c r="B22" s="96" t="s">
        <v>658</v>
      </c>
      <c r="C22" s="96" t="s">
        <v>682</v>
      </c>
      <c r="D22" s="96" t="s">
        <v>670</v>
      </c>
      <c r="E22" s="83" t="s">
        <v>626</v>
      </c>
      <c r="F22" s="97"/>
      <c r="G22" s="97"/>
      <c r="H22" s="97"/>
      <c r="I22" s="97"/>
      <c r="J22" s="97"/>
      <c r="K22" s="97"/>
      <c r="L22" s="97"/>
      <c r="M22" s="97"/>
      <c r="N22" s="105">
        <f t="shared" ref="N22" si="16">SUM(G22:M22)</f>
        <v>0</v>
      </c>
      <c r="O22" s="83" t="s">
        <v>14</v>
      </c>
      <c r="P22" s="83" t="s">
        <v>14</v>
      </c>
      <c r="Q22" s="83" t="s">
        <v>14</v>
      </c>
      <c r="R22" s="83" t="s">
        <v>14</v>
      </c>
      <c r="S22" s="105">
        <v>19</v>
      </c>
      <c r="T22" s="105">
        <f t="shared" si="0"/>
        <v>19</v>
      </c>
      <c r="U22" s="105">
        <f t="shared" si="12"/>
        <v>285</v>
      </c>
      <c r="V22" s="105">
        <f t="shared" si="1"/>
        <v>90</v>
      </c>
      <c r="W22" s="105">
        <f t="shared" si="7"/>
        <v>375</v>
      </c>
      <c r="X22" s="83" t="s">
        <v>627</v>
      </c>
      <c r="Y22" s="83" t="s">
        <v>628</v>
      </c>
      <c r="Z22" s="99"/>
      <c r="AA22" s="105"/>
      <c r="AB22" s="108"/>
      <c r="AC22" s="105">
        <f t="shared" si="2"/>
        <v>19</v>
      </c>
      <c r="AD22" s="105">
        <f>VLOOKUP(C22,餐补次数!$R$2:$S$150,2,0)</f>
        <v>6</v>
      </c>
      <c r="AE22" s="105">
        <f t="shared" si="13"/>
        <v>90</v>
      </c>
      <c r="AF22" s="105">
        <f t="shared" si="5"/>
        <v>375</v>
      </c>
      <c r="AG22" s="83"/>
    </row>
    <row r="23" s="84" customFormat="1" ht="13" spans="1:33">
      <c r="A23" s="95" t="s">
        <v>683</v>
      </c>
      <c r="B23" s="96" t="s">
        <v>658</v>
      </c>
      <c r="C23" s="96" t="s">
        <v>684</v>
      </c>
      <c r="D23" s="96" t="s">
        <v>670</v>
      </c>
      <c r="E23" s="83" t="s">
        <v>626</v>
      </c>
      <c r="F23" s="97"/>
      <c r="G23" s="97"/>
      <c r="H23" s="97"/>
      <c r="I23" s="97"/>
      <c r="J23" s="97"/>
      <c r="K23" s="97"/>
      <c r="L23" s="97"/>
      <c r="M23" s="97"/>
      <c r="N23" s="105">
        <f t="shared" ref="N23:N28" si="17">SUM(G23:M23)</f>
        <v>0</v>
      </c>
      <c r="O23" s="83" t="s">
        <v>14</v>
      </c>
      <c r="P23" s="83" t="s">
        <v>14</v>
      </c>
      <c r="Q23" s="83" t="s">
        <v>14</v>
      </c>
      <c r="R23" s="83" t="s">
        <v>14</v>
      </c>
      <c r="S23" s="105">
        <v>19</v>
      </c>
      <c r="T23" s="105">
        <f t="shared" si="0"/>
        <v>19</v>
      </c>
      <c r="U23" s="105">
        <f t="shared" si="12"/>
        <v>270</v>
      </c>
      <c r="V23" s="105">
        <f t="shared" si="1"/>
        <v>157.5</v>
      </c>
      <c r="W23" s="105">
        <f t="shared" si="7"/>
        <v>427.5</v>
      </c>
      <c r="X23" s="83" t="s">
        <v>627</v>
      </c>
      <c r="Y23" s="83" t="s">
        <v>628</v>
      </c>
      <c r="Z23" s="99"/>
      <c r="AA23" s="105"/>
      <c r="AB23" s="108">
        <f>VLOOKUP(C23,餐补次数!$H$2:$I$100,2,0)</f>
        <v>1</v>
      </c>
      <c r="AC23" s="105">
        <f t="shared" si="2"/>
        <v>18</v>
      </c>
      <c r="AD23" s="105">
        <f>VLOOKUP(C23,餐补次数!$R$2:$S$150,2,0)</f>
        <v>10.5</v>
      </c>
      <c r="AE23" s="105">
        <f t="shared" si="13"/>
        <v>157.5</v>
      </c>
      <c r="AF23" s="105">
        <f t="shared" si="5"/>
        <v>427.5</v>
      </c>
      <c r="AG23" s="83"/>
    </row>
    <row r="24" s="84" customFormat="1" ht="13" spans="1:33">
      <c r="A24" s="95" t="s">
        <v>685</v>
      </c>
      <c r="B24" s="96" t="s">
        <v>658</v>
      </c>
      <c r="C24" s="96" t="s">
        <v>686</v>
      </c>
      <c r="D24" s="96" t="s">
        <v>670</v>
      </c>
      <c r="E24" s="83" t="s">
        <v>626</v>
      </c>
      <c r="F24" s="97"/>
      <c r="G24" s="97"/>
      <c r="H24" s="97"/>
      <c r="I24" s="97"/>
      <c r="J24" s="97"/>
      <c r="K24" s="97"/>
      <c r="L24" s="97"/>
      <c r="M24" s="97"/>
      <c r="N24" s="105">
        <f t="shared" si="17"/>
        <v>0</v>
      </c>
      <c r="O24" s="83" t="s">
        <v>14</v>
      </c>
      <c r="P24" s="83" t="s">
        <v>14</v>
      </c>
      <c r="Q24" s="83" t="s">
        <v>14</v>
      </c>
      <c r="R24" s="83" t="s">
        <v>14</v>
      </c>
      <c r="S24" s="105">
        <v>19</v>
      </c>
      <c r="T24" s="105">
        <f t="shared" si="0"/>
        <v>19</v>
      </c>
      <c r="U24" s="105">
        <f t="shared" si="12"/>
        <v>240</v>
      </c>
      <c r="V24" s="105">
        <f t="shared" si="1"/>
        <v>135</v>
      </c>
      <c r="W24" s="105">
        <f t="shared" si="7"/>
        <v>375</v>
      </c>
      <c r="X24" s="83" t="s">
        <v>627</v>
      </c>
      <c r="Y24" s="83" t="s">
        <v>628</v>
      </c>
      <c r="Z24" s="99"/>
      <c r="AA24" s="105"/>
      <c r="AB24" s="108">
        <f>VLOOKUP(C24,餐补次数!$H$2:$I$100,2,0)</f>
        <v>3</v>
      </c>
      <c r="AC24" s="105">
        <f t="shared" si="2"/>
        <v>16</v>
      </c>
      <c r="AD24" s="105">
        <f>VLOOKUP(C24,餐补次数!$R$2:$S$150,2,0)</f>
        <v>9</v>
      </c>
      <c r="AE24" s="105">
        <f t="shared" si="13"/>
        <v>135</v>
      </c>
      <c r="AF24" s="105">
        <f t="shared" si="5"/>
        <v>375</v>
      </c>
      <c r="AG24" s="83"/>
    </row>
    <row r="25" s="84" customFormat="1" ht="13" spans="1:33">
      <c r="A25" s="95" t="s">
        <v>687</v>
      </c>
      <c r="B25" s="96" t="s">
        <v>658</v>
      </c>
      <c r="C25" s="96" t="s">
        <v>688</v>
      </c>
      <c r="D25" s="96" t="s">
        <v>670</v>
      </c>
      <c r="E25" s="83" t="s">
        <v>626</v>
      </c>
      <c r="F25" s="97"/>
      <c r="G25" s="97"/>
      <c r="H25" s="97"/>
      <c r="I25" s="97"/>
      <c r="J25" s="97"/>
      <c r="K25" s="97"/>
      <c r="L25" s="97"/>
      <c r="M25" s="97"/>
      <c r="N25" s="105">
        <f t="shared" si="17"/>
        <v>0</v>
      </c>
      <c r="O25" s="83" t="s">
        <v>14</v>
      </c>
      <c r="P25" s="83" t="s">
        <v>14</v>
      </c>
      <c r="Q25" s="83" t="s">
        <v>14</v>
      </c>
      <c r="R25" s="83" t="s">
        <v>14</v>
      </c>
      <c r="S25" s="105">
        <v>19</v>
      </c>
      <c r="T25" s="105">
        <f t="shared" si="0"/>
        <v>19</v>
      </c>
      <c r="U25" s="105">
        <f t="shared" si="12"/>
        <v>210</v>
      </c>
      <c r="V25" s="105">
        <f t="shared" si="1"/>
        <v>82.5</v>
      </c>
      <c r="W25" s="105">
        <f t="shared" si="7"/>
        <v>292.5</v>
      </c>
      <c r="X25" s="83" t="s">
        <v>627</v>
      </c>
      <c r="Y25" s="83" t="s">
        <v>628</v>
      </c>
      <c r="Z25" s="99"/>
      <c r="AA25" s="105"/>
      <c r="AB25" s="108">
        <f>VLOOKUP(C25,餐补次数!$H$2:$I$100,2,0)</f>
        <v>5</v>
      </c>
      <c r="AC25" s="105">
        <f t="shared" si="2"/>
        <v>14</v>
      </c>
      <c r="AD25" s="105">
        <f>VLOOKUP(C25,餐补次数!$R$2:$S$150,2,0)</f>
        <v>5.5</v>
      </c>
      <c r="AE25" s="105">
        <f t="shared" si="13"/>
        <v>82.5</v>
      </c>
      <c r="AF25" s="105">
        <f t="shared" si="5"/>
        <v>292.5</v>
      </c>
      <c r="AG25" s="83"/>
    </row>
    <row r="26" s="84" customFormat="1" ht="13" spans="1:33">
      <c r="A26" s="95" t="s">
        <v>689</v>
      </c>
      <c r="B26" s="96" t="s">
        <v>658</v>
      </c>
      <c r="C26" s="96" t="s">
        <v>690</v>
      </c>
      <c r="D26" s="96" t="s">
        <v>670</v>
      </c>
      <c r="E26" s="83" t="s">
        <v>626</v>
      </c>
      <c r="F26" s="97"/>
      <c r="G26" s="99"/>
      <c r="H26" s="99"/>
      <c r="I26" s="99"/>
      <c r="J26" s="99"/>
      <c r="K26" s="99"/>
      <c r="L26" s="99"/>
      <c r="M26" s="99"/>
      <c r="N26" s="105">
        <f t="shared" si="17"/>
        <v>0</v>
      </c>
      <c r="O26" s="83" t="s">
        <v>14</v>
      </c>
      <c r="P26" s="83" t="s">
        <v>14</v>
      </c>
      <c r="Q26" s="83" t="s">
        <v>14</v>
      </c>
      <c r="R26" s="83" t="s">
        <v>14</v>
      </c>
      <c r="S26" s="105">
        <v>19</v>
      </c>
      <c r="T26" s="105">
        <f t="shared" si="0"/>
        <v>19</v>
      </c>
      <c r="U26" s="105">
        <f t="shared" si="12"/>
        <v>285</v>
      </c>
      <c r="V26" s="105">
        <f t="shared" si="1"/>
        <v>105</v>
      </c>
      <c r="W26" s="105">
        <f t="shared" si="7"/>
        <v>390</v>
      </c>
      <c r="X26" s="83" t="s">
        <v>627</v>
      </c>
      <c r="Y26" s="83" t="s">
        <v>628</v>
      </c>
      <c r="Z26" s="99"/>
      <c r="AA26" s="105"/>
      <c r="AB26" s="108"/>
      <c r="AC26" s="105">
        <f t="shared" si="2"/>
        <v>19</v>
      </c>
      <c r="AD26" s="105">
        <f>VLOOKUP(C26,餐补次数!$R$2:$S$150,2,0)</f>
        <v>7</v>
      </c>
      <c r="AE26" s="105">
        <f t="shared" si="13"/>
        <v>105</v>
      </c>
      <c r="AF26" s="105">
        <f t="shared" si="5"/>
        <v>390</v>
      </c>
      <c r="AG26" s="83"/>
    </row>
    <row r="27" s="84" customFormat="1" ht="13" spans="1:33">
      <c r="A27" s="95" t="s">
        <v>691</v>
      </c>
      <c r="B27" s="96" t="s">
        <v>658</v>
      </c>
      <c r="C27" s="96" t="s">
        <v>692</v>
      </c>
      <c r="D27" s="96" t="s">
        <v>670</v>
      </c>
      <c r="E27" s="83" t="s">
        <v>626</v>
      </c>
      <c r="F27" s="97"/>
      <c r="G27" s="97"/>
      <c r="H27" s="97"/>
      <c r="I27" s="97"/>
      <c r="J27" s="97"/>
      <c r="K27" s="97"/>
      <c r="L27" s="97"/>
      <c r="M27" s="97"/>
      <c r="N27" s="105">
        <f t="shared" si="17"/>
        <v>0</v>
      </c>
      <c r="O27" s="83" t="s">
        <v>14</v>
      </c>
      <c r="P27" s="83" t="s">
        <v>14</v>
      </c>
      <c r="Q27" s="83" t="s">
        <v>14</v>
      </c>
      <c r="R27" s="83" t="s">
        <v>14</v>
      </c>
      <c r="S27" s="105">
        <v>19</v>
      </c>
      <c r="T27" s="105">
        <f t="shared" si="0"/>
        <v>19</v>
      </c>
      <c r="U27" s="105">
        <f t="shared" si="12"/>
        <v>285</v>
      </c>
      <c r="V27" s="105">
        <f t="shared" si="1"/>
        <v>105</v>
      </c>
      <c r="W27" s="105">
        <f t="shared" si="7"/>
        <v>390</v>
      </c>
      <c r="X27" s="83" t="s">
        <v>627</v>
      </c>
      <c r="Y27" s="83" t="s">
        <v>628</v>
      </c>
      <c r="Z27" s="99"/>
      <c r="AA27" s="105"/>
      <c r="AB27" s="108"/>
      <c r="AC27" s="105">
        <f t="shared" si="2"/>
        <v>19</v>
      </c>
      <c r="AD27" s="105">
        <f>VLOOKUP(C27,餐补次数!$R$2:$S$150,2,0)</f>
        <v>7</v>
      </c>
      <c r="AE27" s="105">
        <f t="shared" si="13"/>
        <v>105</v>
      </c>
      <c r="AF27" s="105">
        <f t="shared" si="5"/>
        <v>390</v>
      </c>
      <c r="AG27" s="83"/>
    </row>
    <row r="28" s="85" customFormat="1" ht="13" spans="1:33">
      <c r="A28" s="95" t="s">
        <v>693</v>
      </c>
      <c r="B28" s="96" t="s">
        <v>694</v>
      </c>
      <c r="C28" s="98" t="s">
        <v>286</v>
      </c>
      <c r="D28" s="96" t="s">
        <v>695</v>
      </c>
      <c r="E28" s="83" t="s">
        <v>626</v>
      </c>
      <c r="F28" s="97"/>
      <c r="G28" s="97"/>
      <c r="H28" s="97"/>
      <c r="I28" s="97"/>
      <c r="J28" s="97"/>
      <c r="K28" s="97"/>
      <c r="L28" s="97"/>
      <c r="M28" s="97"/>
      <c r="N28" s="105">
        <f t="shared" si="17"/>
        <v>0</v>
      </c>
      <c r="O28" s="83"/>
      <c r="P28" s="83"/>
      <c r="Q28" s="83"/>
      <c r="R28" s="83"/>
      <c r="S28" s="105">
        <v>19</v>
      </c>
      <c r="T28" s="105">
        <f t="shared" si="0"/>
        <v>19</v>
      </c>
      <c r="U28" s="105">
        <f t="shared" ref="U28:U33" si="18">AC28*15</f>
        <v>277.5</v>
      </c>
      <c r="V28" s="105">
        <f t="shared" si="1"/>
        <v>105</v>
      </c>
      <c r="W28" s="105">
        <f t="shared" si="7"/>
        <v>382.5</v>
      </c>
      <c r="X28" s="83" t="s">
        <v>627</v>
      </c>
      <c r="Y28" s="83" t="s">
        <v>628</v>
      </c>
      <c r="Z28" s="99"/>
      <c r="AA28" s="105"/>
      <c r="AB28" s="108">
        <f>VLOOKUP(C28,餐补次数!$H$2:$I$100,2,0)</f>
        <v>0.5</v>
      </c>
      <c r="AC28" s="105">
        <f t="shared" si="2"/>
        <v>18.5</v>
      </c>
      <c r="AD28" s="105">
        <f>VLOOKUP(C28,餐补次数!$R$2:$S$150,2,0)</f>
        <v>7</v>
      </c>
      <c r="AE28" s="105">
        <f t="shared" ref="AE28:AE33" si="19">AD28*15</f>
        <v>105</v>
      </c>
      <c r="AF28" s="105">
        <f t="shared" si="5"/>
        <v>382.5</v>
      </c>
      <c r="AG28" s="83"/>
    </row>
    <row r="29" s="85" customFormat="1" ht="13" spans="1:33">
      <c r="A29" s="95" t="s">
        <v>696</v>
      </c>
      <c r="B29" s="96" t="s">
        <v>694</v>
      </c>
      <c r="C29" s="98" t="s">
        <v>291</v>
      </c>
      <c r="D29" s="98" t="s">
        <v>292</v>
      </c>
      <c r="E29" s="83" t="s">
        <v>626</v>
      </c>
      <c r="F29" s="97"/>
      <c r="G29" s="97"/>
      <c r="H29" s="97"/>
      <c r="I29" s="97"/>
      <c r="J29" s="97"/>
      <c r="K29" s="97"/>
      <c r="L29" s="97"/>
      <c r="M29" s="97"/>
      <c r="N29" s="105">
        <f t="shared" ref="N29:N31" si="20">SUM(G29:M29)</f>
        <v>0</v>
      </c>
      <c r="O29" s="83"/>
      <c r="P29" s="83"/>
      <c r="Q29" s="83"/>
      <c r="R29" s="83"/>
      <c r="S29" s="105">
        <v>19</v>
      </c>
      <c r="T29" s="105">
        <f t="shared" si="0"/>
        <v>19</v>
      </c>
      <c r="U29" s="105">
        <f t="shared" si="18"/>
        <v>277.5</v>
      </c>
      <c r="V29" s="105">
        <f t="shared" si="1"/>
        <v>45</v>
      </c>
      <c r="W29" s="105">
        <f t="shared" si="7"/>
        <v>322.5</v>
      </c>
      <c r="X29" s="83" t="s">
        <v>627</v>
      </c>
      <c r="Y29" s="83" t="s">
        <v>628</v>
      </c>
      <c r="Z29" s="99"/>
      <c r="AA29" s="105"/>
      <c r="AB29" s="108">
        <f>VLOOKUP(C29,餐补次数!$H$2:$I$100,2,0)</f>
        <v>0.5</v>
      </c>
      <c r="AC29" s="105">
        <f t="shared" si="2"/>
        <v>18.5</v>
      </c>
      <c r="AD29" s="105">
        <f>VLOOKUP(C29,餐补次数!$R$2:$S$150,2,0)</f>
        <v>3</v>
      </c>
      <c r="AE29" s="105">
        <f t="shared" si="19"/>
        <v>45</v>
      </c>
      <c r="AF29" s="105">
        <f t="shared" si="5"/>
        <v>322.5</v>
      </c>
      <c r="AG29" s="83"/>
    </row>
    <row r="30" s="84" customFormat="1" ht="13" spans="1:33">
      <c r="A30" s="95" t="s">
        <v>697</v>
      </c>
      <c r="B30" s="96" t="s">
        <v>698</v>
      </c>
      <c r="C30" s="98" t="s">
        <v>165</v>
      </c>
      <c r="D30" s="96" t="s">
        <v>699</v>
      </c>
      <c r="E30" s="83" t="s">
        <v>626</v>
      </c>
      <c r="F30" s="97"/>
      <c r="G30" s="97"/>
      <c r="H30" s="97"/>
      <c r="I30" s="97"/>
      <c r="J30" s="97"/>
      <c r="K30" s="97"/>
      <c r="L30" s="97"/>
      <c r="M30" s="97"/>
      <c r="N30" s="105">
        <f t="shared" si="20"/>
        <v>0</v>
      </c>
      <c r="O30" s="83" t="s">
        <v>14</v>
      </c>
      <c r="P30" s="83" t="s">
        <v>14</v>
      </c>
      <c r="Q30" s="83" t="s">
        <v>14</v>
      </c>
      <c r="R30" s="83" t="s">
        <v>14</v>
      </c>
      <c r="S30" s="105">
        <v>19</v>
      </c>
      <c r="T30" s="105">
        <f t="shared" si="0"/>
        <v>19</v>
      </c>
      <c r="U30" s="105">
        <f t="shared" si="18"/>
        <v>285</v>
      </c>
      <c r="V30" s="105">
        <f t="shared" si="1"/>
        <v>30</v>
      </c>
      <c r="W30" s="105">
        <f t="shared" si="7"/>
        <v>315</v>
      </c>
      <c r="X30" s="83" t="s">
        <v>627</v>
      </c>
      <c r="Y30" s="83" t="s">
        <v>628</v>
      </c>
      <c r="Z30" s="99"/>
      <c r="AA30" s="105"/>
      <c r="AB30" s="108"/>
      <c r="AC30" s="105">
        <f t="shared" si="2"/>
        <v>19</v>
      </c>
      <c r="AD30" s="105">
        <f>VLOOKUP(C30,餐补次数!$R$2:$S$150,2,0)</f>
        <v>2</v>
      </c>
      <c r="AE30" s="105">
        <f t="shared" si="19"/>
        <v>30</v>
      </c>
      <c r="AF30" s="105">
        <f t="shared" si="5"/>
        <v>315</v>
      </c>
      <c r="AG30" s="83"/>
    </row>
    <row r="31" s="84" customFormat="1" ht="13" spans="1:33">
      <c r="A31" s="95" t="s">
        <v>700</v>
      </c>
      <c r="B31" s="96" t="s">
        <v>698</v>
      </c>
      <c r="C31" s="96" t="s">
        <v>701</v>
      </c>
      <c r="D31" s="98" t="s">
        <v>149</v>
      </c>
      <c r="E31" s="83" t="s">
        <v>626</v>
      </c>
      <c r="F31" s="97"/>
      <c r="G31" s="97"/>
      <c r="H31" s="97"/>
      <c r="I31" s="97"/>
      <c r="J31" s="97"/>
      <c r="K31" s="97"/>
      <c r="L31" s="97"/>
      <c r="M31" s="97"/>
      <c r="N31" s="105">
        <f t="shared" si="20"/>
        <v>0</v>
      </c>
      <c r="O31" s="83" t="s">
        <v>14</v>
      </c>
      <c r="P31" s="83" t="s">
        <v>14</v>
      </c>
      <c r="Q31" s="83" t="s">
        <v>14</v>
      </c>
      <c r="R31" s="83" t="s">
        <v>14</v>
      </c>
      <c r="S31" s="105">
        <v>19</v>
      </c>
      <c r="T31" s="105">
        <f t="shared" si="0"/>
        <v>19</v>
      </c>
      <c r="U31" s="105">
        <f t="shared" si="18"/>
        <v>270</v>
      </c>
      <c r="V31" s="105">
        <f t="shared" si="1"/>
        <v>90</v>
      </c>
      <c r="W31" s="105">
        <f t="shared" si="7"/>
        <v>360</v>
      </c>
      <c r="X31" s="83" t="s">
        <v>627</v>
      </c>
      <c r="Y31" s="83" t="s">
        <v>628</v>
      </c>
      <c r="Z31" s="99"/>
      <c r="AA31" s="105">
        <f>VLOOKUP(C31,餐补次数!$C$2:$D$17,2,0)</f>
        <v>1</v>
      </c>
      <c r="AB31" s="108"/>
      <c r="AC31" s="105">
        <f t="shared" si="2"/>
        <v>18</v>
      </c>
      <c r="AD31" s="105">
        <f>VLOOKUP(C31,餐补次数!$R$2:$S$150,2,0)</f>
        <v>6</v>
      </c>
      <c r="AE31" s="105">
        <f t="shared" si="19"/>
        <v>90</v>
      </c>
      <c r="AF31" s="105">
        <f t="shared" si="5"/>
        <v>360</v>
      </c>
      <c r="AG31" s="83"/>
    </row>
    <row r="32" s="84" customFormat="1" ht="13" spans="1:33">
      <c r="A32" s="95" t="s">
        <v>702</v>
      </c>
      <c r="B32" s="96" t="s">
        <v>698</v>
      </c>
      <c r="C32" s="96" t="s">
        <v>703</v>
      </c>
      <c r="D32" s="96" t="s">
        <v>704</v>
      </c>
      <c r="E32" s="83" t="s">
        <v>626</v>
      </c>
      <c r="F32" s="97"/>
      <c r="G32" s="97"/>
      <c r="H32" s="97"/>
      <c r="I32" s="97"/>
      <c r="J32" s="97"/>
      <c r="K32" s="97"/>
      <c r="L32" s="97"/>
      <c r="M32" s="97"/>
      <c r="N32" s="105">
        <f t="shared" ref="N32" si="21">SUM(G32:M32)</f>
        <v>0</v>
      </c>
      <c r="O32" s="83" t="s">
        <v>14</v>
      </c>
      <c r="P32" s="83" t="s">
        <v>14</v>
      </c>
      <c r="Q32" s="83" t="s">
        <v>14</v>
      </c>
      <c r="R32" s="83" t="s">
        <v>14</v>
      </c>
      <c r="S32" s="105">
        <v>19</v>
      </c>
      <c r="T32" s="105">
        <f t="shared" si="0"/>
        <v>19</v>
      </c>
      <c r="U32" s="105">
        <f t="shared" si="18"/>
        <v>285</v>
      </c>
      <c r="V32" s="105">
        <f t="shared" si="1"/>
        <v>105</v>
      </c>
      <c r="W32" s="105">
        <f t="shared" si="7"/>
        <v>390</v>
      </c>
      <c r="X32" s="83" t="s">
        <v>627</v>
      </c>
      <c r="Y32" s="83" t="s">
        <v>628</v>
      </c>
      <c r="Z32" s="99"/>
      <c r="AA32" s="105"/>
      <c r="AB32" s="108"/>
      <c r="AC32" s="105">
        <f t="shared" si="2"/>
        <v>19</v>
      </c>
      <c r="AD32" s="105">
        <f>VLOOKUP(C32,餐补次数!$R$2:$S$150,2,0)</f>
        <v>7</v>
      </c>
      <c r="AE32" s="105">
        <f t="shared" si="19"/>
        <v>105</v>
      </c>
      <c r="AF32" s="105">
        <f t="shared" si="5"/>
        <v>390</v>
      </c>
      <c r="AG32" s="83"/>
    </row>
    <row r="33" s="84" customFormat="1" ht="13" spans="1:33">
      <c r="A33" s="95" t="s">
        <v>705</v>
      </c>
      <c r="B33" s="96" t="s">
        <v>698</v>
      </c>
      <c r="C33" s="96" t="s">
        <v>706</v>
      </c>
      <c r="D33" s="96" t="s">
        <v>704</v>
      </c>
      <c r="E33" s="83" t="s">
        <v>626</v>
      </c>
      <c r="F33" s="97"/>
      <c r="G33" s="97"/>
      <c r="H33" s="97"/>
      <c r="I33" s="97"/>
      <c r="J33" s="97"/>
      <c r="K33" s="97"/>
      <c r="L33" s="97"/>
      <c r="M33" s="97"/>
      <c r="N33" s="105">
        <f t="shared" ref="N33" si="22">SUM(G33:M33)</f>
        <v>0</v>
      </c>
      <c r="O33" s="83" t="s">
        <v>14</v>
      </c>
      <c r="P33" s="83" t="s">
        <v>14</v>
      </c>
      <c r="Q33" s="83" t="s">
        <v>14</v>
      </c>
      <c r="R33" s="83" t="s">
        <v>14</v>
      </c>
      <c r="S33" s="105">
        <v>19</v>
      </c>
      <c r="T33" s="105">
        <f t="shared" si="0"/>
        <v>19</v>
      </c>
      <c r="U33" s="105">
        <f t="shared" si="18"/>
        <v>270</v>
      </c>
      <c r="V33" s="105">
        <f t="shared" si="1"/>
        <v>105</v>
      </c>
      <c r="W33" s="105">
        <f t="shared" si="7"/>
        <v>375</v>
      </c>
      <c r="X33" s="83" t="s">
        <v>627</v>
      </c>
      <c r="Y33" s="83" t="s">
        <v>628</v>
      </c>
      <c r="Z33" s="99"/>
      <c r="AA33" s="105"/>
      <c r="AB33" s="108">
        <f>VLOOKUP(C33,餐补次数!$H$2:$I$100,2,0)</f>
        <v>1</v>
      </c>
      <c r="AC33" s="105">
        <f t="shared" si="2"/>
        <v>18</v>
      </c>
      <c r="AD33" s="105">
        <f>VLOOKUP(C33,餐补次数!$R$2:$S$150,2,0)</f>
        <v>7</v>
      </c>
      <c r="AE33" s="105">
        <f t="shared" si="19"/>
        <v>105</v>
      </c>
      <c r="AF33" s="105">
        <f t="shared" si="5"/>
        <v>375</v>
      </c>
      <c r="AG33" s="83"/>
    </row>
    <row r="34" s="84" customFormat="1" ht="13" spans="1:33">
      <c r="A34" s="95" t="s">
        <v>707</v>
      </c>
      <c r="B34" s="96" t="s">
        <v>708</v>
      </c>
      <c r="C34" s="96" t="s">
        <v>709</v>
      </c>
      <c r="D34" s="96" t="s">
        <v>710</v>
      </c>
      <c r="E34" s="83" t="s">
        <v>626</v>
      </c>
      <c r="F34" s="97"/>
      <c r="G34" s="97"/>
      <c r="H34" s="97"/>
      <c r="I34" s="97"/>
      <c r="J34" s="97"/>
      <c r="K34" s="97"/>
      <c r="L34" s="97"/>
      <c r="M34" s="97"/>
      <c r="N34" s="105">
        <f t="shared" ref="N34:N68" si="23">SUM(G34:M34)</f>
        <v>0</v>
      </c>
      <c r="O34" s="83" t="s">
        <v>14</v>
      </c>
      <c r="P34" s="83" t="s">
        <v>14</v>
      </c>
      <c r="Q34" s="83" t="s">
        <v>14</v>
      </c>
      <c r="R34" s="83" t="s">
        <v>14</v>
      </c>
      <c r="S34" s="105">
        <v>19</v>
      </c>
      <c r="T34" s="105">
        <f t="shared" ref="T34:T57" si="24">S34-N34</f>
        <v>19</v>
      </c>
      <c r="U34" s="105">
        <f t="shared" ref="U34:U57" si="25">AC34*15</f>
        <v>285</v>
      </c>
      <c r="V34" s="105">
        <f t="shared" ref="V34:V57" si="26">AE34-Z34*15</f>
        <v>165</v>
      </c>
      <c r="W34" s="105">
        <f t="shared" si="7"/>
        <v>450</v>
      </c>
      <c r="X34" s="83" t="s">
        <v>627</v>
      </c>
      <c r="Y34" s="83" t="s">
        <v>628</v>
      </c>
      <c r="Z34" s="99"/>
      <c r="AA34" s="105"/>
      <c r="AB34" s="108"/>
      <c r="AC34" s="105">
        <f t="shared" ref="AC34:AC57" si="27">T34-AA34-AB34</f>
        <v>19</v>
      </c>
      <c r="AD34" s="105">
        <f>VLOOKUP(C34,餐补次数!$R$2:$S$150,2,0)</f>
        <v>11</v>
      </c>
      <c r="AE34" s="105">
        <f t="shared" ref="AE34:AE57" si="28">AD34*15</f>
        <v>165</v>
      </c>
      <c r="AF34" s="105">
        <f t="shared" si="5"/>
        <v>450</v>
      </c>
      <c r="AG34" s="83"/>
    </row>
    <row r="35" s="84" customFormat="1" ht="13" spans="1:33">
      <c r="A35" s="95" t="s">
        <v>711</v>
      </c>
      <c r="B35" s="96" t="s">
        <v>708</v>
      </c>
      <c r="C35" s="96" t="s">
        <v>712</v>
      </c>
      <c r="D35" s="96" t="s">
        <v>713</v>
      </c>
      <c r="E35" s="83" t="s">
        <v>626</v>
      </c>
      <c r="F35" s="97"/>
      <c r="G35" s="97"/>
      <c r="H35" s="97"/>
      <c r="I35" s="97"/>
      <c r="J35" s="97"/>
      <c r="K35" s="97"/>
      <c r="L35" s="97"/>
      <c r="M35" s="97"/>
      <c r="N35" s="105">
        <f t="shared" ref="N35" si="29">SUM(G35:M35)</f>
        <v>0</v>
      </c>
      <c r="O35" s="83" t="s">
        <v>14</v>
      </c>
      <c r="P35" s="83" t="s">
        <v>14</v>
      </c>
      <c r="Q35" s="83" t="s">
        <v>14</v>
      </c>
      <c r="R35" s="83" t="s">
        <v>14</v>
      </c>
      <c r="S35" s="105">
        <v>19</v>
      </c>
      <c r="T35" s="105">
        <f t="shared" si="24"/>
        <v>19</v>
      </c>
      <c r="U35" s="105">
        <f t="shared" si="25"/>
        <v>285</v>
      </c>
      <c r="V35" s="105">
        <f t="shared" si="26"/>
        <v>90</v>
      </c>
      <c r="W35" s="105">
        <f t="shared" si="7"/>
        <v>375</v>
      </c>
      <c r="X35" s="83" t="s">
        <v>627</v>
      </c>
      <c r="Y35" s="83" t="s">
        <v>628</v>
      </c>
      <c r="Z35" s="99"/>
      <c r="AA35" s="105"/>
      <c r="AB35" s="108"/>
      <c r="AC35" s="105">
        <f t="shared" si="27"/>
        <v>19</v>
      </c>
      <c r="AD35" s="105">
        <f>VLOOKUP(C35,餐补次数!$R$2:$S$150,2,0)</f>
        <v>6</v>
      </c>
      <c r="AE35" s="105">
        <f t="shared" si="28"/>
        <v>90</v>
      </c>
      <c r="AF35" s="105">
        <f t="shared" ref="AF35:AF66" si="30">U35+AE35-Z35*15</f>
        <v>375</v>
      </c>
      <c r="AG35" s="83"/>
    </row>
    <row r="36" s="84" customFormat="1" ht="13" spans="1:33">
      <c r="A36" s="95" t="s">
        <v>714</v>
      </c>
      <c r="B36" s="96" t="s">
        <v>708</v>
      </c>
      <c r="C36" s="96" t="s">
        <v>715</v>
      </c>
      <c r="D36" s="96" t="s">
        <v>710</v>
      </c>
      <c r="E36" s="83" t="s">
        <v>626</v>
      </c>
      <c r="F36" s="97"/>
      <c r="G36" s="97"/>
      <c r="H36" s="97"/>
      <c r="I36" s="97"/>
      <c r="J36" s="97"/>
      <c r="K36" s="97"/>
      <c r="L36" s="97"/>
      <c r="M36" s="97"/>
      <c r="N36" s="105">
        <f t="shared" ref="N36" si="31">SUM(G36:M36)</f>
        <v>0</v>
      </c>
      <c r="O36" s="83" t="s">
        <v>14</v>
      </c>
      <c r="P36" s="83" t="s">
        <v>14</v>
      </c>
      <c r="Q36" s="83" t="s">
        <v>14</v>
      </c>
      <c r="R36" s="83" t="s">
        <v>14</v>
      </c>
      <c r="S36" s="105">
        <v>19</v>
      </c>
      <c r="T36" s="105">
        <f t="shared" si="24"/>
        <v>19</v>
      </c>
      <c r="U36" s="105">
        <f t="shared" si="25"/>
        <v>270</v>
      </c>
      <c r="V36" s="105">
        <f t="shared" si="26"/>
        <v>90</v>
      </c>
      <c r="W36" s="105">
        <f t="shared" si="7"/>
        <v>360</v>
      </c>
      <c r="X36" s="83" t="s">
        <v>627</v>
      </c>
      <c r="Y36" s="83" t="s">
        <v>628</v>
      </c>
      <c r="Z36" s="99"/>
      <c r="AA36" s="105"/>
      <c r="AB36" s="108">
        <f>VLOOKUP(C36,餐补次数!$H$2:$I$100,2,0)</f>
        <v>1</v>
      </c>
      <c r="AC36" s="105">
        <f t="shared" si="27"/>
        <v>18</v>
      </c>
      <c r="AD36" s="105">
        <f>VLOOKUP(C36,餐补次数!$R$2:$S$150,2,0)</f>
        <v>6</v>
      </c>
      <c r="AE36" s="105">
        <f t="shared" si="28"/>
        <v>90</v>
      </c>
      <c r="AF36" s="105">
        <f t="shared" si="30"/>
        <v>360</v>
      </c>
      <c r="AG36" s="83"/>
    </row>
    <row r="37" s="84" customFormat="1" ht="13" spans="1:33">
      <c r="A37" s="95" t="s">
        <v>716</v>
      </c>
      <c r="B37" s="96" t="s">
        <v>708</v>
      </c>
      <c r="C37" s="96" t="s">
        <v>717</v>
      </c>
      <c r="D37" s="96" t="s">
        <v>710</v>
      </c>
      <c r="E37" s="83" t="s">
        <v>626</v>
      </c>
      <c r="F37" s="97"/>
      <c r="G37" s="97"/>
      <c r="H37" s="97"/>
      <c r="I37" s="97"/>
      <c r="J37" s="97"/>
      <c r="K37" s="97"/>
      <c r="L37" s="97"/>
      <c r="M37" s="97"/>
      <c r="N37" s="105">
        <f t="shared" ref="N37" si="32">SUM(G37:M37)</f>
        <v>0</v>
      </c>
      <c r="O37" s="83" t="s">
        <v>14</v>
      </c>
      <c r="P37" s="83" t="s">
        <v>14</v>
      </c>
      <c r="Q37" s="83" t="s">
        <v>14</v>
      </c>
      <c r="R37" s="83" t="s">
        <v>14</v>
      </c>
      <c r="S37" s="105">
        <v>19</v>
      </c>
      <c r="T37" s="105">
        <f t="shared" si="24"/>
        <v>19</v>
      </c>
      <c r="U37" s="105">
        <f t="shared" si="25"/>
        <v>285</v>
      </c>
      <c r="V37" s="105">
        <f t="shared" si="26"/>
        <v>120</v>
      </c>
      <c r="W37" s="105">
        <f t="shared" si="7"/>
        <v>405</v>
      </c>
      <c r="X37" s="83" t="s">
        <v>627</v>
      </c>
      <c r="Y37" s="83" t="s">
        <v>628</v>
      </c>
      <c r="Z37" s="99"/>
      <c r="AA37" s="105"/>
      <c r="AB37" s="108"/>
      <c r="AC37" s="105">
        <f t="shared" si="27"/>
        <v>19</v>
      </c>
      <c r="AD37" s="105">
        <f>VLOOKUP(C37,餐补次数!$R$2:$S$150,2,0)</f>
        <v>8</v>
      </c>
      <c r="AE37" s="105">
        <f t="shared" si="28"/>
        <v>120</v>
      </c>
      <c r="AF37" s="105">
        <f t="shared" si="30"/>
        <v>405</v>
      </c>
      <c r="AG37" s="83"/>
    </row>
    <row r="38" s="84" customFormat="1" ht="13" spans="1:33">
      <c r="A38" s="95" t="s">
        <v>718</v>
      </c>
      <c r="B38" s="96" t="s">
        <v>708</v>
      </c>
      <c r="C38" s="96" t="s">
        <v>719</v>
      </c>
      <c r="D38" s="96" t="s">
        <v>720</v>
      </c>
      <c r="E38" s="83" t="s">
        <v>626</v>
      </c>
      <c r="F38" s="97"/>
      <c r="G38" s="97"/>
      <c r="H38" s="97"/>
      <c r="I38" s="97"/>
      <c r="J38" s="97"/>
      <c r="K38" s="97"/>
      <c r="L38" s="97"/>
      <c r="M38" s="97"/>
      <c r="N38" s="105">
        <f t="shared" ref="N38" si="33">SUM(G38:M38)</f>
        <v>0</v>
      </c>
      <c r="O38" s="83" t="s">
        <v>14</v>
      </c>
      <c r="P38" s="83" t="s">
        <v>14</v>
      </c>
      <c r="Q38" s="83" t="s">
        <v>14</v>
      </c>
      <c r="R38" s="83" t="s">
        <v>14</v>
      </c>
      <c r="S38" s="105">
        <v>19</v>
      </c>
      <c r="T38" s="105">
        <f t="shared" si="24"/>
        <v>19</v>
      </c>
      <c r="U38" s="105">
        <f t="shared" si="25"/>
        <v>270</v>
      </c>
      <c r="V38" s="105">
        <f t="shared" si="26"/>
        <v>90</v>
      </c>
      <c r="W38" s="105">
        <f t="shared" si="7"/>
        <v>360</v>
      </c>
      <c r="X38" s="83" t="s">
        <v>627</v>
      </c>
      <c r="Y38" s="83" t="s">
        <v>628</v>
      </c>
      <c r="Z38" s="99"/>
      <c r="AA38" s="105"/>
      <c r="AB38" s="108">
        <f>VLOOKUP(C38,餐补次数!$H$2:$I$100,2,0)</f>
        <v>1</v>
      </c>
      <c r="AC38" s="105">
        <f t="shared" si="27"/>
        <v>18</v>
      </c>
      <c r="AD38" s="105">
        <f>VLOOKUP(C38,餐补次数!$R$2:$S$150,2,0)</f>
        <v>6</v>
      </c>
      <c r="AE38" s="105">
        <f t="shared" si="28"/>
        <v>90</v>
      </c>
      <c r="AF38" s="105">
        <f t="shared" si="30"/>
        <v>360</v>
      </c>
      <c r="AG38" s="83"/>
    </row>
    <row r="39" s="84" customFormat="1" ht="13" spans="1:33">
      <c r="A39" s="95" t="s">
        <v>721</v>
      </c>
      <c r="B39" s="100" t="s">
        <v>722</v>
      </c>
      <c r="C39" s="100" t="s">
        <v>423</v>
      </c>
      <c r="D39" s="100" t="s">
        <v>424</v>
      </c>
      <c r="E39" s="83" t="s">
        <v>626</v>
      </c>
      <c r="F39" s="97"/>
      <c r="G39" s="97"/>
      <c r="H39" s="97"/>
      <c r="I39" s="97"/>
      <c r="J39" s="97"/>
      <c r="K39" s="97"/>
      <c r="L39" s="97"/>
      <c r="M39" s="97"/>
      <c r="N39" s="105">
        <f t="shared" ref="N39" si="34">SUM(G39:M39)</f>
        <v>0</v>
      </c>
      <c r="O39" s="83" t="s">
        <v>14</v>
      </c>
      <c r="P39" s="83" t="s">
        <v>14</v>
      </c>
      <c r="Q39" s="83" t="s">
        <v>14</v>
      </c>
      <c r="R39" s="83" t="s">
        <v>14</v>
      </c>
      <c r="S39" s="105">
        <v>19</v>
      </c>
      <c r="T39" s="105">
        <f t="shared" si="24"/>
        <v>19</v>
      </c>
      <c r="U39" s="105">
        <f t="shared" si="25"/>
        <v>270</v>
      </c>
      <c r="V39" s="105">
        <f t="shared" si="26"/>
        <v>180</v>
      </c>
      <c r="W39" s="105">
        <f t="shared" ref="W39:W70" si="35">U39+V39</f>
        <v>450</v>
      </c>
      <c r="X39" s="83" t="s">
        <v>627</v>
      </c>
      <c r="Y39" s="83" t="s">
        <v>628</v>
      </c>
      <c r="Z39" s="99"/>
      <c r="AA39" s="105"/>
      <c r="AB39" s="108">
        <f>VLOOKUP(C39,餐补次数!$H$2:$I$100,2,0)</f>
        <v>1</v>
      </c>
      <c r="AC39" s="105">
        <f t="shared" si="27"/>
        <v>18</v>
      </c>
      <c r="AD39" s="105">
        <f>VLOOKUP(C39,餐补次数!$R$2:$S$150,2,0)</f>
        <v>12</v>
      </c>
      <c r="AE39" s="105">
        <f t="shared" si="28"/>
        <v>180</v>
      </c>
      <c r="AF39" s="105">
        <f t="shared" si="30"/>
        <v>450</v>
      </c>
      <c r="AG39" s="83"/>
    </row>
    <row r="40" s="84" customFormat="1" ht="13" spans="1:33">
      <c r="A40" s="95" t="s">
        <v>723</v>
      </c>
      <c r="B40" s="100" t="s">
        <v>722</v>
      </c>
      <c r="C40" s="100" t="s">
        <v>410</v>
      </c>
      <c r="D40" s="100" t="s">
        <v>354</v>
      </c>
      <c r="E40" s="83" t="s">
        <v>626</v>
      </c>
      <c r="F40" s="97"/>
      <c r="G40" s="97"/>
      <c r="H40" s="97"/>
      <c r="I40" s="97"/>
      <c r="J40" s="97"/>
      <c r="K40" s="97"/>
      <c r="L40" s="97"/>
      <c r="M40" s="97"/>
      <c r="N40" s="105">
        <f t="shared" ref="N40" si="36">SUM(G40:M40)</f>
        <v>0</v>
      </c>
      <c r="O40" s="83" t="s">
        <v>14</v>
      </c>
      <c r="P40" s="83" t="s">
        <v>14</v>
      </c>
      <c r="Q40" s="83" t="s">
        <v>14</v>
      </c>
      <c r="R40" s="83" t="s">
        <v>14</v>
      </c>
      <c r="S40" s="105">
        <v>19</v>
      </c>
      <c r="T40" s="105">
        <f t="shared" si="24"/>
        <v>19</v>
      </c>
      <c r="U40" s="105">
        <f t="shared" si="25"/>
        <v>285</v>
      </c>
      <c r="V40" s="105">
        <f t="shared" si="26"/>
        <v>120</v>
      </c>
      <c r="W40" s="105">
        <f t="shared" si="35"/>
        <v>405</v>
      </c>
      <c r="X40" s="83" t="s">
        <v>627</v>
      </c>
      <c r="Y40" s="83" t="s">
        <v>628</v>
      </c>
      <c r="Z40" s="99"/>
      <c r="AA40" s="105"/>
      <c r="AB40" s="108"/>
      <c r="AC40" s="105">
        <f t="shared" si="27"/>
        <v>19</v>
      </c>
      <c r="AD40" s="105">
        <f>VLOOKUP(C40,餐补次数!$R$2:$S$150,2,0)</f>
        <v>8</v>
      </c>
      <c r="AE40" s="105">
        <f t="shared" si="28"/>
        <v>120</v>
      </c>
      <c r="AF40" s="105">
        <f t="shared" si="30"/>
        <v>405</v>
      </c>
      <c r="AG40" s="83"/>
    </row>
    <row r="41" s="84" customFormat="1" ht="13" spans="1:33">
      <c r="A41" s="95" t="s">
        <v>724</v>
      </c>
      <c r="B41" s="100" t="s">
        <v>722</v>
      </c>
      <c r="C41" s="100" t="s">
        <v>420</v>
      </c>
      <c r="D41" s="100" t="s">
        <v>237</v>
      </c>
      <c r="E41" s="83" t="s">
        <v>626</v>
      </c>
      <c r="F41" s="97"/>
      <c r="G41" s="97"/>
      <c r="H41" s="97"/>
      <c r="I41" s="97"/>
      <c r="J41" s="97"/>
      <c r="K41" s="97"/>
      <c r="L41" s="97"/>
      <c r="M41" s="97"/>
      <c r="N41" s="105">
        <f t="shared" si="23"/>
        <v>0</v>
      </c>
      <c r="O41" s="83" t="s">
        <v>14</v>
      </c>
      <c r="P41" s="83" t="s">
        <v>14</v>
      </c>
      <c r="Q41" s="83" t="s">
        <v>14</v>
      </c>
      <c r="R41" s="83" t="s">
        <v>14</v>
      </c>
      <c r="S41" s="105">
        <v>19</v>
      </c>
      <c r="T41" s="105">
        <f t="shared" si="24"/>
        <v>19</v>
      </c>
      <c r="U41" s="105">
        <f t="shared" si="25"/>
        <v>285</v>
      </c>
      <c r="V41" s="105">
        <f t="shared" si="26"/>
        <v>120</v>
      </c>
      <c r="W41" s="105">
        <f t="shared" si="35"/>
        <v>405</v>
      </c>
      <c r="X41" s="83" t="s">
        <v>627</v>
      </c>
      <c r="Y41" s="83" t="s">
        <v>628</v>
      </c>
      <c r="Z41" s="99"/>
      <c r="AA41" s="105"/>
      <c r="AB41" s="108"/>
      <c r="AC41" s="105">
        <f t="shared" si="27"/>
        <v>19</v>
      </c>
      <c r="AD41" s="105">
        <f>VLOOKUP(C41,餐补次数!$R$2:$S$150,2,0)</f>
        <v>8</v>
      </c>
      <c r="AE41" s="105">
        <f t="shared" si="28"/>
        <v>120</v>
      </c>
      <c r="AF41" s="105">
        <f t="shared" si="30"/>
        <v>405</v>
      </c>
      <c r="AG41" s="83"/>
    </row>
    <row r="42" s="84" customFormat="1" ht="13" spans="1:33">
      <c r="A42" s="95" t="s">
        <v>725</v>
      </c>
      <c r="B42" s="100" t="s">
        <v>722</v>
      </c>
      <c r="C42" s="100" t="s">
        <v>415</v>
      </c>
      <c r="D42" s="100" t="s">
        <v>237</v>
      </c>
      <c r="E42" s="83" t="s">
        <v>626</v>
      </c>
      <c r="F42" s="97"/>
      <c r="G42" s="97"/>
      <c r="H42" s="97"/>
      <c r="I42" s="97"/>
      <c r="J42" s="97"/>
      <c r="K42" s="97"/>
      <c r="L42" s="97"/>
      <c r="M42" s="97"/>
      <c r="N42" s="105">
        <f t="shared" si="23"/>
        <v>0</v>
      </c>
      <c r="O42" s="83" t="s">
        <v>14</v>
      </c>
      <c r="P42" s="83" t="s">
        <v>14</v>
      </c>
      <c r="Q42" s="83" t="s">
        <v>14</v>
      </c>
      <c r="R42" s="83" t="s">
        <v>14</v>
      </c>
      <c r="S42" s="105">
        <v>19</v>
      </c>
      <c r="T42" s="105">
        <f t="shared" si="24"/>
        <v>19</v>
      </c>
      <c r="U42" s="105">
        <f t="shared" si="25"/>
        <v>285</v>
      </c>
      <c r="V42" s="105">
        <f t="shared" si="26"/>
        <v>75</v>
      </c>
      <c r="W42" s="105">
        <f t="shared" si="35"/>
        <v>360</v>
      </c>
      <c r="X42" s="83" t="s">
        <v>627</v>
      </c>
      <c r="Y42" s="83" t="s">
        <v>628</v>
      </c>
      <c r="Z42" s="99"/>
      <c r="AA42" s="105"/>
      <c r="AB42" s="108"/>
      <c r="AC42" s="105">
        <f t="shared" si="27"/>
        <v>19</v>
      </c>
      <c r="AD42" s="105">
        <f>VLOOKUP(C42,餐补次数!$R$2:$S$150,2,0)</f>
        <v>5</v>
      </c>
      <c r="AE42" s="105">
        <f t="shared" si="28"/>
        <v>75</v>
      </c>
      <c r="AF42" s="105">
        <f t="shared" si="30"/>
        <v>360</v>
      </c>
      <c r="AG42" s="83"/>
    </row>
    <row r="43" s="84" customFormat="1" ht="13" spans="1:33">
      <c r="A43" s="95" t="s">
        <v>726</v>
      </c>
      <c r="B43" s="100" t="s">
        <v>722</v>
      </c>
      <c r="C43" s="100" t="s">
        <v>414</v>
      </c>
      <c r="D43" s="100" t="s">
        <v>298</v>
      </c>
      <c r="E43" s="83" t="s">
        <v>626</v>
      </c>
      <c r="F43" s="97"/>
      <c r="G43" s="97"/>
      <c r="H43" s="97"/>
      <c r="I43" s="97"/>
      <c r="J43" s="97"/>
      <c r="K43" s="97"/>
      <c r="L43" s="97"/>
      <c r="M43" s="97"/>
      <c r="N43" s="105">
        <f t="shared" si="23"/>
        <v>0</v>
      </c>
      <c r="O43" s="83" t="s">
        <v>14</v>
      </c>
      <c r="P43" s="83" t="s">
        <v>14</v>
      </c>
      <c r="Q43" s="83" t="s">
        <v>14</v>
      </c>
      <c r="R43" s="83" t="s">
        <v>14</v>
      </c>
      <c r="S43" s="105">
        <v>19</v>
      </c>
      <c r="T43" s="105">
        <f t="shared" si="24"/>
        <v>19</v>
      </c>
      <c r="U43" s="105">
        <f t="shared" si="25"/>
        <v>270</v>
      </c>
      <c r="V43" s="105">
        <f t="shared" si="26"/>
        <v>105</v>
      </c>
      <c r="W43" s="105">
        <f t="shared" si="35"/>
        <v>375</v>
      </c>
      <c r="X43" s="83" t="s">
        <v>627</v>
      </c>
      <c r="Y43" s="83" t="s">
        <v>628</v>
      </c>
      <c r="Z43" s="99"/>
      <c r="AA43" s="105"/>
      <c r="AB43" s="108">
        <f>VLOOKUP(C43,餐补次数!$H$2:$I$100,2,0)</f>
        <v>1</v>
      </c>
      <c r="AC43" s="105">
        <f t="shared" si="27"/>
        <v>18</v>
      </c>
      <c r="AD43" s="105">
        <f>VLOOKUP(C43,餐补次数!$R$2:$S$150,2,0)</f>
        <v>7</v>
      </c>
      <c r="AE43" s="105">
        <f t="shared" si="28"/>
        <v>105</v>
      </c>
      <c r="AF43" s="105">
        <f t="shared" si="30"/>
        <v>375</v>
      </c>
      <c r="AG43" s="83"/>
    </row>
    <row r="44" s="84" customFormat="1" ht="13" spans="1:33">
      <c r="A44" s="95" t="s">
        <v>727</v>
      </c>
      <c r="B44" s="100" t="s">
        <v>728</v>
      </c>
      <c r="C44" s="100" t="s">
        <v>457</v>
      </c>
      <c r="D44" s="100" t="s">
        <v>429</v>
      </c>
      <c r="E44" s="83" t="s">
        <v>626</v>
      </c>
      <c r="F44" s="97"/>
      <c r="G44" s="97"/>
      <c r="H44" s="97"/>
      <c r="I44" s="97"/>
      <c r="J44" s="97"/>
      <c r="K44" s="97"/>
      <c r="L44" s="97"/>
      <c r="M44" s="97"/>
      <c r="N44" s="105">
        <f t="shared" si="23"/>
        <v>0</v>
      </c>
      <c r="O44" s="83" t="s">
        <v>14</v>
      </c>
      <c r="P44" s="83" t="s">
        <v>14</v>
      </c>
      <c r="Q44" s="83" t="s">
        <v>14</v>
      </c>
      <c r="R44" s="83" t="s">
        <v>14</v>
      </c>
      <c r="S44" s="105">
        <v>19</v>
      </c>
      <c r="T44" s="105">
        <f t="shared" si="24"/>
        <v>19</v>
      </c>
      <c r="U44" s="105">
        <f t="shared" si="25"/>
        <v>285</v>
      </c>
      <c r="V44" s="105">
        <f t="shared" si="26"/>
        <v>165</v>
      </c>
      <c r="W44" s="105">
        <f t="shared" si="35"/>
        <v>450</v>
      </c>
      <c r="X44" s="83" t="s">
        <v>627</v>
      </c>
      <c r="Y44" s="83" t="s">
        <v>628</v>
      </c>
      <c r="Z44" s="99"/>
      <c r="AA44" s="105"/>
      <c r="AB44" s="108"/>
      <c r="AC44" s="105">
        <f t="shared" si="27"/>
        <v>19</v>
      </c>
      <c r="AD44" s="105">
        <f>VLOOKUP(C44,餐补次数!$R$2:$S$150,2,0)</f>
        <v>11</v>
      </c>
      <c r="AE44" s="105">
        <f t="shared" si="28"/>
        <v>165</v>
      </c>
      <c r="AF44" s="105">
        <f t="shared" si="30"/>
        <v>450</v>
      </c>
      <c r="AG44" s="83"/>
    </row>
    <row r="45" s="84" customFormat="1" ht="13" spans="1:33">
      <c r="A45" s="95" t="s">
        <v>729</v>
      </c>
      <c r="B45" s="100" t="s">
        <v>728</v>
      </c>
      <c r="C45" s="100" t="s">
        <v>432</v>
      </c>
      <c r="D45" s="100" t="s">
        <v>730</v>
      </c>
      <c r="E45" s="83" t="s">
        <v>626</v>
      </c>
      <c r="F45" s="97"/>
      <c r="G45" s="97"/>
      <c r="H45" s="97"/>
      <c r="I45" s="97"/>
      <c r="J45" s="97"/>
      <c r="K45" s="97"/>
      <c r="L45" s="97"/>
      <c r="M45" s="97"/>
      <c r="N45" s="105">
        <f t="shared" si="23"/>
        <v>0</v>
      </c>
      <c r="O45" s="83" t="s">
        <v>14</v>
      </c>
      <c r="P45" s="83" t="s">
        <v>14</v>
      </c>
      <c r="Q45" s="83" t="s">
        <v>14</v>
      </c>
      <c r="R45" s="83" t="s">
        <v>14</v>
      </c>
      <c r="S45" s="105">
        <v>19</v>
      </c>
      <c r="T45" s="105">
        <f t="shared" si="24"/>
        <v>19</v>
      </c>
      <c r="U45" s="105">
        <f t="shared" si="25"/>
        <v>262.5</v>
      </c>
      <c r="V45" s="105">
        <f t="shared" si="26"/>
        <v>165</v>
      </c>
      <c r="W45" s="105">
        <f t="shared" si="35"/>
        <v>427.5</v>
      </c>
      <c r="X45" s="83" t="s">
        <v>627</v>
      </c>
      <c r="Y45" s="83" t="s">
        <v>628</v>
      </c>
      <c r="Z45" s="99"/>
      <c r="AA45" s="105">
        <f>VLOOKUP(C45,餐补次数!$C$2:$D$17,2,0)</f>
        <v>1</v>
      </c>
      <c r="AB45" s="108">
        <f>VLOOKUP(C45,餐补次数!$H$2:$I$100,2,0)</f>
        <v>0.5</v>
      </c>
      <c r="AC45" s="105">
        <f t="shared" si="27"/>
        <v>17.5</v>
      </c>
      <c r="AD45" s="105">
        <f>VLOOKUP(C45,餐补次数!$R$2:$S$150,2,0)</f>
        <v>11</v>
      </c>
      <c r="AE45" s="105">
        <f t="shared" si="28"/>
        <v>165</v>
      </c>
      <c r="AF45" s="105">
        <f t="shared" si="30"/>
        <v>427.5</v>
      </c>
      <c r="AG45" s="83"/>
    </row>
    <row r="46" s="84" customFormat="1" ht="13" spans="1:33">
      <c r="A46" s="95" t="s">
        <v>731</v>
      </c>
      <c r="B46" s="100" t="s">
        <v>728</v>
      </c>
      <c r="C46" s="100" t="s">
        <v>451</v>
      </c>
      <c r="D46" s="100" t="s">
        <v>429</v>
      </c>
      <c r="E46" s="83" t="s">
        <v>626</v>
      </c>
      <c r="F46" s="97"/>
      <c r="G46" s="97"/>
      <c r="H46" s="97"/>
      <c r="I46" s="97"/>
      <c r="J46" s="97"/>
      <c r="K46" s="97"/>
      <c r="L46" s="97"/>
      <c r="M46" s="97"/>
      <c r="N46" s="105">
        <f t="shared" si="23"/>
        <v>0</v>
      </c>
      <c r="O46" s="83" t="s">
        <v>14</v>
      </c>
      <c r="P46" s="83" t="s">
        <v>14</v>
      </c>
      <c r="Q46" s="83" t="s">
        <v>14</v>
      </c>
      <c r="R46" s="83" t="s">
        <v>14</v>
      </c>
      <c r="S46" s="105">
        <v>19</v>
      </c>
      <c r="T46" s="105">
        <f t="shared" si="24"/>
        <v>19</v>
      </c>
      <c r="U46" s="105">
        <f t="shared" si="25"/>
        <v>285</v>
      </c>
      <c r="V46" s="105">
        <f t="shared" si="26"/>
        <v>165</v>
      </c>
      <c r="W46" s="105">
        <f t="shared" si="35"/>
        <v>450</v>
      </c>
      <c r="X46" s="83" t="s">
        <v>627</v>
      </c>
      <c r="Y46" s="83" t="s">
        <v>628</v>
      </c>
      <c r="Z46" s="99"/>
      <c r="AA46" s="105"/>
      <c r="AB46" s="108"/>
      <c r="AC46" s="105">
        <f t="shared" si="27"/>
        <v>19</v>
      </c>
      <c r="AD46" s="105">
        <f>VLOOKUP(C46,餐补次数!$R$2:$S$150,2,0)</f>
        <v>11</v>
      </c>
      <c r="AE46" s="105">
        <f t="shared" si="28"/>
        <v>165</v>
      </c>
      <c r="AF46" s="105">
        <f t="shared" si="30"/>
        <v>450</v>
      </c>
      <c r="AG46" s="83"/>
    </row>
    <row r="47" s="84" customFormat="1" ht="13" spans="1:33">
      <c r="A47" s="95" t="s">
        <v>732</v>
      </c>
      <c r="B47" s="100" t="s">
        <v>728</v>
      </c>
      <c r="C47" s="100" t="s">
        <v>446</v>
      </c>
      <c r="D47" s="100" t="s">
        <v>429</v>
      </c>
      <c r="E47" s="83" t="s">
        <v>626</v>
      </c>
      <c r="F47" s="97"/>
      <c r="G47" s="97"/>
      <c r="H47" s="97"/>
      <c r="I47" s="97"/>
      <c r="J47" s="97"/>
      <c r="K47" s="97"/>
      <c r="L47" s="97"/>
      <c r="M47" s="97"/>
      <c r="N47" s="105">
        <f t="shared" si="23"/>
        <v>0</v>
      </c>
      <c r="O47" s="83" t="s">
        <v>14</v>
      </c>
      <c r="P47" s="83" t="s">
        <v>14</v>
      </c>
      <c r="Q47" s="83" t="s">
        <v>14</v>
      </c>
      <c r="R47" s="83" t="s">
        <v>14</v>
      </c>
      <c r="S47" s="105">
        <v>19</v>
      </c>
      <c r="T47" s="105">
        <f t="shared" si="24"/>
        <v>19</v>
      </c>
      <c r="U47" s="105">
        <f t="shared" si="25"/>
        <v>270</v>
      </c>
      <c r="V47" s="105">
        <f t="shared" si="26"/>
        <v>165</v>
      </c>
      <c r="W47" s="105">
        <f t="shared" si="35"/>
        <v>435</v>
      </c>
      <c r="X47" s="83" t="s">
        <v>627</v>
      </c>
      <c r="Y47" s="83" t="s">
        <v>628</v>
      </c>
      <c r="Z47" s="99"/>
      <c r="AA47" s="105">
        <f>VLOOKUP(C47,餐补次数!$C$2:$D$17,2,0)</f>
        <v>1</v>
      </c>
      <c r="AB47" s="108"/>
      <c r="AC47" s="105">
        <f t="shared" si="27"/>
        <v>18</v>
      </c>
      <c r="AD47" s="105">
        <f>VLOOKUP(C47,餐补次数!$R$2:$S$150,2,0)</f>
        <v>11</v>
      </c>
      <c r="AE47" s="105">
        <f t="shared" si="28"/>
        <v>165</v>
      </c>
      <c r="AF47" s="105">
        <f t="shared" si="30"/>
        <v>435</v>
      </c>
      <c r="AG47" s="83"/>
    </row>
    <row r="48" s="84" customFormat="1" ht="13" spans="1:33">
      <c r="A48" s="95" t="s">
        <v>733</v>
      </c>
      <c r="B48" s="100" t="s">
        <v>728</v>
      </c>
      <c r="C48" s="100" t="s">
        <v>478</v>
      </c>
      <c r="D48" s="100" t="s">
        <v>429</v>
      </c>
      <c r="E48" s="83" t="s">
        <v>626</v>
      </c>
      <c r="F48" s="97"/>
      <c r="G48" s="97"/>
      <c r="H48" s="97"/>
      <c r="I48" s="97"/>
      <c r="J48" s="97"/>
      <c r="K48" s="97"/>
      <c r="L48" s="97"/>
      <c r="M48" s="97"/>
      <c r="N48" s="105">
        <f t="shared" ref="N48:N49" si="37">SUM(G48:M48)</f>
        <v>0</v>
      </c>
      <c r="O48" s="83" t="s">
        <v>14</v>
      </c>
      <c r="P48" s="83" t="s">
        <v>14</v>
      </c>
      <c r="Q48" s="83" t="s">
        <v>14</v>
      </c>
      <c r="R48" s="83" t="s">
        <v>14</v>
      </c>
      <c r="S48" s="105">
        <v>19</v>
      </c>
      <c r="T48" s="105">
        <f t="shared" si="24"/>
        <v>19</v>
      </c>
      <c r="U48" s="105">
        <f t="shared" si="25"/>
        <v>285</v>
      </c>
      <c r="V48" s="105">
        <f t="shared" si="26"/>
        <v>90</v>
      </c>
      <c r="W48" s="105">
        <f t="shared" si="35"/>
        <v>375</v>
      </c>
      <c r="X48" s="83" t="s">
        <v>627</v>
      </c>
      <c r="Y48" s="83" t="s">
        <v>628</v>
      </c>
      <c r="Z48" s="99"/>
      <c r="AA48" s="105"/>
      <c r="AB48" s="108"/>
      <c r="AC48" s="105">
        <f t="shared" si="27"/>
        <v>19</v>
      </c>
      <c r="AD48" s="105">
        <f>VLOOKUP(C48,餐补次数!$R$2:$S$150,2,0)</f>
        <v>6</v>
      </c>
      <c r="AE48" s="105">
        <f t="shared" si="28"/>
        <v>90</v>
      </c>
      <c r="AF48" s="105">
        <f t="shared" si="30"/>
        <v>375</v>
      </c>
      <c r="AG48" s="83"/>
    </row>
    <row r="49" s="84" customFormat="1" ht="13" spans="1:33">
      <c r="A49" s="95" t="s">
        <v>734</v>
      </c>
      <c r="B49" s="100" t="s">
        <v>728</v>
      </c>
      <c r="C49" s="100" t="s">
        <v>439</v>
      </c>
      <c r="D49" s="100" t="s">
        <v>429</v>
      </c>
      <c r="E49" s="83" t="s">
        <v>626</v>
      </c>
      <c r="F49" s="97"/>
      <c r="G49" s="97"/>
      <c r="H49" s="97"/>
      <c r="I49" s="97"/>
      <c r="J49" s="97"/>
      <c r="K49" s="97"/>
      <c r="L49" s="97"/>
      <c r="M49" s="97"/>
      <c r="N49" s="105">
        <f t="shared" si="37"/>
        <v>0</v>
      </c>
      <c r="O49" s="83" t="s">
        <v>14</v>
      </c>
      <c r="P49" s="83" t="s">
        <v>14</v>
      </c>
      <c r="Q49" s="83" t="s">
        <v>14</v>
      </c>
      <c r="R49" s="83" t="s">
        <v>14</v>
      </c>
      <c r="S49" s="105">
        <v>19</v>
      </c>
      <c r="T49" s="105">
        <f t="shared" si="24"/>
        <v>19</v>
      </c>
      <c r="U49" s="105">
        <f t="shared" si="25"/>
        <v>255</v>
      </c>
      <c r="V49" s="105">
        <f t="shared" si="26"/>
        <v>120</v>
      </c>
      <c r="W49" s="105">
        <f t="shared" si="35"/>
        <v>375</v>
      </c>
      <c r="X49" s="83" t="s">
        <v>627</v>
      </c>
      <c r="Y49" s="83" t="s">
        <v>628</v>
      </c>
      <c r="Z49" s="99"/>
      <c r="AA49" s="105"/>
      <c r="AB49" s="108">
        <f>VLOOKUP(C49,餐补次数!$H$2:$I$100,2,0)</f>
        <v>2</v>
      </c>
      <c r="AC49" s="105">
        <f t="shared" si="27"/>
        <v>17</v>
      </c>
      <c r="AD49" s="105">
        <f>VLOOKUP(C49,餐补次数!$R$2:$S$150,2,0)</f>
        <v>8</v>
      </c>
      <c r="AE49" s="105">
        <f t="shared" si="28"/>
        <v>120</v>
      </c>
      <c r="AF49" s="105">
        <f t="shared" si="30"/>
        <v>375</v>
      </c>
      <c r="AG49" s="83"/>
    </row>
    <row r="50" s="84" customFormat="1" ht="13" spans="1:33">
      <c r="A50" s="95" t="s">
        <v>735</v>
      </c>
      <c r="B50" s="100" t="s">
        <v>728</v>
      </c>
      <c r="C50" s="100" t="s">
        <v>428</v>
      </c>
      <c r="D50" s="100" t="s">
        <v>429</v>
      </c>
      <c r="E50" s="83" t="s">
        <v>626</v>
      </c>
      <c r="F50" s="97"/>
      <c r="G50" s="97"/>
      <c r="H50" s="97"/>
      <c r="I50" s="97"/>
      <c r="J50" s="97"/>
      <c r="K50" s="97"/>
      <c r="L50" s="97"/>
      <c r="M50" s="97"/>
      <c r="N50" s="105">
        <f t="shared" ref="N50" si="38">SUM(G50:M50)</f>
        <v>0</v>
      </c>
      <c r="O50" s="83" t="s">
        <v>14</v>
      </c>
      <c r="P50" s="83" t="s">
        <v>14</v>
      </c>
      <c r="Q50" s="83" t="s">
        <v>14</v>
      </c>
      <c r="R50" s="83" t="s">
        <v>14</v>
      </c>
      <c r="S50" s="105">
        <v>19</v>
      </c>
      <c r="T50" s="105">
        <f t="shared" si="24"/>
        <v>19</v>
      </c>
      <c r="U50" s="105">
        <f t="shared" si="25"/>
        <v>285</v>
      </c>
      <c r="V50" s="105">
        <f t="shared" si="26"/>
        <v>210</v>
      </c>
      <c r="W50" s="105">
        <f t="shared" si="35"/>
        <v>495</v>
      </c>
      <c r="X50" s="83" t="s">
        <v>627</v>
      </c>
      <c r="Y50" s="83" t="s">
        <v>628</v>
      </c>
      <c r="Z50" s="99"/>
      <c r="AA50" s="105"/>
      <c r="AB50" s="108"/>
      <c r="AC50" s="105">
        <f t="shared" si="27"/>
        <v>19</v>
      </c>
      <c r="AD50" s="105">
        <f>VLOOKUP(C50,餐补次数!$R$2:$S$150,2,0)</f>
        <v>14</v>
      </c>
      <c r="AE50" s="105">
        <f t="shared" si="28"/>
        <v>210</v>
      </c>
      <c r="AF50" s="105">
        <f t="shared" si="30"/>
        <v>495</v>
      </c>
      <c r="AG50" s="83"/>
    </row>
    <row r="51" s="84" customFormat="1" ht="13" spans="1:33">
      <c r="A51" s="95" t="s">
        <v>736</v>
      </c>
      <c r="B51" s="100" t="s">
        <v>728</v>
      </c>
      <c r="C51" s="100" t="s">
        <v>476</v>
      </c>
      <c r="D51" s="100" t="s">
        <v>429</v>
      </c>
      <c r="E51" s="83" t="s">
        <v>626</v>
      </c>
      <c r="F51" s="97"/>
      <c r="G51" s="97"/>
      <c r="H51" s="97"/>
      <c r="I51" s="97"/>
      <c r="J51" s="97"/>
      <c r="K51" s="97"/>
      <c r="L51" s="97"/>
      <c r="M51" s="97"/>
      <c r="N51" s="105">
        <f t="shared" ref="N51" si="39">SUM(G51:M51)</f>
        <v>0</v>
      </c>
      <c r="O51" s="83" t="s">
        <v>14</v>
      </c>
      <c r="P51" s="83" t="s">
        <v>14</v>
      </c>
      <c r="Q51" s="83" t="s">
        <v>14</v>
      </c>
      <c r="R51" s="83" t="s">
        <v>14</v>
      </c>
      <c r="S51" s="105">
        <v>19</v>
      </c>
      <c r="T51" s="105">
        <f t="shared" si="24"/>
        <v>19</v>
      </c>
      <c r="U51" s="105">
        <f t="shared" si="25"/>
        <v>255</v>
      </c>
      <c r="V51" s="105">
        <f t="shared" si="26"/>
        <v>135</v>
      </c>
      <c r="W51" s="105">
        <f t="shared" si="35"/>
        <v>390</v>
      </c>
      <c r="X51" s="83" t="s">
        <v>627</v>
      </c>
      <c r="Y51" s="83" t="s">
        <v>628</v>
      </c>
      <c r="Z51" s="99"/>
      <c r="AA51" s="105"/>
      <c r="AB51" s="108">
        <f>VLOOKUP(C51,餐补次数!$H$2:$I$100,2,0)</f>
        <v>2</v>
      </c>
      <c r="AC51" s="105">
        <f t="shared" si="27"/>
        <v>17</v>
      </c>
      <c r="AD51" s="105">
        <f>VLOOKUP(C51,餐补次数!$R$2:$S$150,2,0)</f>
        <v>9</v>
      </c>
      <c r="AE51" s="105">
        <f t="shared" si="28"/>
        <v>135</v>
      </c>
      <c r="AF51" s="105">
        <f t="shared" si="30"/>
        <v>390</v>
      </c>
      <c r="AG51" s="83"/>
    </row>
    <row r="52" s="84" customFormat="1" ht="13" spans="1:33">
      <c r="A52" s="95" t="s">
        <v>737</v>
      </c>
      <c r="B52" s="100" t="s">
        <v>728</v>
      </c>
      <c r="C52" s="100" t="s">
        <v>460</v>
      </c>
      <c r="D52" s="100" t="s">
        <v>429</v>
      </c>
      <c r="E52" s="83" t="s">
        <v>626</v>
      </c>
      <c r="F52" s="97"/>
      <c r="G52" s="97"/>
      <c r="H52" s="97"/>
      <c r="I52" s="97"/>
      <c r="J52" s="97"/>
      <c r="K52" s="97"/>
      <c r="L52" s="97"/>
      <c r="M52" s="97"/>
      <c r="N52" s="105">
        <f t="shared" ref="N52:N59" si="40">SUM(G52:M52)</f>
        <v>0</v>
      </c>
      <c r="O52" s="83" t="s">
        <v>14</v>
      </c>
      <c r="P52" s="83" t="s">
        <v>14</v>
      </c>
      <c r="Q52" s="83" t="s">
        <v>14</v>
      </c>
      <c r="R52" s="83" t="s">
        <v>14</v>
      </c>
      <c r="S52" s="105">
        <v>19</v>
      </c>
      <c r="T52" s="105">
        <f t="shared" si="24"/>
        <v>19</v>
      </c>
      <c r="U52" s="105">
        <f t="shared" si="25"/>
        <v>270</v>
      </c>
      <c r="V52" s="105">
        <f t="shared" si="26"/>
        <v>105</v>
      </c>
      <c r="W52" s="105">
        <f t="shared" si="35"/>
        <v>375</v>
      </c>
      <c r="X52" s="83" t="s">
        <v>627</v>
      </c>
      <c r="Y52" s="83" t="s">
        <v>628</v>
      </c>
      <c r="Z52" s="99"/>
      <c r="AA52" s="105"/>
      <c r="AB52" s="108">
        <f>VLOOKUP(C52,餐补次数!$H$2:$I$100,2,0)</f>
        <v>1</v>
      </c>
      <c r="AC52" s="105">
        <f t="shared" si="27"/>
        <v>18</v>
      </c>
      <c r="AD52" s="105">
        <f>VLOOKUP(C52,餐补次数!$R$2:$S$150,2,0)</f>
        <v>7</v>
      </c>
      <c r="AE52" s="105">
        <f t="shared" si="28"/>
        <v>105</v>
      </c>
      <c r="AF52" s="105">
        <f t="shared" si="30"/>
        <v>375</v>
      </c>
      <c r="AG52" s="83"/>
    </row>
    <row r="53" s="85" customFormat="1" ht="13" spans="1:33">
      <c r="A53" s="95" t="s">
        <v>738</v>
      </c>
      <c r="B53" s="100" t="s">
        <v>728</v>
      </c>
      <c r="C53" s="100" t="s">
        <v>469</v>
      </c>
      <c r="D53" s="100" t="s">
        <v>429</v>
      </c>
      <c r="E53" s="83" t="s">
        <v>626</v>
      </c>
      <c r="F53" s="97"/>
      <c r="G53" s="97"/>
      <c r="H53" s="97"/>
      <c r="I53" s="97"/>
      <c r="J53" s="97"/>
      <c r="K53" s="97"/>
      <c r="L53" s="97"/>
      <c r="M53" s="97"/>
      <c r="N53" s="105">
        <f t="shared" si="40"/>
        <v>0</v>
      </c>
      <c r="O53" s="83"/>
      <c r="P53" s="83"/>
      <c r="Q53" s="83"/>
      <c r="R53" s="83"/>
      <c r="S53" s="105">
        <v>19</v>
      </c>
      <c r="T53" s="105">
        <f t="shared" si="24"/>
        <v>19</v>
      </c>
      <c r="U53" s="105">
        <f t="shared" si="25"/>
        <v>262.5</v>
      </c>
      <c r="V53" s="105">
        <f t="shared" si="26"/>
        <v>120</v>
      </c>
      <c r="W53" s="105">
        <f t="shared" si="35"/>
        <v>382.5</v>
      </c>
      <c r="X53" s="83" t="s">
        <v>627</v>
      </c>
      <c r="Y53" s="83" t="s">
        <v>628</v>
      </c>
      <c r="Z53" s="99"/>
      <c r="AA53" s="105"/>
      <c r="AB53" s="108">
        <f>VLOOKUP(C53,餐补次数!$H$2:$I$100,2,0)</f>
        <v>1.5</v>
      </c>
      <c r="AC53" s="105">
        <f t="shared" si="27"/>
        <v>17.5</v>
      </c>
      <c r="AD53" s="105">
        <f>VLOOKUP(C53,餐补次数!$R$2:$S$150,2,0)</f>
        <v>8</v>
      </c>
      <c r="AE53" s="105">
        <f t="shared" si="28"/>
        <v>120</v>
      </c>
      <c r="AF53" s="105">
        <f t="shared" si="30"/>
        <v>382.5</v>
      </c>
      <c r="AG53" s="83"/>
    </row>
    <row r="54" s="84" customFormat="1" ht="13" spans="1:33">
      <c r="A54" s="95" t="s">
        <v>739</v>
      </c>
      <c r="B54" s="100" t="s">
        <v>728</v>
      </c>
      <c r="C54" s="100" t="s">
        <v>463</v>
      </c>
      <c r="D54" s="100" t="s">
        <v>429</v>
      </c>
      <c r="E54" s="83" t="s">
        <v>626</v>
      </c>
      <c r="F54" s="97"/>
      <c r="G54" s="97"/>
      <c r="H54" s="97"/>
      <c r="I54" s="97"/>
      <c r="J54" s="97"/>
      <c r="K54" s="97"/>
      <c r="L54" s="97"/>
      <c r="M54" s="97"/>
      <c r="N54" s="105">
        <f t="shared" si="40"/>
        <v>0</v>
      </c>
      <c r="O54" s="83" t="s">
        <v>14</v>
      </c>
      <c r="P54" s="83" t="s">
        <v>14</v>
      </c>
      <c r="Q54" s="83" t="s">
        <v>14</v>
      </c>
      <c r="R54" s="83" t="s">
        <v>14</v>
      </c>
      <c r="S54" s="105">
        <v>19</v>
      </c>
      <c r="T54" s="105">
        <f t="shared" si="24"/>
        <v>19</v>
      </c>
      <c r="U54" s="105">
        <f t="shared" si="25"/>
        <v>270</v>
      </c>
      <c r="V54" s="105">
        <f t="shared" si="26"/>
        <v>97.5</v>
      </c>
      <c r="W54" s="105">
        <f t="shared" si="35"/>
        <v>367.5</v>
      </c>
      <c r="X54" s="83" t="s">
        <v>627</v>
      </c>
      <c r="Y54" s="83" t="s">
        <v>628</v>
      </c>
      <c r="Z54" s="99"/>
      <c r="AA54" s="105"/>
      <c r="AB54" s="108">
        <f>VLOOKUP(C54,餐补次数!$H$2:$I$100,2,0)</f>
        <v>1</v>
      </c>
      <c r="AC54" s="105">
        <f t="shared" si="27"/>
        <v>18</v>
      </c>
      <c r="AD54" s="105">
        <f>VLOOKUP(C54,餐补次数!$R$2:$S$150,2,0)</f>
        <v>6.5</v>
      </c>
      <c r="AE54" s="105">
        <f t="shared" si="28"/>
        <v>97.5</v>
      </c>
      <c r="AF54" s="105">
        <f t="shared" si="30"/>
        <v>367.5</v>
      </c>
      <c r="AG54" s="83"/>
    </row>
    <row r="55" s="84" customFormat="1" ht="13" spans="1:33">
      <c r="A55" s="95" t="s">
        <v>740</v>
      </c>
      <c r="B55" s="100" t="s">
        <v>728</v>
      </c>
      <c r="C55" s="100" t="s">
        <v>471</v>
      </c>
      <c r="D55" s="100" t="s">
        <v>429</v>
      </c>
      <c r="E55" s="83" t="s">
        <v>626</v>
      </c>
      <c r="F55" s="97"/>
      <c r="G55" s="97"/>
      <c r="H55" s="97"/>
      <c r="I55" s="97"/>
      <c r="J55" s="97"/>
      <c r="K55" s="97"/>
      <c r="L55" s="97"/>
      <c r="M55" s="97"/>
      <c r="N55" s="105">
        <f t="shared" si="40"/>
        <v>0</v>
      </c>
      <c r="O55" s="83" t="s">
        <v>14</v>
      </c>
      <c r="P55" s="83" t="s">
        <v>14</v>
      </c>
      <c r="Q55" s="83" t="s">
        <v>14</v>
      </c>
      <c r="R55" s="83" t="s">
        <v>14</v>
      </c>
      <c r="S55" s="105">
        <v>19</v>
      </c>
      <c r="T55" s="105">
        <f t="shared" si="24"/>
        <v>19</v>
      </c>
      <c r="U55" s="105">
        <f t="shared" si="25"/>
        <v>225</v>
      </c>
      <c r="V55" s="105">
        <f t="shared" si="26"/>
        <v>112.5</v>
      </c>
      <c r="W55" s="105">
        <f t="shared" si="35"/>
        <v>337.5</v>
      </c>
      <c r="X55" s="83" t="s">
        <v>627</v>
      </c>
      <c r="Y55" s="83" t="s">
        <v>628</v>
      </c>
      <c r="Z55" s="99"/>
      <c r="AA55" s="105"/>
      <c r="AB55" s="108">
        <f>VLOOKUP(C55,餐补次数!$H$2:$I$100,2,0)</f>
        <v>4</v>
      </c>
      <c r="AC55" s="105">
        <f t="shared" si="27"/>
        <v>15</v>
      </c>
      <c r="AD55" s="105">
        <f>VLOOKUP(C55,餐补次数!$R$2:$S$150,2,0)</f>
        <v>7.5</v>
      </c>
      <c r="AE55" s="105">
        <f t="shared" si="28"/>
        <v>112.5</v>
      </c>
      <c r="AF55" s="105">
        <f t="shared" si="30"/>
        <v>337.5</v>
      </c>
      <c r="AG55" s="83"/>
    </row>
    <row r="56" s="84" customFormat="1" ht="13" spans="1:33">
      <c r="A56" s="95" t="s">
        <v>741</v>
      </c>
      <c r="B56" s="100" t="s">
        <v>742</v>
      </c>
      <c r="C56" s="100" t="s">
        <v>369</v>
      </c>
      <c r="D56" s="100" t="s">
        <v>198</v>
      </c>
      <c r="E56" s="83" t="s">
        <v>626</v>
      </c>
      <c r="F56" s="97"/>
      <c r="G56" s="97"/>
      <c r="H56" s="97"/>
      <c r="I56" s="97"/>
      <c r="J56" s="97"/>
      <c r="K56" s="97"/>
      <c r="L56" s="97"/>
      <c r="M56" s="97"/>
      <c r="N56" s="105">
        <f t="shared" si="40"/>
        <v>0</v>
      </c>
      <c r="O56" s="83" t="s">
        <v>14</v>
      </c>
      <c r="P56" s="83" t="s">
        <v>14</v>
      </c>
      <c r="Q56" s="83" t="s">
        <v>14</v>
      </c>
      <c r="R56" s="83" t="s">
        <v>14</v>
      </c>
      <c r="S56" s="105">
        <v>19</v>
      </c>
      <c r="T56" s="105">
        <f t="shared" si="24"/>
        <v>19</v>
      </c>
      <c r="U56" s="105">
        <f t="shared" si="25"/>
        <v>270</v>
      </c>
      <c r="V56" s="105">
        <f t="shared" si="26"/>
        <v>150</v>
      </c>
      <c r="W56" s="105">
        <f t="shared" si="35"/>
        <v>420</v>
      </c>
      <c r="X56" s="83" t="s">
        <v>627</v>
      </c>
      <c r="Y56" s="83" t="s">
        <v>628</v>
      </c>
      <c r="Z56" s="99"/>
      <c r="AA56" s="105">
        <f>VLOOKUP(C56,餐补次数!$C$2:$D$17,2,0)</f>
        <v>1</v>
      </c>
      <c r="AB56" s="108"/>
      <c r="AC56" s="105">
        <f t="shared" si="27"/>
        <v>18</v>
      </c>
      <c r="AD56" s="105">
        <f>VLOOKUP(C56,餐补次数!$R$2:$S$150,2,0)</f>
        <v>10</v>
      </c>
      <c r="AE56" s="105">
        <f t="shared" si="28"/>
        <v>150</v>
      </c>
      <c r="AF56" s="105">
        <f t="shared" si="30"/>
        <v>420</v>
      </c>
      <c r="AG56" s="83"/>
    </row>
    <row r="57" s="84" customFormat="1" ht="13" spans="1:33">
      <c r="A57" s="95" t="s">
        <v>743</v>
      </c>
      <c r="B57" s="100" t="s">
        <v>742</v>
      </c>
      <c r="C57" s="100" t="s">
        <v>386</v>
      </c>
      <c r="D57" s="100" t="s">
        <v>149</v>
      </c>
      <c r="E57" s="83" t="s">
        <v>626</v>
      </c>
      <c r="F57" s="97"/>
      <c r="G57" s="97"/>
      <c r="H57" s="97"/>
      <c r="I57" s="97"/>
      <c r="J57" s="97"/>
      <c r="K57" s="97"/>
      <c r="L57" s="97"/>
      <c r="M57" s="97"/>
      <c r="N57" s="105">
        <f t="shared" si="40"/>
        <v>0</v>
      </c>
      <c r="O57" s="83" t="s">
        <v>14</v>
      </c>
      <c r="P57" s="83" t="s">
        <v>14</v>
      </c>
      <c r="Q57" s="83" t="s">
        <v>14</v>
      </c>
      <c r="R57" s="83" t="s">
        <v>14</v>
      </c>
      <c r="S57" s="105">
        <v>19</v>
      </c>
      <c r="T57" s="105">
        <f t="shared" si="24"/>
        <v>19</v>
      </c>
      <c r="U57" s="105">
        <f t="shared" si="25"/>
        <v>285</v>
      </c>
      <c r="V57" s="105">
        <f t="shared" si="26"/>
        <v>150</v>
      </c>
      <c r="W57" s="105">
        <f t="shared" si="35"/>
        <v>435</v>
      </c>
      <c r="X57" s="83" t="s">
        <v>627</v>
      </c>
      <c r="Y57" s="83" t="s">
        <v>628</v>
      </c>
      <c r="Z57" s="99"/>
      <c r="AA57" s="105"/>
      <c r="AB57" s="108"/>
      <c r="AC57" s="105">
        <f t="shared" si="27"/>
        <v>19</v>
      </c>
      <c r="AD57" s="105">
        <f>VLOOKUP(C57,餐补次数!$R$2:$S$150,2,0)</f>
        <v>10</v>
      </c>
      <c r="AE57" s="105">
        <f t="shared" si="28"/>
        <v>150</v>
      </c>
      <c r="AF57" s="105">
        <f t="shared" si="30"/>
        <v>435</v>
      </c>
      <c r="AG57" s="83"/>
    </row>
    <row r="58" s="84" customFormat="1" ht="13" spans="1:33">
      <c r="A58" s="95" t="s">
        <v>744</v>
      </c>
      <c r="B58" s="100" t="s">
        <v>742</v>
      </c>
      <c r="C58" s="100" t="s">
        <v>384</v>
      </c>
      <c r="D58" s="100" t="s">
        <v>198</v>
      </c>
      <c r="E58" s="83" t="s">
        <v>626</v>
      </c>
      <c r="F58" s="97"/>
      <c r="G58" s="97"/>
      <c r="H58" s="97"/>
      <c r="I58" s="97"/>
      <c r="J58" s="97"/>
      <c r="K58" s="97"/>
      <c r="L58" s="97"/>
      <c r="M58" s="97"/>
      <c r="N58" s="105">
        <f t="shared" si="40"/>
        <v>0</v>
      </c>
      <c r="O58" s="83" t="s">
        <v>14</v>
      </c>
      <c r="P58" s="83" t="s">
        <v>14</v>
      </c>
      <c r="Q58" s="83" t="s">
        <v>14</v>
      </c>
      <c r="R58" s="83" t="s">
        <v>14</v>
      </c>
      <c r="S58" s="105">
        <v>19</v>
      </c>
      <c r="T58" s="105">
        <f t="shared" ref="T58:T78" si="41">S58-N58</f>
        <v>19</v>
      </c>
      <c r="U58" s="105">
        <f t="shared" ref="U58:U78" si="42">AC58*15</f>
        <v>225</v>
      </c>
      <c r="V58" s="105">
        <f t="shared" ref="V58:V78" si="43">AE58-Z58*15</f>
        <v>90</v>
      </c>
      <c r="W58" s="105">
        <f t="shared" si="35"/>
        <v>315</v>
      </c>
      <c r="X58" s="83" t="s">
        <v>627</v>
      </c>
      <c r="Y58" s="83" t="s">
        <v>628</v>
      </c>
      <c r="Z58" s="99"/>
      <c r="AA58" s="105">
        <f>VLOOKUP(C58,餐补次数!$C$2:$D$17,2,0)</f>
        <v>2</v>
      </c>
      <c r="AB58" s="108">
        <f>VLOOKUP(C58,餐补次数!$H$2:$I$100,2,0)</f>
        <v>2</v>
      </c>
      <c r="AC58" s="105">
        <f t="shared" ref="AC58:AC78" si="44">T58-AA58-AB58</f>
        <v>15</v>
      </c>
      <c r="AD58" s="105">
        <f>VLOOKUP(C58,餐补次数!$R$2:$S$150,2,0)</f>
        <v>6</v>
      </c>
      <c r="AE58" s="105">
        <f t="shared" ref="AE58:AE78" si="45">AD58*15</f>
        <v>90</v>
      </c>
      <c r="AF58" s="105">
        <f t="shared" si="30"/>
        <v>315</v>
      </c>
      <c r="AG58" s="83"/>
    </row>
    <row r="59" s="86" customFormat="1" ht="13" spans="1:33">
      <c r="A59" s="101" t="s">
        <v>745</v>
      </c>
      <c r="B59" s="102" t="s">
        <v>742</v>
      </c>
      <c r="C59" s="102" t="s">
        <v>383</v>
      </c>
      <c r="D59" s="102" t="s">
        <v>354</v>
      </c>
      <c r="E59" s="103" t="s">
        <v>626</v>
      </c>
      <c r="F59" s="104"/>
      <c r="G59" s="104"/>
      <c r="H59" s="104"/>
      <c r="I59" s="104"/>
      <c r="J59" s="104"/>
      <c r="K59" s="104"/>
      <c r="L59" s="104"/>
      <c r="M59" s="104"/>
      <c r="N59" s="106">
        <f t="shared" si="40"/>
        <v>0</v>
      </c>
      <c r="O59" s="103" t="s">
        <v>14</v>
      </c>
      <c r="P59" s="103" t="s">
        <v>14</v>
      </c>
      <c r="Q59" s="103" t="s">
        <v>14</v>
      </c>
      <c r="R59" s="103" t="s">
        <v>14</v>
      </c>
      <c r="S59" s="106">
        <v>19</v>
      </c>
      <c r="T59" s="106">
        <f t="shared" si="41"/>
        <v>19</v>
      </c>
      <c r="U59" s="106">
        <v>0</v>
      </c>
      <c r="V59" s="106">
        <f>AE59</f>
        <v>345</v>
      </c>
      <c r="W59" s="106">
        <f t="shared" si="35"/>
        <v>345</v>
      </c>
      <c r="X59" s="103" t="s">
        <v>627</v>
      </c>
      <c r="Y59" s="103" t="s">
        <v>628</v>
      </c>
      <c r="Z59" s="109"/>
      <c r="AA59" s="106"/>
      <c r="AB59" s="110">
        <f>VLOOKUP(C59,餐补次数!$H$2:$I$100,2,0)</f>
        <v>1</v>
      </c>
      <c r="AC59" s="106">
        <f t="shared" si="44"/>
        <v>18</v>
      </c>
      <c r="AD59" s="106">
        <f>VLOOKUP(C59,餐补次数!$R$2:$S$150,2,0)</f>
        <v>5</v>
      </c>
      <c r="AE59" s="106">
        <f>AD59*15+AC59*15</f>
        <v>345</v>
      </c>
      <c r="AF59" s="106">
        <v>345</v>
      </c>
      <c r="AG59" s="103"/>
    </row>
    <row r="60" s="84" customFormat="1" ht="13" spans="1:33">
      <c r="A60" s="95" t="s">
        <v>746</v>
      </c>
      <c r="B60" s="100" t="s">
        <v>742</v>
      </c>
      <c r="C60" s="100" t="s">
        <v>380</v>
      </c>
      <c r="D60" s="100" t="s">
        <v>354</v>
      </c>
      <c r="E60" s="83" t="s">
        <v>626</v>
      </c>
      <c r="F60" s="97"/>
      <c r="G60" s="97"/>
      <c r="H60" s="97"/>
      <c r="I60" s="97"/>
      <c r="J60" s="97"/>
      <c r="K60" s="97"/>
      <c r="L60" s="97"/>
      <c r="M60" s="97"/>
      <c r="N60" s="105">
        <f t="shared" ref="N60:N67" si="46">SUM(G60:M60)</f>
        <v>0</v>
      </c>
      <c r="O60" s="83" t="s">
        <v>14</v>
      </c>
      <c r="P60" s="83" t="s">
        <v>14</v>
      </c>
      <c r="Q60" s="83" t="s">
        <v>14</v>
      </c>
      <c r="R60" s="83" t="s">
        <v>14</v>
      </c>
      <c r="S60" s="105">
        <v>19</v>
      </c>
      <c r="T60" s="105">
        <f t="shared" si="41"/>
        <v>19</v>
      </c>
      <c r="U60" s="105">
        <f t="shared" si="42"/>
        <v>285</v>
      </c>
      <c r="V60" s="105">
        <f t="shared" si="43"/>
        <v>105</v>
      </c>
      <c r="W60" s="105">
        <f t="shared" si="35"/>
        <v>390</v>
      </c>
      <c r="X60" s="83" t="s">
        <v>627</v>
      </c>
      <c r="Y60" s="83" t="s">
        <v>628</v>
      </c>
      <c r="Z60" s="99"/>
      <c r="AA60" s="105"/>
      <c r="AB60" s="108"/>
      <c r="AC60" s="105">
        <f t="shared" si="44"/>
        <v>19</v>
      </c>
      <c r="AD60" s="105">
        <f>VLOOKUP(C60,餐补次数!$R$2:$S$150,2,0)</f>
        <v>7</v>
      </c>
      <c r="AE60" s="105">
        <f t="shared" si="45"/>
        <v>105</v>
      </c>
      <c r="AF60" s="105">
        <f t="shared" si="30"/>
        <v>390</v>
      </c>
      <c r="AG60" s="83"/>
    </row>
    <row r="61" s="84" customFormat="1" ht="13" spans="1:33">
      <c r="A61" s="95" t="s">
        <v>747</v>
      </c>
      <c r="B61" s="100" t="s">
        <v>742</v>
      </c>
      <c r="C61" s="100" t="s">
        <v>365</v>
      </c>
      <c r="D61" s="100" t="s">
        <v>149</v>
      </c>
      <c r="E61" s="83" t="s">
        <v>626</v>
      </c>
      <c r="F61" s="97"/>
      <c r="G61" s="97"/>
      <c r="H61" s="97"/>
      <c r="I61" s="97"/>
      <c r="J61" s="97"/>
      <c r="K61" s="97"/>
      <c r="L61" s="97"/>
      <c r="M61" s="97"/>
      <c r="N61" s="105">
        <f t="shared" si="46"/>
        <v>0</v>
      </c>
      <c r="O61" s="83" t="s">
        <v>14</v>
      </c>
      <c r="P61" s="83" t="s">
        <v>14</v>
      </c>
      <c r="Q61" s="83" t="s">
        <v>14</v>
      </c>
      <c r="R61" s="83" t="s">
        <v>14</v>
      </c>
      <c r="S61" s="105">
        <v>19</v>
      </c>
      <c r="T61" s="105">
        <f t="shared" si="41"/>
        <v>19</v>
      </c>
      <c r="U61" s="105">
        <f t="shared" si="42"/>
        <v>285</v>
      </c>
      <c r="V61" s="105">
        <f t="shared" si="43"/>
        <v>120</v>
      </c>
      <c r="W61" s="105">
        <f t="shared" si="35"/>
        <v>405</v>
      </c>
      <c r="X61" s="83" t="s">
        <v>627</v>
      </c>
      <c r="Y61" s="83" t="s">
        <v>628</v>
      </c>
      <c r="Z61" s="99"/>
      <c r="AA61" s="105"/>
      <c r="AB61" s="108"/>
      <c r="AC61" s="105">
        <f t="shared" si="44"/>
        <v>19</v>
      </c>
      <c r="AD61" s="105">
        <f>VLOOKUP(C61,餐补次数!$R$2:$S$150,2,0)</f>
        <v>8</v>
      </c>
      <c r="AE61" s="105">
        <f t="shared" si="45"/>
        <v>120</v>
      </c>
      <c r="AF61" s="105">
        <f t="shared" si="30"/>
        <v>405</v>
      </c>
      <c r="AG61" s="83"/>
    </row>
    <row r="62" s="84" customFormat="1" ht="13" spans="1:33">
      <c r="A62" s="95" t="s">
        <v>748</v>
      </c>
      <c r="B62" s="100" t="s">
        <v>742</v>
      </c>
      <c r="C62" s="100" t="s">
        <v>353</v>
      </c>
      <c r="D62" s="100" t="s">
        <v>149</v>
      </c>
      <c r="E62" s="83" t="s">
        <v>626</v>
      </c>
      <c r="F62" s="97"/>
      <c r="G62" s="97"/>
      <c r="H62" s="97"/>
      <c r="I62" s="97"/>
      <c r="J62" s="97"/>
      <c r="K62" s="97"/>
      <c r="L62" s="97"/>
      <c r="M62" s="97"/>
      <c r="N62" s="105">
        <f t="shared" si="46"/>
        <v>0</v>
      </c>
      <c r="O62" s="83" t="s">
        <v>14</v>
      </c>
      <c r="P62" s="83" t="s">
        <v>14</v>
      </c>
      <c r="Q62" s="83" t="s">
        <v>14</v>
      </c>
      <c r="R62" s="83" t="s">
        <v>14</v>
      </c>
      <c r="S62" s="105">
        <v>19</v>
      </c>
      <c r="T62" s="105">
        <f t="shared" si="41"/>
        <v>19</v>
      </c>
      <c r="U62" s="105">
        <f t="shared" si="42"/>
        <v>255</v>
      </c>
      <c r="V62" s="105">
        <f t="shared" si="43"/>
        <v>90</v>
      </c>
      <c r="W62" s="105">
        <f t="shared" si="35"/>
        <v>345</v>
      </c>
      <c r="X62" s="83" t="s">
        <v>627</v>
      </c>
      <c r="Y62" s="83" t="s">
        <v>628</v>
      </c>
      <c r="Z62" s="99"/>
      <c r="AA62" s="105"/>
      <c r="AB62" s="108">
        <f>VLOOKUP(C62,餐补次数!$H$2:$I$100,2,0)</f>
        <v>2</v>
      </c>
      <c r="AC62" s="105">
        <f t="shared" si="44"/>
        <v>17</v>
      </c>
      <c r="AD62" s="105">
        <f>VLOOKUP(C62,餐补次数!$R$2:$S$150,2,0)</f>
        <v>6</v>
      </c>
      <c r="AE62" s="105">
        <f t="shared" si="45"/>
        <v>90</v>
      </c>
      <c r="AF62" s="105">
        <f t="shared" si="30"/>
        <v>345</v>
      </c>
      <c r="AG62" s="83"/>
    </row>
    <row r="63" s="84" customFormat="1" ht="13" spans="1:33">
      <c r="A63" s="95" t="s">
        <v>749</v>
      </c>
      <c r="B63" s="100" t="s">
        <v>742</v>
      </c>
      <c r="C63" s="100" t="s">
        <v>394</v>
      </c>
      <c r="D63" s="100" t="s">
        <v>354</v>
      </c>
      <c r="E63" s="83" t="s">
        <v>626</v>
      </c>
      <c r="F63" s="97"/>
      <c r="G63" s="97"/>
      <c r="H63" s="97"/>
      <c r="I63" s="97"/>
      <c r="J63" s="97"/>
      <c r="K63" s="97"/>
      <c r="L63" s="97"/>
      <c r="M63" s="97"/>
      <c r="N63" s="105">
        <f t="shared" si="46"/>
        <v>0</v>
      </c>
      <c r="O63" s="83" t="s">
        <v>14</v>
      </c>
      <c r="P63" s="83" t="s">
        <v>14</v>
      </c>
      <c r="Q63" s="83" t="s">
        <v>14</v>
      </c>
      <c r="R63" s="83" t="s">
        <v>14</v>
      </c>
      <c r="S63" s="105">
        <v>19</v>
      </c>
      <c r="T63" s="105">
        <f t="shared" si="41"/>
        <v>19</v>
      </c>
      <c r="U63" s="105">
        <f t="shared" si="42"/>
        <v>285</v>
      </c>
      <c r="V63" s="105">
        <f t="shared" si="43"/>
        <v>135</v>
      </c>
      <c r="W63" s="105">
        <f t="shared" si="35"/>
        <v>420</v>
      </c>
      <c r="X63" s="83" t="s">
        <v>627</v>
      </c>
      <c r="Y63" s="83" t="s">
        <v>628</v>
      </c>
      <c r="Z63" s="99"/>
      <c r="AA63" s="105"/>
      <c r="AB63" s="108"/>
      <c r="AC63" s="105">
        <f t="shared" si="44"/>
        <v>19</v>
      </c>
      <c r="AD63" s="105">
        <f>VLOOKUP(C63,餐补次数!$R$2:$S$150,2,0)</f>
        <v>9</v>
      </c>
      <c r="AE63" s="105">
        <f t="shared" si="45"/>
        <v>135</v>
      </c>
      <c r="AF63" s="105">
        <f t="shared" si="30"/>
        <v>420</v>
      </c>
      <c r="AG63" s="83"/>
    </row>
    <row r="64" s="84" customFormat="1" ht="13" spans="1:33">
      <c r="A64" s="95" t="s">
        <v>750</v>
      </c>
      <c r="B64" s="100" t="s">
        <v>742</v>
      </c>
      <c r="C64" s="100" t="s">
        <v>362</v>
      </c>
      <c r="D64" s="100" t="s">
        <v>354</v>
      </c>
      <c r="E64" s="83" t="s">
        <v>626</v>
      </c>
      <c r="F64" s="97"/>
      <c r="G64" s="97"/>
      <c r="H64" s="97"/>
      <c r="I64" s="97"/>
      <c r="J64" s="97"/>
      <c r="K64" s="97"/>
      <c r="L64" s="97"/>
      <c r="M64" s="97"/>
      <c r="N64" s="105">
        <f t="shared" si="46"/>
        <v>0</v>
      </c>
      <c r="O64" s="83" t="s">
        <v>14</v>
      </c>
      <c r="P64" s="83" t="s">
        <v>14</v>
      </c>
      <c r="Q64" s="83" t="s">
        <v>14</v>
      </c>
      <c r="R64" s="83" t="s">
        <v>14</v>
      </c>
      <c r="S64" s="105">
        <v>19</v>
      </c>
      <c r="T64" s="105">
        <f t="shared" si="41"/>
        <v>19</v>
      </c>
      <c r="U64" s="105">
        <f t="shared" si="42"/>
        <v>285</v>
      </c>
      <c r="V64" s="105">
        <f t="shared" si="43"/>
        <v>105</v>
      </c>
      <c r="W64" s="105">
        <f t="shared" si="35"/>
        <v>390</v>
      </c>
      <c r="X64" s="83" t="s">
        <v>627</v>
      </c>
      <c r="Y64" s="83" t="s">
        <v>628</v>
      </c>
      <c r="Z64" s="99"/>
      <c r="AA64" s="105"/>
      <c r="AB64" s="108"/>
      <c r="AC64" s="105">
        <f t="shared" si="44"/>
        <v>19</v>
      </c>
      <c r="AD64" s="105">
        <f>VLOOKUP(C64,餐补次数!$R$2:$S$150,2,0)</f>
        <v>7</v>
      </c>
      <c r="AE64" s="105">
        <f t="shared" si="45"/>
        <v>105</v>
      </c>
      <c r="AF64" s="105">
        <f t="shared" si="30"/>
        <v>390</v>
      </c>
      <c r="AG64" s="83"/>
    </row>
    <row r="65" s="84" customFormat="1" ht="13" spans="1:33">
      <c r="A65" s="95" t="s">
        <v>751</v>
      </c>
      <c r="B65" s="100" t="s">
        <v>742</v>
      </c>
      <c r="C65" s="100" t="s">
        <v>356</v>
      </c>
      <c r="D65" s="100" t="s">
        <v>354</v>
      </c>
      <c r="E65" s="83" t="s">
        <v>626</v>
      </c>
      <c r="F65" s="97"/>
      <c r="G65" s="97"/>
      <c r="H65" s="97"/>
      <c r="I65" s="97"/>
      <c r="J65" s="97"/>
      <c r="K65" s="97"/>
      <c r="L65" s="97"/>
      <c r="M65" s="97"/>
      <c r="N65" s="105">
        <f t="shared" si="46"/>
        <v>0</v>
      </c>
      <c r="O65" s="83" t="s">
        <v>14</v>
      </c>
      <c r="P65" s="83" t="s">
        <v>14</v>
      </c>
      <c r="Q65" s="83" t="s">
        <v>14</v>
      </c>
      <c r="R65" s="83" t="s">
        <v>14</v>
      </c>
      <c r="S65" s="105">
        <v>19</v>
      </c>
      <c r="T65" s="105">
        <f t="shared" si="41"/>
        <v>19</v>
      </c>
      <c r="U65" s="105">
        <f t="shared" si="42"/>
        <v>277.5</v>
      </c>
      <c r="V65" s="105">
        <f t="shared" si="43"/>
        <v>105</v>
      </c>
      <c r="W65" s="105">
        <f t="shared" si="35"/>
        <v>382.5</v>
      </c>
      <c r="X65" s="83" t="s">
        <v>627</v>
      </c>
      <c r="Y65" s="83" t="s">
        <v>628</v>
      </c>
      <c r="Z65" s="99"/>
      <c r="AA65" s="105"/>
      <c r="AB65" s="108">
        <f>VLOOKUP(C65,餐补次数!$H$2:$I$100,2,0)</f>
        <v>0.5</v>
      </c>
      <c r="AC65" s="105">
        <f t="shared" si="44"/>
        <v>18.5</v>
      </c>
      <c r="AD65" s="105">
        <f>VLOOKUP(C65,餐补次数!$R$2:$S$150,2,0)</f>
        <v>7</v>
      </c>
      <c r="AE65" s="105">
        <f t="shared" si="45"/>
        <v>105</v>
      </c>
      <c r="AF65" s="105">
        <f t="shared" si="30"/>
        <v>382.5</v>
      </c>
      <c r="AG65" s="83"/>
    </row>
    <row r="66" s="84" customFormat="1" ht="13" spans="1:33">
      <c r="A66" s="95" t="s">
        <v>752</v>
      </c>
      <c r="B66" s="100" t="s">
        <v>742</v>
      </c>
      <c r="C66" s="100" t="s">
        <v>358</v>
      </c>
      <c r="D66" s="100" t="s">
        <v>354</v>
      </c>
      <c r="E66" s="83" t="s">
        <v>626</v>
      </c>
      <c r="F66" s="97"/>
      <c r="G66" s="97"/>
      <c r="H66" s="97"/>
      <c r="I66" s="97"/>
      <c r="J66" s="97"/>
      <c r="K66" s="97"/>
      <c r="L66" s="97"/>
      <c r="M66" s="97"/>
      <c r="N66" s="105">
        <f t="shared" si="46"/>
        <v>0</v>
      </c>
      <c r="O66" s="83" t="s">
        <v>14</v>
      </c>
      <c r="P66" s="83" t="s">
        <v>14</v>
      </c>
      <c r="Q66" s="83" t="s">
        <v>14</v>
      </c>
      <c r="R66" s="83" t="s">
        <v>14</v>
      </c>
      <c r="S66" s="105">
        <v>19</v>
      </c>
      <c r="T66" s="105">
        <f t="shared" si="41"/>
        <v>19</v>
      </c>
      <c r="U66" s="105">
        <f t="shared" si="42"/>
        <v>285</v>
      </c>
      <c r="V66" s="105">
        <f t="shared" si="43"/>
        <v>90</v>
      </c>
      <c r="W66" s="105">
        <f t="shared" si="35"/>
        <v>375</v>
      </c>
      <c r="X66" s="83" t="s">
        <v>627</v>
      </c>
      <c r="Y66" s="83" t="s">
        <v>628</v>
      </c>
      <c r="Z66" s="99"/>
      <c r="AA66" s="105"/>
      <c r="AB66" s="108"/>
      <c r="AC66" s="105">
        <f t="shared" si="44"/>
        <v>19</v>
      </c>
      <c r="AD66" s="105">
        <f>VLOOKUP(C66,餐补次数!$R$2:$S$150,2,0)</f>
        <v>6</v>
      </c>
      <c r="AE66" s="105">
        <f t="shared" si="45"/>
        <v>90</v>
      </c>
      <c r="AF66" s="105">
        <f t="shared" si="30"/>
        <v>375</v>
      </c>
      <c r="AG66" s="83"/>
    </row>
    <row r="67" s="85" customFormat="1" ht="13" spans="1:33">
      <c r="A67" s="95" t="s">
        <v>753</v>
      </c>
      <c r="B67" s="100" t="s">
        <v>742</v>
      </c>
      <c r="C67" s="100" t="s">
        <v>377</v>
      </c>
      <c r="D67" s="100" t="s">
        <v>354</v>
      </c>
      <c r="E67" s="83" t="s">
        <v>626</v>
      </c>
      <c r="F67" s="97"/>
      <c r="G67" s="97"/>
      <c r="H67" s="97"/>
      <c r="I67" s="97"/>
      <c r="J67" s="97"/>
      <c r="K67" s="97"/>
      <c r="L67" s="97"/>
      <c r="M67" s="97"/>
      <c r="N67" s="105">
        <f t="shared" si="46"/>
        <v>0</v>
      </c>
      <c r="O67" s="83"/>
      <c r="P67" s="83"/>
      <c r="Q67" s="83"/>
      <c r="R67" s="83"/>
      <c r="S67" s="105">
        <v>19</v>
      </c>
      <c r="T67" s="105">
        <f t="shared" si="41"/>
        <v>19</v>
      </c>
      <c r="U67" s="105">
        <f t="shared" si="42"/>
        <v>285</v>
      </c>
      <c r="V67" s="105">
        <f t="shared" si="43"/>
        <v>105</v>
      </c>
      <c r="W67" s="105">
        <f t="shared" si="35"/>
        <v>390</v>
      </c>
      <c r="X67" s="83" t="s">
        <v>627</v>
      </c>
      <c r="Y67" s="83" t="s">
        <v>628</v>
      </c>
      <c r="Z67" s="99"/>
      <c r="AA67" s="105"/>
      <c r="AB67" s="108"/>
      <c r="AC67" s="105">
        <f t="shared" si="44"/>
        <v>19</v>
      </c>
      <c r="AD67" s="105">
        <f>VLOOKUP(C67,餐补次数!$R$2:$S$150,2,0)</f>
        <v>7</v>
      </c>
      <c r="AE67" s="105">
        <f t="shared" si="45"/>
        <v>105</v>
      </c>
      <c r="AF67" s="105">
        <f t="shared" ref="AF67:AF98" si="47">U67+AE67-Z67*15</f>
        <v>390</v>
      </c>
      <c r="AG67" s="83"/>
    </row>
    <row r="68" s="85" customFormat="1" ht="13" spans="1:33">
      <c r="A68" s="95" t="s">
        <v>754</v>
      </c>
      <c r="B68" s="100" t="s">
        <v>755</v>
      </c>
      <c r="C68" s="100" t="s">
        <v>405</v>
      </c>
      <c r="D68" s="100" t="s">
        <v>398</v>
      </c>
      <c r="E68" s="83" t="s">
        <v>626</v>
      </c>
      <c r="F68" s="97"/>
      <c r="G68" s="97"/>
      <c r="H68" s="97"/>
      <c r="I68" s="97"/>
      <c r="J68" s="97"/>
      <c r="K68" s="97"/>
      <c r="L68" s="97"/>
      <c r="M68" s="97"/>
      <c r="N68" s="105">
        <f t="shared" ref="N68" si="48">SUM(G68:M68)</f>
        <v>0</v>
      </c>
      <c r="O68" s="83"/>
      <c r="P68" s="83"/>
      <c r="Q68" s="83"/>
      <c r="R68" s="83"/>
      <c r="S68" s="105">
        <v>19</v>
      </c>
      <c r="T68" s="105">
        <f t="shared" si="41"/>
        <v>19</v>
      </c>
      <c r="U68" s="105">
        <f t="shared" si="42"/>
        <v>285</v>
      </c>
      <c r="V68" s="105">
        <f t="shared" si="43"/>
        <v>105</v>
      </c>
      <c r="W68" s="105">
        <f t="shared" si="35"/>
        <v>390</v>
      </c>
      <c r="X68" s="83" t="s">
        <v>627</v>
      </c>
      <c r="Y68" s="83" t="s">
        <v>628</v>
      </c>
      <c r="Z68" s="99"/>
      <c r="AA68" s="105"/>
      <c r="AB68" s="108"/>
      <c r="AC68" s="105">
        <f t="shared" si="44"/>
        <v>19</v>
      </c>
      <c r="AD68" s="105">
        <f>VLOOKUP(C68,餐补次数!$R$2:$S$150,2,0)</f>
        <v>7</v>
      </c>
      <c r="AE68" s="105">
        <f t="shared" si="45"/>
        <v>105</v>
      </c>
      <c r="AF68" s="105">
        <f t="shared" si="47"/>
        <v>390</v>
      </c>
      <c r="AG68" s="83"/>
    </row>
    <row r="69" s="85" customFormat="1" ht="13" spans="1:33">
      <c r="A69" s="95" t="s">
        <v>756</v>
      </c>
      <c r="B69" s="100" t="s">
        <v>755</v>
      </c>
      <c r="C69" s="100" t="s">
        <v>397</v>
      </c>
      <c r="D69" s="100" t="s">
        <v>398</v>
      </c>
      <c r="E69" s="83" t="s">
        <v>626</v>
      </c>
      <c r="F69" s="97"/>
      <c r="G69" s="97"/>
      <c r="H69" s="97"/>
      <c r="I69" s="97"/>
      <c r="J69" s="97"/>
      <c r="K69" s="97"/>
      <c r="L69" s="97"/>
      <c r="M69" s="97"/>
      <c r="N69" s="105">
        <f t="shared" ref="N69:N71" si="49">SUM(G69:M69)</f>
        <v>0</v>
      </c>
      <c r="O69" s="83"/>
      <c r="P69" s="83"/>
      <c r="Q69" s="83"/>
      <c r="R69" s="83"/>
      <c r="S69" s="105">
        <v>19</v>
      </c>
      <c r="T69" s="105">
        <f t="shared" si="41"/>
        <v>19</v>
      </c>
      <c r="U69" s="105">
        <f t="shared" si="42"/>
        <v>285</v>
      </c>
      <c r="V69" s="105">
        <f t="shared" si="43"/>
        <v>105</v>
      </c>
      <c r="W69" s="105">
        <f t="shared" si="35"/>
        <v>390</v>
      </c>
      <c r="X69" s="83" t="s">
        <v>627</v>
      </c>
      <c r="Y69" s="83" t="s">
        <v>628</v>
      </c>
      <c r="Z69" s="99"/>
      <c r="AA69" s="105"/>
      <c r="AB69" s="108"/>
      <c r="AC69" s="105">
        <f t="shared" si="44"/>
        <v>19</v>
      </c>
      <c r="AD69" s="105">
        <f>VLOOKUP(C69,餐补次数!$R$2:$S$150,2,0)</f>
        <v>7</v>
      </c>
      <c r="AE69" s="105">
        <f t="shared" si="45"/>
        <v>105</v>
      </c>
      <c r="AF69" s="105">
        <f t="shared" si="47"/>
        <v>390</v>
      </c>
      <c r="AG69" s="83"/>
    </row>
    <row r="70" s="85" customFormat="1" ht="13" spans="1:33">
      <c r="A70" s="95" t="s">
        <v>757</v>
      </c>
      <c r="B70" s="100" t="s">
        <v>755</v>
      </c>
      <c r="C70" s="100" t="s">
        <v>404</v>
      </c>
      <c r="D70" s="100" t="s">
        <v>398</v>
      </c>
      <c r="E70" s="83" t="s">
        <v>626</v>
      </c>
      <c r="F70" s="97"/>
      <c r="G70" s="97"/>
      <c r="H70" s="97"/>
      <c r="I70" s="97"/>
      <c r="J70" s="97"/>
      <c r="K70" s="97"/>
      <c r="L70" s="97"/>
      <c r="M70" s="97"/>
      <c r="N70" s="105">
        <f t="shared" si="49"/>
        <v>0</v>
      </c>
      <c r="O70" s="83"/>
      <c r="P70" s="83"/>
      <c r="Q70" s="83"/>
      <c r="R70" s="83"/>
      <c r="S70" s="105">
        <v>19</v>
      </c>
      <c r="T70" s="105">
        <f t="shared" si="41"/>
        <v>19</v>
      </c>
      <c r="U70" s="105">
        <f t="shared" si="42"/>
        <v>270</v>
      </c>
      <c r="V70" s="105">
        <f t="shared" si="43"/>
        <v>135</v>
      </c>
      <c r="W70" s="105">
        <f t="shared" si="35"/>
        <v>405</v>
      </c>
      <c r="X70" s="83" t="s">
        <v>627</v>
      </c>
      <c r="Y70" s="83" t="s">
        <v>628</v>
      </c>
      <c r="Z70" s="99"/>
      <c r="AA70" s="105"/>
      <c r="AB70" s="108">
        <f>VLOOKUP(C70,餐补次数!$H$2:$I$100,2,0)</f>
        <v>1</v>
      </c>
      <c r="AC70" s="105">
        <f t="shared" si="44"/>
        <v>18</v>
      </c>
      <c r="AD70" s="105">
        <f>VLOOKUP(C70,餐补次数!$R$2:$S$150,2,0)</f>
        <v>9</v>
      </c>
      <c r="AE70" s="105">
        <f t="shared" si="45"/>
        <v>135</v>
      </c>
      <c r="AF70" s="105">
        <f t="shared" si="47"/>
        <v>405</v>
      </c>
      <c r="AG70" s="83"/>
    </row>
    <row r="71" s="85" customFormat="1" ht="13" spans="1:33">
      <c r="A71" s="95" t="s">
        <v>758</v>
      </c>
      <c r="B71" s="100" t="s">
        <v>755</v>
      </c>
      <c r="C71" s="100" t="s">
        <v>406</v>
      </c>
      <c r="D71" s="100" t="s">
        <v>149</v>
      </c>
      <c r="E71" s="83" t="s">
        <v>626</v>
      </c>
      <c r="F71" s="97"/>
      <c r="G71" s="97"/>
      <c r="H71" s="97"/>
      <c r="I71" s="97"/>
      <c r="J71" s="97"/>
      <c r="K71" s="97"/>
      <c r="L71" s="97"/>
      <c r="M71" s="97"/>
      <c r="N71" s="105">
        <f t="shared" si="49"/>
        <v>0</v>
      </c>
      <c r="O71" s="83"/>
      <c r="P71" s="83"/>
      <c r="Q71" s="83"/>
      <c r="R71" s="83"/>
      <c r="S71" s="105">
        <v>19</v>
      </c>
      <c r="T71" s="105">
        <f t="shared" si="41"/>
        <v>19</v>
      </c>
      <c r="U71" s="105">
        <f t="shared" si="42"/>
        <v>285</v>
      </c>
      <c r="V71" s="105">
        <f t="shared" si="43"/>
        <v>105</v>
      </c>
      <c r="W71" s="105">
        <f t="shared" ref="W71:W102" si="50">U71+V71</f>
        <v>390</v>
      </c>
      <c r="X71" s="83" t="s">
        <v>627</v>
      </c>
      <c r="Y71" s="83" t="s">
        <v>628</v>
      </c>
      <c r="Z71" s="99"/>
      <c r="AA71" s="105"/>
      <c r="AB71" s="108"/>
      <c r="AC71" s="105">
        <f t="shared" si="44"/>
        <v>19</v>
      </c>
      <c r="AD71" s="105">
        <f>VLOOKUP(C71,餐补次数!$R$2:$S$150,2,0)</f>
        <v>7</v>
      </c>
      <c r="AE71" s="105">
        <f t="shared" si="45"/>
        <v>105</v>
      </c>
      <c r="AF71" s="105">
        <f t="shared" si="47"/>
        <v>390</v>
      </c>
      <c r="AG71" s="83"/>
    </row>
    <row r="72" s="85" customFormat="1" ht="13" spans="1:33">
      <c r="A72" s="95" t="s">
        <v>759</v>
      </c>
      <c r="B72" s="100" t="s">
        <v>760</v>
      </c>
      <c r="C72" s="100" t="s">
        <v>562</v>
      </c>
      <c r="D72" s="100" t="s">
        <v>398</v>
      </c>
      <c r="E72" s="83" t="s">
        <v>626</v>
      </c>
      <c r="F72" s="97"/>
      <c r="G72" s="97"/>
      <c r="H72" s="97"/>
      <c r="I72" s="97"/>
      <c r="J72" s="97"/>
      <c r="K72" s="97"/>
      <c r="L72" s="97"/>
      <c r="M72" s="97"/>
      <c r="N72" s="105">
        <f t="shared" ref="N72:N77" si="51">SUM(G72:M72)</f>
        <v>0</v>
      </c>
      <c r="O72" s="83"/>
      <c r="P72" s="83"/>
      <c r="Q72" s="83"/>
      <c r="R72" s="83"/>
      <c r="S72" s="105">
        <v>19</v>
      </c>
      <c r="T72" s="105">
        <f t="shared" si="41"/>
        <v>19</v>
      </c>
      <c r="U72" s="105">
        <f t="shared" si="42"/>
        <v>262.5</v>
      </c>
      <c r="V72" s="105">
        <f t="shared" si="43"/>
        <v>90</v>
      </c>
      <c r="W72" s="105">
        <f t="shared" si="50"/>
        <v>352.5</v>
      </c>
      <c r="X72" s="83" t="s">
        <v>627</v>
      </c>
      <c r="Y72" s="83" t="s">
        <v>628</v>
      </c>
      <c r="Z72" s="99"/>
      <c r="AA72" s="105"/>
      <c r="AB72" s="108">
        <f>VLOOKUP(C72,餐补次数!$H$2:$I$100,2,0)</f>
        <v>1.5</v>
      </c>
      <c r="AC72" s="105">
        <f t="shared" si="44"/>
        <v>17.5</v>
      </c>
      <c r="AD72" s="105">
        <f>VLOOKUP(C72,餐补次数!$R$2:$S$150,2,0)</f>
        <v>6</v>
      </c>
      <c r="AE72" s="105">
        <f t="shared" si="45"/>
        <v>90</v>
      </c>
      <c r="AF72" s="105">
        <f t="shared" si="47"/>
        <v>352.5</v>
      </c>
      <c r="AG72" s="83"/>
    </row>
    <row r="73" s="85" customFormat="1" ht="13" spans="1:33">
      <c r="A73" s="95" t="s">
        <v>761</v>
      </c>
      <c r="B73" s="100" t="s">
        <v>760</v>
      </c>
      <c r="C73" s="100" t="s">
        <v>559</v>
      </c>
      <c r="D73" s="100" t="s">
        <v>730</v>
      </c>
      <c r="E73" s="83" t="s">
        <v>626</v>
      </c>
      <c r="F73" s="97"/>
      <c r="G73" s="97"/>
      <c r="H73" s="97"/>
      <c r="I73" s="97"/>
      <c r="J73" s="97"/>
      <c r="K73" s="97"/>
      <c r="L73" s="97"/>
      <c r="M73" s="97"/>
      <c r="N73" s="105">
        <f t="shared" si="51"/>
        <v>0</v>
      </c>
      <c r="O73" s="83"/>
      <c r="P73" s="83"/>
      <c r="Q73" s="83"/>
      <c r="R73" s="83"/>
      <c r="S73" s="105">
        <v>19</v>
      </c>
      <c r="T73" s="105">
        <f t="shared" si="41"/>
        <v>19</v>
      </c>
      <c r="U73" s="105">
        <f t="shared" si="42"/>
        <v>270</v>
      </c>
      <c r="V73" s="105">
        <f t="shared" si="43"/>
        <v>90</v>
      </c>
      <c r="W73" s="105">
        <f t="shared" si="50"/>
        <v>360</v>
      </c>
      <c r="X73" s="83" t="s">
        <v>627</v>
      </c>
      <c r="Y73" s="83" t="s">
        <v>628</v>
      </c>
      <c r="Z73" s="99"/>
      <c r="AA73" s="105"/>
      <c r="AB73" s="108">
        <f>VLOOKUP(C73,餐补次数!$H$2:$I$100,2,0)</f>
        <v>1</v>
      </c>
      <c r="AC73" s="105">
        <f t="shared" si="44"/>
        <v>18</v>
      </c>
      <c r="AD73" s="105">
        <f>VLOOKUP(C73,餐补次数!$R$2:$S$150,2,0)</f>
        <v>6</v>
      </c>
      <c r="AE73" s="105">
        <f t="shared" si="45"/>
        <v>90</v>
      </c>
      <c r="AF73" s="105">
        <f t="shared" si="47"/>
        <v>360</v>
      </c>
      <c r="AG73" s="83"/>
    </row>
    <row r="74" s="85" customFormat="1" ht="13" spans="1:33">
      <c r="A74" s="95" t="s">
        <v>762</v>
      </c>
      <c r="B74" s="100" t="s">
        <v>760</v>
      </c>
      <c r="C74" s="100" t="s">
        <v>567</v>
      </c>
      <c r="D74" s="100" t="s">
        <v>398</v>
      </c>
      <c r="E74" s="83" t="s">
        <v>626</v>
      </c>
      <c r="F74" s="97"/>
      <c r="G74" s="97"/>
      <c r="H74" s="97"/>
      <c r="I74" s="97"/>
      <c r="J74" s="97"/>
      <c r="K74" s="97"/>
      <c r="L74" s="97"/>
      <c r="M74" s="97"/>
      <c r="N74" s="105">
        <f t="shared" ref="N74" si="52">SUM(G74:M74)</f>
        <v>0</v>
      </c>
      <c r="O74" s="83"/>
      <c r="P74" s="83"/>
      <c r="Q74" s="83"/>
      <c r="R74" s="83"/>
      <c r="S74" s="105">
        <v>19</v>
      </c>
      <c r="T74" s="105">
        <f t="shared" si="41"/>
        <v>19</v>
      </c>
      <c r="U74" s="105">
        <f t="shared" si="42"/>
        <v>255</v>
      </c>
      <c r="V74" s="105">
        <f t="shared" si="43"/>
        <v>90</v>
      </c>
      <c r="W74" s="105">
        <f t="shared" si="50"/>
        <v>345</v>
      </c>
      <c r="X74" s="83" t="s">
        <v>627</v>
      </c>
      <c r="Y74" s="83" t="s">
        <v>628</v>
      </c>
      <c r="Z74" s="99"/>
      <c r="AA74" s="105"/>
      <c r="AB74" s="108">
        <f>VLOOKUP(C74,餐补次数!$H$2:$I$100,2,0)</f>
        <v>2</v>
      </c>
      <c r="AC74" s="105">
        <f t="shared" si="44"/>
        <v>17</v>
      </c>
      <c r="AD74" s="105">
        <f>VLOOKUP(C74,餐补次数!$R$2:$S$150,2,0)</f>
        <v>6</v>
      </c>
      <c r="AE74" s="105">
        <f t="shared" si="45"/>
        <v>90</v>
      </c>
      <c r="AF74" s="105">
        <f t="shared" si="47"/>
        <v>345</v>
      </c>
      <c r="AG74" s="83"/>
    </row>
    <row r="75" s="85" customFormat="1" ht="13" spans="1:33">
      <c r="A75" s="95" t="s">
        <v>763</v>
      </c>
      <c r="B75" s="100" t="s">
        <v>760</v>
      </c>
      <c r="C75" s="100" t="s">
        <v>560</v>
      </c>
      <c r="D75" s="100" t="s">
        <v>398</v>
      </c>
      <c r="E75" s="83" t="s">
        <v>626</v>
      </c>
      <c r="F75" s="97"/>
      <c r="G75" s="97"/>
      <c r="H75" s="97"/>
      <c r="I75" s="97"/>
      <c r="J75" s="97"/>
      <c r="K75" s="97"/>
      <c r="L75" s="97"/>
      <c r="M75" s="97"/>
      <c r="N75" s="105">
        <f t="shared" si="51"/>
        <v>0</v>
      </c>
      <c r="O75" s="83"/>
      <c r="P75" s="83"/>
      <c r="Q75" s="83"/>
      <c r="R75" s="83"/>
      <c r="S75" s="105">
        <v>19</v>
      </c>
      <c r="T75" s="105">
        <f t="shared" si="41"/>
        <v>19</v>
      </c>
      <c r="U75" s="105">
        <f t="shared" si="42"/>
        <v>285</v>
      </c>
      <c r="V75" s="105">
        <f t="shared" si="43"/>
        <v>90</v>
      </c>
      <c r="W75" s="105">
        <f t="shared" si="50"/>
        <v>375</v>
      </c>
      <c r="X75" s="83" t="s">
        <v>627</v>
      </c>
      <c r="Y75" s="83" t="s">
        <v>628</v>
      </c>
      <c r="Z75" s="99"/>
      <c r="AA75" s="105"/>
      <c r="AB75" s="108"/>
      <c r="AC75" s="105">
        <f t="shared" si="44"/>
        <v>19</v>
      </c>
      <c r="AD75" s="105">
        <f>VLOOKUP(C75,餐补次数!$R$2:$S$150,2,0)</f>
        <v>6</v>
      </c>
      <c r="AE75" s="105">
        <f t="shared" si="45"/>
        <v>90</v>
      </c>
      <c r="AF75" s="105">
        <f t="shared" si="47"/>
        <v>375</v>
      </c>
      <c r="AG75" s="83"/>
    </row>
    <row r="76" s="85" customFormat="1" ht="13" spans="1:33">
      <c r="A76" s="95" t="s">
        <v>764</v>
      </c>
      <c r="B76" s="100" t="s">
        <v>760</v>
      </c>
      <c r="C76" s="100" t="s">
        <v>564</v>
      </c>
      <c r="D76" s="100" t="s">
        <v>398</v>
      </c>
      <c r="E76" s="83" t="s">
        <v>626</v>
      </c>
      <c r="F76" s="97"/>
      <c r="G76" s="97"/>
      <c r="H76" s="97"/>
      <c r="I76" s="97"/>
      <c r="J76" s="97"/>
      <c r="K76" s="97"/>
      <c r="L76" s="97"/>
      <c r="M76" s="97"/>
      <c r="N76" s="105">
        <f t="shared" ref="N76" si="53">SUM(G76:M76)</f>
        <v>0</v>
      </c>
      <c r="O76" s="83"/>
      <c r="P76" s="83"/>
      <c r="Q76" s="83"/>
      <c r="R76" s="83"/>
      <c r="S76" s="105">
        <v>19</v>
      </c>
      <c r="T76" s="105">
        <f t="shared" si="41"/>
        <v>19</v>
      </c>
      <c r="U76" s="105">
        <f t="shared" si="42"/>
        <v>255</v>
      </c>
      <c r="V76" s="105">
        <f t="shared" si="43"/>
        <v>180</v>
      </c>
      <c r="W76" s="105">
        <f t="shared" si="50"/>
        <v>435</v>
      </c>
      <c r="X76" s="83" t="s">
        <v>627</v>
      </c>
      <c r="Y76" s="83" t="s">
        <v>628</v>
      </c>
      <c r="Z76" s="99"/>
      <c r="AA76" s="105"/>
      <c r="AB76" s="108">
        <f>VLOOKUP(C76,餐补次数!$H$2:$I$100,2,0)</f>
        <v>2</v>
      </c>
      <c r="AC76" s="105">
        <f t="shared" si="44"/>
        <v>17</v>
      </c>
      <c r="AD76" s="105">
        <f>VLOOKUP(C76,餐补次数!$R$2:$S$150,2,0)</f>
        <v>12</v>
      </c>
      <c r="AE76" s="105">
        <f t="shared" si="45"/>
        <v>180</v>
      </c>
      <c r="AF76" s="105">
        <f t="shared" si="47"/>
        <v>435</v>
      </c>
      <c r="AG76" s="83"/>
    </row>
    <row r="77" s="85" customFormat="1" ht="13" spans="1:33">
      <c r="A77" s="95" t="s">
        <v>765</v>
      </c>
      <c r="B77" s="100" t="s">
        <v>760</v>
      </c>
      <c r="C77" s="100" t="s">
        <v>563</v>
      </c>
      <c r="D77" s="100" t="s">
        <v>398</v>
      </c>
      <c r="E77" s="83" t="s">
        <v>626</v>
      </c>
      <c r="F77" s="97"/>
      <c r="G77" s="97"/>
      <c r="H77" s="97"/>
      <c r="I77" s="97"/>
      <c r="J77" s="97"/>
      <c r="K77" s="97"/>
      <c r="L77" s="97"/>
      <c r="M77" s="97"/>
      <c r="N77" s="105">
        <f t="shared" si="51"/>
        <v>0</v>
      </c>
      <c r="O77" s="83"/>
      <c r="P77" s="83"/>
      <c r="Q77" s="83"/>
      <c r="R77" s="83"/>
      <c r="S77" s="105">
        <v>19</v>
      </c>
      <c r="T77" s="105">
        <f t="shared" si="41"/>
        <v>19</v>
      </c>
      <c r="U77" s="105">
        <f t="shared" si="42"/>
        <v>285</v>
      </c>
      <c r="V77" s="105">
        <f t="shared" si="43"/>
        <v>90</v>
      </c>
      <c r="W77" s="105">
        <f t="shared" si="50"/>
        <v>375</v>
      </c>
      <c r="X77" s="83" t="s">
        <v>627</v>
      </c>
      <c r="Y77" s="83" t="s">
        <v>628</v>
      </c>
      <c r="Z77" s="99"/>
      <c r="AA77" s="105"/>
      <c r="AB77" s="108"/>
      <c r="AC77" s="105">
        <f t="shared" si="44"/>
        <v>19</v>
      </c>
      <c r="AD77" s="105">
        <f>VLOOKUP(C77,餐补次数!$R$2:$S$150,2,0)</f>
        <v>6</v>
      </c>
      <c r="AE77" s="105">
        <f t="shared" si="45"/>
        <v>90</v>
      </c>
      <c r="AF77" s="105">
        <f t="shared" si="47"/>
        <v>375</v>
      </c>
      <c r="AG77" s="83"/>
    </row>
    <row r="78" s="85" customFormat="1" ht="13" spans="1:33">
      <c r="A78" s="95" t="s">
        <v>766</v>
      </c>
      <c r="B78" s="100" t="s">
        <v>760</v>
      </c>
      <c r="C78" s="100" t="s">
        <v>565</v>
      </c>
      <c r="D78" s="100" t="s">
        <v>398</v>
      </c>
      <c r="E78" s="83" t="s">
        <v>626</v>
      </c>
      <c r="F78" s="97"/>
      <c r="G78" s="97"/>
      <c r="H78" s="97"/>
      <c r="I78" s="97"/>
      <c r="J78" s="97"/>
      <c r="K78" s="97"/>
      <c r="L78" s="97"/>
      <c r="M78" s="97"/>
      <c r="N78" s="105">
        <f t="shared" ref="N78" si="54">SUM(G78:M78)</f>
        <v>0</v>
      </c>
      <c r="O78" s="83"/>
      <c r="P78" s="83"/>
      <c r="Q78" s="83"/>
      <c r="R78" s="83"/>
      <c r="S78" s="105">
        <v>19</v>
      </c>
      <c r="T78" s="105">
        <f t="shared" si="41"/>
        <v>19</v>
      </c>
      <c r="U78" s="105">
        <f t="shared" si="42"/>
        <v>225</v>
      </c>
      <c r="V78" s="105">
        <f t="shared" si="43"/>
        <v>105</v>
      </c>
      <c r="W78" s="105">
        <f t="shared" si="50"/>
        <v>330</v>
      </c>
      <c r="X78" s="83" t="s">
        <v>627</v>
      </c>
      <c r="Y78" s="83" t="s">
        <v>628</v>
      </c>
      <c r="Z78" s="99"/>
      <c r="AA78" s="105">
        <f>VLOOKUP(C78,餐补次数!$C$2:$D$17,2,0)</f>
        <v>4</v>
      </c>
      <c r="AB78" s="108"/>
      <c r="AC78" s="105">
        <f t="shared" si="44"/>
        <v>15</v>
      </c>
      <c r="AD78" s="105">
        <f>VLOOKUP(C78,餐补次数!$R$2:$S$150,2,0)</f>
        <v>7</v>
      </c>
      <c r="AE78" s="105">
        <f t="shared" si="45"/>
        <v>105</v>
      </c>
      <c r="AF78" s="105">
        <f t="shared" si="47"/>
        <v>330</v>
      </c>
      <c r="AG78" s="83"/>
    </row>
    <row r="79" s="87" customFormat="1" ht="12" customHeight="1" spans="1:33">
      <c r="A79" s="95" t="s">
        <v>767</v>
      </c>
      <c r="B79" s="100" t="s">
        <v>768</v>
      </c>
      <c r="C79" s="100" t="s">
        <v>480</v>
      </c>
      <c r="D79" s="100" t="s">
        <v>318</v>
      </c>
      <c r="E79" s="83" t="s">
        <v>626</v>
      </c>
      <c r="F79" s="111"/>
      <c r="G79" s="112"/>
      <c r="H79" s="112"/>
      <c r="I79" s="112"/>
      <c r="J79" s="112"/>
      <c r="K79" s="112"/>
      <c r="L79" s="112"/>
      <c r="M79" s="112"/>
      <c r="N79" s="105">
        <f t="shared" ref="N79:N127" si="55">SUM(G79:M79)</f>
        <v>0</v>
      </c>
      <c r="O79" s="116"/>
      <c r="P79" s="116"/>
      <c r="Q79" s="116"/>
      <c r="R79" s="116"/>
      <c r="S79" s="105">
        <v>19</v>
      </c>
      <c r="T79" s="105">
        <f t="shared" ref="T79:T127" si="56">S79-N79</f>
        <v>19</v>
      </c>
      <c r="U79" s="105">
        <f t="shared" ref="U79:U127" si="57">AC79*15</f>
        <v>285</v>
      </c>
      <c r="V79" s="105">
        <f t="shared" ref="V79:V127" si="58">AE79-Z79*15</f>
        <v>135</v>
      </c>
      <c r="W79" s="105">
        <f t="shared" si="50"/>
        <v>420</v>
      </c>
      <c r="X79" s="83" t="s">
        <v>627</v>
      </c>
      <c r="Y79" s="83" t="s">
        <v>628</v>
      </c>
      <c r="Z79" s="99"/>
      <c r="AA79" s="105"/>
      <c r="AB79" s="108"/>
      <c r="AC79" s="105">
        <f t="shared" ref="AC79:AC127" si="59">T79-AA79-AB79</f>
        <v>19</v>
      </c>
      <c r="AD79" s="105">
        <f>VLOOKUP(C79,餐补次数!$R$2:$S$150,2,0)</f>
        <v>9</v>
      </c>
      <c r="AE79" s="105">
        <f t="shared" ref="AE79:AE127" si="60">AD79*15</f>
        <v>135</v>
      </c>
      <c r="AF79" s="105">
        <f t="shared" si="47"/>
        <v>420</v>
      </c>
      <c r="AG79" s="119"/>
    </row>
    <row r="80" s="87" customFormat="1" ht="12" customHeight="1" spans="1:33">
      <c r="A80" s="95" t="s">
        <v>769</v>
      </c>
      <c r="B80" s="100" t="s">
        <v>768</v>
      </c>
      <c r="C80" s="100" t="s">
        <v>488</v>
      </c>
      <c r="D80" s="100" t="s">
        <v>489</v>
      </c>
      <c r="E80" s="83" t="s">
        <v>626</v>
      </c>
      <c r="F80" s="111"/>
      <c r="G80" s="112"/>
      <c r="H80" s="112"/>
      <c r="I80" s="112"/>
      <c r="J80" s="112"/>
      <c r="K80" s="112"/>
      <c r="L80" s="112"/>
      <c r="M80" s="112"/>
      <c r="N80" s="105">
        <f t="shared" si="55"/>
        <v>0</v>
      </c>
      <c r="O80" s="116"/>
      <c r="P80" s="116"/>
      <c r="Q80" s="116"/>
      <c r="R80" s="116"/>
      <c r="S80" s="105">
        <v>19</v>
      </c>
      <c r="T80" s="105">
        <f t="shared" si="56"/>
        <v>19</v>
      </c>
      <c r="U80" s="105">
        <f t="shared" si="57"/>
        <v>285</v>
      </c>
      <c r="V80" s="105">
        <f t="shared" si="58"/>
        <v>105</v>
      </c>
      <c r="W80" s="105">
        <f t="shared" si="50"/>
        <v>390</v>
      </c>
      <c r="X80" s="83" t="s">
        <v>627</v>
      </c>
      <c r="Y80" s="83" t="s">
        <v>628</v>
      </c>
      <c r="Z80" s="99"/>
      <c r="AA80" s="105"/>
      <c r="AB80" s="108"/>
      <c r="AC80" s="105">
        <f t="shared" si="59"/>
        <v>19</v>
      </c>
      <c r="AD80" s="105">
        <f>VLOOKUP(C80,餐补次数!$R$2:$S$150,2,0)</f>
        <v>7</v>
      </c>
      <c r="AE80" s="105">
        <f t="shared" si="60"/>
        <v>105</v>
      </c>
      <c r="AF80" s="105">
        <f t="shared" si="47"/>
        <v>390</v>
      </c>
      <c r="AG80" s="119"/>
    </row>
    <row r="81" s="87" customFormat="1" ht="12" customHeight="1" spans="1:33">
      <c r="A81" s="95" t="s">
        <v>770</v>
      </c>
      <c r="B81" s="100" t="s">
        <v>768</v>
      </c>
      <c r="C81" s="100" t="s">
        <v>491</v>
      </c>
      <c r="D81" s="100" t="s">
        <v>149</v>
      </c>
      <c r="E81" s="83" t="s">
        <v>626</v>
      </c>
      <c r="F81" s="111"/>
      <c r="G81" s="112"/>
      <c r="H81" s="112"/>
      <c r="I81" s="112"/>
      <c r="J81" s="112"/>
      <c r="K81" s="112"/>
      <c r="L81" s="112"/>
      <c r="M81" s="112"/>
      <c r="N81" s="105">
        <f t="shared" si="55"/>
        <v>0</v>
      </c>
      <c r="O81" s="116"/>
      <c r="P81" s="116"/>
      <c r="Q81" s="116"/>
      <c r="R81" s="116"/>
      <c r="S81" s="105">
        <v>19</v>
      </c>
      <c r="T81" s="105">
        <f t="shared" si="56"/>
        <v>19</v>
      </c>
      <c r="U81" s="105">
        <f t="shared" si="57"/>
        <v>262.5</v>
      </c>
      <c r="V81" s="105">
        <f t="shared" si="58"/>
        <v>30</v>
      </c>
      <c r="W81" s="105">
        <f t="shared" si="50"/>
        <v>292.5</v>
      </c>
      <c r="X81" s="83" t="s">
        <v>627</v>
      </c>
      <c r="Y81" s="83" t="s">
        <v>628</v>
      </c>
      <c r="Z81" s="99"/>
      <c r="AA81" s="105"/>
      <c r="AB81" s="108">
        <f>VLOOKUP(C81,餐补次数!$H$2:$I$100,2,0)</f>
        <v>1.5</v>
      </c>
      <c r="AC81" s="105">
        <f t="shared" si="59"/>
        <v>17.5</v>
      </c>
      <c r="AD81" s="105">
        <f>VLOOKUP(C81,餐补次数!$R$2:$S$150,2,0)</f>
        <v>2</v>
      </c>
      <c r="AE81" s="105">
        <f t="shared" si="60"/>
        <v>30</v>
      </c>
      <c r="AF81" s="105">
        <f t="shared" si="47"/>
        <v>292.5</v>
      </c>
      <c r="AG81" s="119"/>
    </row>
    <row r="82" s="87" customFormat="1" ht="12" customHeight="1" spans="1:33">
      <c r="A82" s="95" t="s">
        <v>771</v>
      </c>
      <c r="B82" s="100" t="s">
        <v>768</v>
      </c>
      <c r="C82" s="100" t="s">
        <v>501</v>
      </c>
      <c r="D82" s="100" t="s">
        <v>398</v>
      </c>
      <c r="E82" s="83" t="s">
        <v>626</v>
      </c>
      <c r="F82" s="111"/>
      <c r="G82" s="112"/>
      <c r="H82" s="112"/>
      <c r="I82" s="112"/>
      <c r="J82" s="112"/>
      <c r="K82" s="112"/>
      <c r="L82" s="112"/>
      <c r="M82" s="112"/>
      <c r="N82" s="105">
        <f t="shared" si="55"/>
        <v>0</v>
      </c>
      <c r="O82" s="116"/>
      <c r="P82" s="116"/>
      <c r="Q82" s="116"/>
      <c r="R82" s="116"/>
      <c r="S82" s="105">
        <v>19</v>
      </c>
      <c r="T82" s="105">
        <f t="shared" si="56"/>
        <v>19</v>
      </c>
      <c r="U82" s="105">
        <f t="shared" si="57"/>
        <v>285</v>
      </c>
      <c r="V82" s="105">
        <f t="shared" si="58"/>
        <v>135</v>
      </c>
      <c r="W82" s="105">
        <f t="shared" si="50"/>
        <v>420</v>
      </c>
      <c r="X82" s="83" t="s">
        <v>627</v>
      </c>
      <c r="Y82" s="83" t="s">
        <v>628</v>
      </c>
      <c r="Z82" s="99"/>
      <c r="AA82" s="105"/>
      <c r="AB82" s="108"/>
      <c r="AC82" s="105">
        <f t="shared" si="59"/>
        <v>19</v>
      </c>
      <c r="AD82" s="105">
        <f>VLOOKUP(C82,餐补次数!$R$2:$S$150,2,0)</f>
        <v>9</v>
      </c>
      <c r="AE82" s="105">
        <f t="shared" si="60"/>
        <v>135</v>
      </c>
      <c r="AF82" s="105">
        <f t="shared" si="47"/>
        <v>420</v>
      </c>
      <c r="AG82" s="119"/>
    </row>
    <row r="83" s="87" customFormat="1" ht="12" customHeight="1" spans="1:33">
      <c r="A83" s="95" t="s">
        <v>772</v>
      </c>
      <c r="B83" s="100" t="s">
        <v>768</v>
      </c>
      <c r="C83" s="100" t="s">
        <v>486</v>
      </c>
      <c r="D83" s="100" t="s">
        <v>398</v>
      </c>
      <c r="E83" s="83" t="s">
        <v>626</v>
      </c>
      <c r="F83" s="111"/>
      <c r="G83" s="112"/>
      <c r="H83" s="112"/>
      <c r="I83" s="112"/>
      <c r="J83" s="112"/>
      <c r="K83" s="112"/>
      <c r="L83" s="112"/>
      <c r="M83" s="112"/>
      <c r="N83" s="105">
        <f t="shared" si="55"/>
        <v>0</v>
      </c>
      <c r="O83" s="116"/>
      <c r="P83" s="116"/>
      <c r="Q83" s="116"/>
      <c r="R83" s="116"/>
      <c r="S83" s="105">
        <v>19</v>
      </c>
      <c r="T83" s="105">
        <f t="shared" si="56"/>
        <v>19</v>
      </c>
      <c r="U83" s="105">
        <f t="shared" si="57"/>
        <v>270</v>
      </c>
      <c r="V83" s="105">
        <f t="shared" si="58"/>
        <v>90</v>
      </c>
      <c r="W83" s="105">
        <f t="shared" si="50"/>
        <v>360</v>
      </c>
      <c r="X83" s="83" t="s">
        <v>627</v>
      </c>
      <c r="Y83" s="83" t="s">
        <v>628</v>
      </c>
      <c r="Z83" s="99"/>
      <c r="AA83" s="105"/>
      <c r="AB83" s="108">
        <f>VLOOKUP(C83,餐补次数!$H$2:$I$100,2,0)</f>
        <v>1</v>
      </c>
      <c r="AC83" s="105">
        <f t="shared" si="59"/>
        <v>18</v>
      </c>
      <c r="AD83" s="105">
        <f>VLOOKUP(C83,餐补次数!$R$2:$S$150,2,0)</f>
        <v>6</v>
      </c>
      <c r="AE83" s="105">
        <f t="shared" si="60"/>
        <v>90</v>
      </c>
      <c r="AF83" s="105">
        <f t="shared" si="47"/>
        <v>360</v>
      </c>
      <c r="AG83" s="119"/>
    </row>
    <row r="84" s="87" customFormat="1" ht="12" customHeight="1" spans="1:33">
      <c r="A84" s="95" t="s">
        <v>773</v>
      </c>
      <c r="B84" s="100" t="s">
        <v>768</v>
      </c>
      <c r="C84" s="100" t="s">
        <v>484</v>
      </c>
      <c r="D84" s="100" t="s">
        <v>398</v>
      </c>
      <c r="E84" s="83" t="s">
        <v>626</v>
      </c>
      <c r="F84" s="111"/>
      <c r="G84" s="112"/>
      <c r="H84" s="112"/>
      <c r="I84" s="112"/>
      <c r="J84" s="112"/>
      <c r="K84" s="112"/>
      <c r="L84" s="112"/>
      <c r="M84" s="112"/>
      <c r="N84" s="105">
        <f t="shared" si="55"/>
        <v>0</v>
      </c>
      <c r="O84" s="116"/>
      <c r="P84" s="116"/>
      <c r="Q84" s="116"/>
      <c r="R84" s="116"/>
      <c r="S84" s="105">
        <v>19</v>
      </c>
      <c r="T84" s="105">
        <f t="shared" si="56"/>
        <v>19</v>
      </c>
      <c r="U84" s="105">
        <f t="shared" si="57"/>
        <v>277.5</v>
      </c>
      <c r="V84" s="105">
        <f t="shared" si="58"/>
        <v>105</v>
      </c>
      <c r="W84" s="105">
        <f t="shared" si="50"/>
        <v>382.5</v>
      </c>
      <c r="X84" s="83" t="s">
        <v>627</v>
      </c>
      <c r="Y84" s="83" t="s">
        <v>628</v>
      </c>
      <c r="Z84" s="99"/>
      <c r="AA84" s="105"/>
      <c r="AB84" s="108">
        <f>VLOOKUP(C84,餐补次数!$H$2:$I$100,2,0)</f>
        <v>0.5</v>
      </c>
      <c r="AC84" s="105">
        <f t="shared" si="59"/>
        <v>18.5</v>
      </c>
      <c r="AD84" s="105">
        <f>VLOOKUP(C84,餐补次数!$R$2:$S$150,2,0)</f>
        <v>7</v>
      </c>
      <c r="AE84" s="105">
        <f t="shared" si="60"/>
        <v>105</v>
      </c>
      <c r="AF84" s="105">
        <f t="shared" si="47"/>
        <v>382.5</v>
      </c>
      <c r="AG84" s="119"/>
    </row>
    <row r="85" s="87" customFormat="1" ht="12" customHeight="1" spans="1:33">
      <c r="A85" s="95" t="s">
        <v>774</v>
      </c>
      <c r="B85" s="100" t="s">
        <v>768</v>
      </c>
      <c r="C85" s="100" t="s">
        <v>497</v>
      </c>
      <c r="D85" s="100" t="s">
        <v>149</v>
      </c>
      <c r="E85" s="83" t="s">
        <v>626</v>
      </c>
      <c r="F85" s="111"/>
      <c r="G85" s="112"/>
      <c r="H85" s="112"/>
      <c r="I85" s="112"/>
      <c r="J85" s="112"/>
      <c r="K85" s="112"/>
      <c r="L85" s="112"/>
      <c r="M85" s="112"/>
      <c r="N85" s="105">
        <f t="shared" si="55"/>
        <v>0</v>
      </c>
      <c r="O85" s="116"/>
      <c r="P85" s="116"/>
      <c r="Q85" s="116"/>
      <c r="R85" s="116"/>
      <c r="S85" s="105">
        <v>19</v>
      </c>
      <c r="T85" s="105">
        <f t="shared" si="56"/>
        <v>19</v>
      </c>
      <c r="U85" s="105">
        <f t="shared" si="57"/>
        <v>285</v>
      </c>
      <c r="V85" s="105">
        <f t="shared" si="58"/>
        <v>90</v>
      </c>
      <c r="W85" s="105">
        <f t="shared" si="50"/>
        <v>375</v>
      </c>
      <c r="X85" s="83" t="s">
        <v>627</v>
      </c>
      <c r="Y85" s="83" t="s">
        <v>628</v>
      </c>
      <c r="Z85" s="99"/>
      <c r="AA85" s="105"/>
      <c r="AB85" s="108"/>
      <c r="AC85" s="105">
        <f t="shared" si="59"/>
        <v>19</v>
      </c>
      <c r="AD85" s="105">
        <f>VLOOKUP(C85,餐补次数!$R$2:$S$150,2,0)</f>
        <v>6</v>
      </c>
      <c r="AE85" s="105">
        <f t="shared" si="60"/>
        <v>90</v>
      </c>
      <c r="AF85" s="105">
        <f t="shared" si="47"/>
        <v>375</v>
      </c>
      <c r="AG85" s="119"/>
    </row>
    <row r="86" s="87" customFormat="1" ht="12" customHeight="1" spans="1:33">
      <c r="A86" s="95" t="s">
        <v>775</v>
      </c>
      <c r="B86" s="100" t="s">
        <v>768</v>
      </c>
      <c r="C86" s="100" t="s">
        <v>495</v>
      </c>
      <c r="D86" s="100" t="s">
        <v>398</v>
      </c>
      <c r="E86" s="83" t="s">
        <v>626</v>
      </c>
      <c r="F86" s="111"/>
      <c r="G86" s="112"/>
      <c r="H86" s="112"/>
      <c r="I86" s="112"/>
      <c r="J86" s="112"/>
      <c r="K86" s="112"/>
      <c r="L86" s="112"/>
      <c r="M86" s="112"/>
      <c r="N86" s="105">
        <f t="shared" si="55"/>
        <v>0</v>
      </c>
      <c r="O86" s="116"/>
      <c r="P86" s="116"/>
      <c r="Q86" s="116"/>
      <c r="R86" s="116"/>
      <c r="S86" s="105">
        <v>19</v>
      </c>
      <c r="T86" s="105">
        <f t="shared" si="56"/>
        <v>19</v>
      </c>
      <c r="U86" s="105">
        <f t="shared" si="57"/>
        <v>270</v>
      </c>
      <c r="V86" s="105">
        <f t="shared" si="58"/>
        <v>150</v>
      </c>
      <c r="W86" s="105">
        <f t="shared" si="50"/>
        <v>420</v>
      </c>
      <c r="X86" s="83" t="s">
        <v>627</v>
      </c>
      <c r="Y86" s="83" t="s">
        <v>628</v>
      </c>
      <c r="Z86" s="99"/>
      <c r="AA86" s="105">
        <f>VLOOKUP(C86,餐补次数!$C$2:$D$17,2,0)</f>
        <v>1</v>
      </c>
      <c r="AB86" s="108"/>
      <c r="AC86" s="105">
        <f t="shared" si="59"/>
        <v>18</v>
      </c>
      <c r="AD86" s="105">
        <f>VLOOKUP(C86,餐补次数!$R$2:$S$150,2,0)</f>
        <v>10</v>
      </c>
      <c r="AE86" s="105">
        <f t="shared" si="60"/>
        <v>150</v>
      </c>
      <c r="AF86" s="105">
        <f t="shared" si="47"/>
        <v>420</v>
      </c>
      <c r="AG86" s="119"/>
    </row>
    <row r="87" s="87" customFormat="1" ht="12" customHeight="1" spans="1:33">
      <c r="A87" s="95" t="s">
        <v>776</v>
      </c>
      <c r="B87" s="100" t="s">
        <v>768</v>
      </c>
      <c r="C87" s="100" t="s">
        <v>500</v>
      </c>
      <c r="D87" s="100" t="s">
        <v>398</v>
      </c>
      <c r="E87" s="83" t="s">
        <v>626</v>
      </c>
      <c r="F87" s="111"/>
      <c r="G87" s="112"/>
      <c r="H87" s="112"/>
      <c r="I87" s="112"/>
      <c r="J87" s="112"/>
      <c r="K87" s="112"/>
      <c r="L87" s="112"/>
      <c r="M87" s="112"/>
      <c r="N87" s="105">
        <f t="shared" si="55"/>
        <v>0</v>
      </c>
      <c r="O87" s="116"/>
      <c r="P87" s="116"/>
      <c r="Q87" s="116"/>
      <c r="R87" s="116"/>
      <c r="S87" s="105">
        <v>19</v>
      </c>
      <c r="T87" s="105">
        <f t="shared" si="56"/>
        <v>19</v>
      </c>
      <c r="U87" s="105">
        <f t="shared" si="57"/>
        <v>285</v>
      </c>
      <c r="V87" s="105">
        <f t="shared" si="58"/>
        <v>105</v>
      </c>
      <c r="W87" s="105">
        <f t="shared" si="50"/>
        <v>390</v>
      </c>
      <c r="X87" s="83" t="s">
        <v>627</v>
      </c>
      <c r="Y87" s="83" t="s">
        <v>628</v>
      </c>
      <c r="Z87" s="99"/>
      <c r="AA87" s="105"/>
      <c r="AB87" s="108"/>
      <c r="AC87" s="105">
        <f t="shared" si="59"/>
        <v>19</v>
      </c>
      <c r="AD87" s="105">
        <f>VLOOKUP(C87,餐补次数!$R$2:$S$150,2,0)</f>
        <v>7</v>
      </c>
      <c r="AE87" s="105">
        <f t="shared" si="60"/>
        <v>105</v>
      </c>
      <c r="AF87" s="105">
        <f t="shared" si="47"/>
        <v>390</v>
      </c>
      <c r="AG87" s="119"/>
    </row>
    <row r="88" s="87" customFormat="1" ht="12" customHeight="1" spans="1:33">
      <c r="A88" s="95" t="s">
        <v>777</v>
      </c>
      <c r="B88" s="100" t="s">
        <v>768</v>
      </c>
      <c r="C88" s="100" t="s">
        <v>485</v>
      </c>
      <c r="D88" s="100" t="s">
        <v>398</v>
      </c>
      <c r="E88" s="83" t="s">
        <v>626</v>
      </c>
      <c r="F88" s="111"/>
      <c r="G88" s="112"/>
      <c r="H88" s="112"/>
      <c r="I88" s="112"/>
      <c r="J88" s="112"/>
      <c r="K88" s="112"/>
      <c r="L88" s="112"/>
      <c r="M88" s="112"/>
      <c r="N88" s="105">
        <f t="shared" si="55"/>
        <v>0</v>
      </c>
      <c r="O88" s="116"/>
      <c r="P88" s="116"/>
      <c r="Q88" s="116"/>
      <c r="R88" s="116"/>
      <c r="S88" s="105">
        <v>19</v>
      </c>
      <c r="T88" s="105">
        <f t="shared" si="56"/>
        <v>19</v>
      </c>
      <c r="U88" s="105">
        <f t="shared" si="57"/>
        <v>240</v>
      </c>
      <c r="V88" s="105">
        <f t="shared" si="58"/>
        <v>90</v>
      </c>
      <c r="W88" s="105">
        <f t="shared" si="50"/>
        <v>330</v>
      </c>
      <c r="X88" s="83" t="s">
        <v>627</v>
      </c>
      <c r="Y88" s="83" t="s">
        <v>628</v>
      </c>
      <c r="Z88" s="99"/>
      <c r="AA88" s="105"/>
      <c r="AB88" s="108">
        <f>VLOOKUP(C88,餐补次数!$H$2:$I$100,2,0)</f>
        <v>3</v>
      </c>
      <c r="AC88" s="105">
        <f t="shared" si="59"/>
        <v>16</v>
      </c>
      <c r="AD88" s="105">
        <f>VLOOKUP(C88,餐补次数!$R$2:$S$150,2,0)</f>
        <v>6</v>
      </c>
      <c r="AE88" s="105">
        <f t="shared" si="60"/>
        <v>90</v>
      </c>
      <c r="AF88" s="105">
        <f t="shared" si="47"/>
        <v>330</v>
      </c>
      <c r="AG88" s="119"/>
    </row>
    <row r="89" s="87" customFormat="1" ht="12" customHeight="1" spans="1:33">
      <c r="A89" s="95" t="s">
        <v>778</v>
      </c>
      <c r="B89" s="100" t="s">
        <v>768</v>
      </c>
      <c r="C89" s="100" t="s">
        <v>479</v>
      </c>
      <c r="D89" s="100" t="s">
        <v>398</v>
      </c>
      <c r="E89" s="83" t="s">
        <v>626</v>
      </c>
      <c r="F89" s="111"/>
      <c r="G89" s="112"/>
      <c r="H89" s="112"/>
      <c r="I89" s="112"/>
      <c r="J89" s="112"/>
      <c r="K89" s="112"/>
      <c r="L89" s="112"/>
      <c r="M89" s="112"/>
      <c r="N89" s="105">
        <f t="shared" si="55"/>
        <v>0</v>
      </c>
      <c r="O89" s="116"/>
      <c r="P89" s="116"/>
      <c r="Q89" s="116"/>
      <c r="R89" s="116"/>
      <c r="S89" s="105">
        <v>19</v>
      </c>
      <c r="T89" s="105">
        <f t="shared" si="56"/>
        <v>19</v>
      </c>
      <c r="U89" s="105">
        <f t="shared" si="57"/>
        <v>285</v>
      </c>
      <c r="V89" s="105">
        <f t="shared" si="58"/>
        <v>105</v>
      </c>
      <c r="W89" s="105">
        <f t="shared" si="50"/>
        <v>390</v>
      </c>
      <c r="X89" s="83" t="s">
        <v>627</v>
      </c>
      <c r="Y89" s="83" t="s">
        <v>628</v>
      </c>
      <c r="Z89" s="99"/>
      <c r="AA89" s="105"/>
      <c r="AB89" s="108"/>
      <c r="AC89" s="105">
        <f t="shared" si="59"/>
        <v>19</v>
      </c>
      <c r="AD89" s="105">
        <f>VLOOKUP(C89,餐补次数!$R$2:$S$150,2,0)</f>
        <v>7</v>
      </c>
      <c r="AE89" s="105">
        <f t="shared" si="60"/>
        <v>105</v>
      </c>
      <c r="AF89" s="105">
        <f t="shared" si="47"/>
        <v>390</v>
      </c>
      <c r="AG89" s="119"/>
    </row>
    <row r="90" s="87" customFormat="1" ht="12" customHeight="1" spans="1:33">
      <c r="A90" s="95" t="s">
        <v>779</v>
      </c>
      <c r="B90" s="100" t="s">
        <v>768</v>
      </c>
      <c r="C90" s="100" t="s">
        <v>490</v>
      </c>
      <c r="D90" s="100" t="s">
        <v>398</v>
      </c>
      <c r="E90" s="83" t="s">
        <v>626</v>
      </c>
      <c r="F90" s="111"/>
      <c r="G90" s="112"/>
      <c r="H90" s="112"/>
      <c r="I90" s="112"/>
      <c r="J90" s="112"/>
      <c r="K90" s="112"/>
      <c r="L90" s="112"/>
      <c r="M90" s="112"/>
      <c r="N90" s="105">
        <f t="shared" si="55"/>
        <v>0</v>
      </c>
      <c r="O90" s="116"/>
      <c r="P90" s="116"/>
      <c r="Q90" s="116"/>
      <c r="R90" s="116"/>
      <c r="S90" s="105">
        <v>19</v>
      </c>
      <c r="T90" s="105">
        <f t="shared" si="56"/>
        <v>19</v>
      </c>
      <c r="U90" s="105">
        <f t="shared" si="57"/>
        <v>285</v>
      </c>
      <c r="V90" s="105">
        <f t="shared" si="58"/>
        <v>105</v>
      </c>
      <c r="W90" s="105">
        <f t="shared" si="50"/>
        <v>390</v>
      </c>
      <c r="X90" s="83" t="s">
        <v>627</v>
      </c>
      <c r="Y90" s="83" t="s">
        <v>628</v>
      </c>
      <c r="Z90" s="99"/>
      <c r="AA90" s="105"/>
      <c r="AB90" s="108"/>
      <c r="AC90" s="105">
        <f t="shared" si="59"/>
        <v>19</v>
      </c>
      <c r="AD90" s="105">
        <f>VLOOKUP(C90,餐补次数!$R$2:$S$150,2,0)</f>
        <v>7</v>
      </c>
      <c r="AE90" s="105">
        <f t="shared" si="60"/>
        <v>105</v>
      </c>
      <c r="AF90" s="105">
        <f t="shared" si="47"/>
        <v>390</v>
      </c>
      <c r="AG90" s="119"/>
    </row>
    <row r="91" s="87" customFormat="1" ht="12" customHeight="1" spans="1:33">
      <c r="A91" s="95" t="s">
        <v>780</v>
      </c>
      <c r="B91" s="100" t="s">
        <v>781</v>
      </c>
      <c r="C91" s="100" t="s">
        <v>520</v>
      </c>
      <c r="D91" s="100" t="s">
        <v>318</v>
      </c>
      <c r="E91" s="83" t="s">
        <v>626</v>
      </c>
      <c r="F91" s="111"/>
      <c r="G91" s="112"/>
      <c r="H91" s="112"/>
      <c r="I91" s="112"/>
      <c r="J91" s="112"/>
      <c r="K91" s="112"/>
      <c r="L91" s="112"/>
      <c r="M91" s="112"/>
      <c r="N91" s="105">
        <f t="shared" si="55"/>
        <v>0</v>
      </c>
      <c r="O91" s="116"/>
      <c r="P91" s="116"/>
      <c r="Q91" s="116"/>
      <c r="R91" s="116"/>
      <c r="S91" s="105">
        <v>19</v>
      </c>
      <c r="T91" s="105">
        <f t="shared" si="56"/>
        <v>19</v>
      </c>
      <c r="U91" s="105">
        <f t="shared" si="57"/>
        <v>285</v>
      </c>
      <c r="V91" s="105">
        <f t="shared" si="58"/>
        <v>150</v>
      </c>
      <c r="W91" s="105">
        <f t="shared" si="50"/>
        <v>435</v>
      </c>
      <c r="X91" s="83" t="s">
        <v>627</v>
      </c>
      <c r="Y91" s="83" t="s">
        <v>628</v>
      </c>
      <c r="Z91" s="99"/>
      <c r="AA91" s="105"/>
      <c r="AB91" s="108"/>
      <c r="AC91" s="105">
        <f t="shared" si="59"/>
        <v>19</v>
      </c>
      <c r="AD91" s="105">
        <f>VLOOKUP(C91,餐补次数!$R$2:$S$150,2,0)</f>
        <v>10</v>
      </c>
      <c r="AE91" s="105">
        <f t="shared" si="60"/>
        <v>150</v>
      </c>
      <c r="AF91" s="105">
        <f t="shared" si="47"/>
        <v>435</v>
      </c>
      <c r="AG91" s="119"/>
    </row>
    <row r="92" s="87" customFormat="1" ht="12" customHeight="1" spans="1:33">
      <c r="A92" s="95" t="s">
        <v>782</v>
      </c>
      <c r="B92" s="100" t="s">
        <v>781</v>
      </c>
      <c r="C92" s="100" t="s">
        <v>524</v>
      </c>
      <c r="D92" s="100" t="s">
        <v>398</v>
      </c>
      <c r="E92" s="83" t="s">
        <v>626</v>
      </c>
      <c r="F92" s="111"/>
      <c r="G92" s="112"/>
      <c r="H92" s="112"/>
      <c r="I92" s="112"/>
      <c r="J92" s="112"/>
      <c r="K92" s="112"/>
      <c r="L92" s="112"/>
      <c r="M92" s="112"/>
      <c r="N92" s="105">
        <f t="shared" si="55"/>
        <v>0</v>
      </c>
      <c r="O92" s="116"/>
      <c r="P92" s="116"/>
      <c r="Q92" s="116"/>
      <c r="R92" s="116"/>
      <c r="S92" s="105">
        <v>19</v>
      </c>
      <c r="T92" s="105">
        <f t="shared" si="56"/>
        <v>19</v>
      </c>
      <c r="U92" s="105">
        <f t="shared" si="57"/>
        <v>285</v>
      </c>
      <c r="V92" s="105">
        <f t="shared" si="58"/>
        <v>165</v>
      </c>
      <c r="W92" s="105">
        <f t="shared" si="50"/>
        <v>450</v>
      </c>
      <c r="X92" s="83" t="s">
        <v>627</v>
      </c>
      <c r="Y92" s="83" t="s">
        <v>628</v>
      </c>
      <c r="Z92" s="99"/>
      <c r="AA92" s="105"/>
      <c r="AB92" s="108"/>
      <c r="AC92" s="105">
        <f t="shared" si="59"/>
        <v>19</v>
      </c>
      <c r="AD92" s="105">
        <f>VLOOKUP(C92,餐补次数!$R$2:$S$150,2,0)</f>
        <v>11</v>
      </c>
      <c r="AE92" s="105">
        <f t="shared" si="60"/>
        <v>165</v>
      </c>
      <c r="AF92" s="105">
        <f t="shared" si="47"/>
        <v>450</v>
      </c>
      <c r="AG92" s="119"/>
    </row>
    <row r="93" s="87" customFormat="1" ht="12" customHeight="1" spans="1:33">
      <c r="A93" s="95" t="s">
        <v>783</v>
      </c>
      <c r="B93" s="100" t="s">
        <v>781</v>
      </c>
      <c r="C93" s="100" t="s">
        <v>521</v>
      </c>
      <c r="D93" s="100" t="s">
        <v>398</v>
      </c>
      <c r="E93" s="83" t="s">
        <v>626</v>
      </c>
      <c r="F93" s="111"/>
      <c r="G93" s="112"/>
      <c r="H93" s="112"/>
      <c r="I93" s="112"/>
      <c r="J93" s="112"/>
      <c r="K93" s="112"/>
      <c r="L93" s="112"/>
      <c r="M93" s="112"/>
      <c r="N93" s="105">
        <f t="shared" si="55"/>
        <v>0</v>
      </c>
      <c r="O93" s="116"/>
      <c r="P93" s="116"/>
      <c r="Q93" s="116"/>
      <c r="R93" s="116"/>
      <c r="S93" s="105">
        <v>19</v>
      </c>
      <c r="T93" s="105">
        <f t="shared" si="56"/>
        <v>19</v>
      </c>
      <c r="U93" s="105">
        <f t="shared" si="57"/>
        <v>270</v>
      </c>
      <c r="V93" s="105">
        <f t="shared" si="58"/>
        <v>135</v>
      </c>
      <c r="W93" s="105">
        <f t="shared" si="50"/>
        <v>405</v>
      </c>
      <c r="X93" s="83" t="s">
        <v>627</v>
      </c>
      <c r="Y93" s="83" t="s">
        <v>628</v>
      </c>
      <c r="Z93" s="99"/>
      <c r="AA93" s="105"/>
      <c r="AB93" s="108">
        <f>VLOOKUP(C93,餐补次数!$H$2:$I$100,2,0)</f>
        <v>1</v>
      </c>
      <c r="AC93" s="105">
        <f t="shared" si="59"/>
        <v>18</v>
      </c>
      <c r="AD93" s="105">
        <f>VLOOKUP(C93,餐补次数!$R$2:$S$150,2,0)</f>
        <v>9</v>
      </c>
      <c r="AE93" s="105">
        <f t="shared" si="60"/>
        <v>135</v>
      </c>
      <c r="AF93" s="105">
        <f t="shared" si="47"/>
        <v>405</v>
      </c>
      <c r="AG93" s="119"/>
    </row>
    <row r="94" s="87" customFormat="1" ht="12" customHeight="1" spans="1:33">
      <c r="A94" s="95" t="s">
        <v>784</v>
      </c>
      <c r="B94" s="100" t="s">
        <v>781</v>
      </c>
      <c r="C94" s="100" t="s">
        <v>523</v>
      </c>
      <c r="D94" s="100" t="s">
        <v>149</v>
      </c>
      <c r="E94" s="83" t="s">
        <v>626</v>
      </c>
      <c r="F94" s="111"/>
      <c r="G94" s="112"/>
      <c r="H94" s="112"/>
      <c r="I94" s="112"/>
      <c r="J94" s="112"/>
      <c r="K94" s="112"/>
      <c r="L94" s="112"/>
      <c r="M94" s="112"/>
      <c r="N94" s="105">
        <f t="shared" si="55"/>
        <v>0</v>
      </c>
      <c r="O94" s="116"/>
      <c r="P94" s="116"/>
      <c r="Q94" s="116"/>
      <c r="R94" s="116"/>
      <c r="S94" s="105">
        <v>19</v>
      </c>
      <c r="T94" s="105">
        <f t="shared" si="56"/>
        <v>19</v>
      </c>
      <c r="U94" s="105">
        <f t="shared" si="57"/>
        <v>285</v>
      </c>
      <c r="V94" s="105">
        <f t="shared" si="58"/>
        <v>105</v>
      </c>
      <c r="W94" s="105">
        <f t="shared" si="50"/>
        <v>390</v>
      </c>
      <c r="X94" s="83" t="s">
        <v>627</v>
      </c>
      <c r="Y94" s="83" t="s">
        <v>628</v>
      </c>
      <c r="Z94" s="99"/>
      <c r="AA94" s="105"/>
      <c r="AB94" s="108"/>
      <c r="AC94" s="105">
        <f t="shared" si="59"/>
        <v>19</v>
      </c>
      <c r="AD94" s="105">
        <f>VLOOKUP(C94,餐补次数!$R$2:$S$150,2,0)</f>
        <v>7</v>
      </c>
      <c r="AE94" s="105">
        <f t="shared" si="60"/>
        <v>105</v>
      </c>
      <c r="AF94" s="105">
        <f t="shared" si="47"/>
        <v>390</v>
      </c>
      <c r="AG94" s="119"/>
    </row>
    <row r="95" s="87" customFormat="1" ht="12" customHeight="1" spans="1:33">
      <c r="A95" s="95" t="s">
        <v>785</v>
      </c>
      <c r="B95" s="100" t="s">
        <v>781</v>
      </c>
      <c r="C95" s="100" t="s">
        <v>527</v>
      </c>
      <c r="D95" s="100" t="s">
        <v>398</v>
      </c>
      <c r="E95" s="83" t="s">
        <v>626</v>
      </c>
      <c r="F95" s="111"/>
      <c r="G95" s="112"/>
      <c r="H95" s="112"/>
      <c r="I95" s="112"/>
      <c r="J95" s="112"/>
      <c r="K95" s="112"/>
      <c r="L95" s="112"/>
      <c r="M95" s="112"/>
      <c r="N95" s="105">
        <f t="shared" si="55"/>
        <v>0</v>
      </c>
      <c r="O95" s="116"/>
      <c r="P95" s="116"/>
      <c r="Q95" s="116"/>
      <c r="R95" s="116"/>
      <c r="S95" s="105">
        <v>19</v>
      </c>
      <c r="T95" s="105">
        <f t="shared" si="56"/>
        <v>19</v>
      </c>
      <c r="U95" s="105">
        <f t="shared" si="57"/>
        <v>285</v>
      </c>
      <c r="V95" s="105">
        <f t="shared" si="58"/>
        <v>105</v>
      </c>
      <c r="W95" s="105">
        <f t="shared" si="50"/>
        <v>390</v>
      </c>
      <c r="X95" s="83" t="s">
        <v>627</v>
      </c>
      <c r="Y95" s="83" t="s">
        <v>628</v>
      </c>
      <c r="Z95" s="99"/>
      <c r="AA95" s="105"/>
      <c r="AB95" s="108"/>
      <c r="AC95" s="105">
        <f t="shared" si="59"/>
        <v>19</v>
      </c>
      <c r="AD95" s="105">
        <f>VLOOKUP(C95,餐补次数!$R$2:$S$150,2,0)</f>
        <v>7</v>
      </c>
      <c r="AE95" s="105">
        <f t="shared" si="60"/>
        <v>105</v>
      </c>
      <c r="AF95" s="105">
        <f t="shared" si="47"/>
        <v>390</v>
      </c>
      <c r="AG95" s="119"/>
    </row>
    <row r="96" s="87" customFormat="1" ht="12" customHeight="1" spans="1:33">
      <c r="A96" s="95" t="s">
        <v>786</v>
      </c>
      <c r="B96" s="100" t="s">
        <v>787</v>
      </c>
      <c r="C96" s="100" t="s">
        <v>529</v>
      </c>
      <c r="D96" s="100" t="s">
        <v>519</v>
      </c>
      <c r="E96" s="83" t="s">
        <v>626</v>
      </c>
      <c r="F96" s="111"/>
      <c r="G96" s="112"/>
      <c r="H96" s="112"/>
      <c r="I96" s="112"/>
      <c r="J96" s="112"/>
      <c r="K96" s="112"/>
      <c r="L96" s="112"/>
      <c r="M96" s="112"/>
      <c r="N96" s="105">
        <f t="shared" si="55"/>
        <v>0</v>
      </c>
      <c r="O96" s="116"/>
      <c r="P96" s="116"/>
      <c r="Q96" s="116"/>
      <c r="R96" s="116"/>
      <c r="S96" s="105">
        <v>19</v>
      </c>
      <c r="T96" s="105">
        <f t="shared" si="56"/>
        <v>19</v>
      </c>
      <c r="U96" s="105">
        <f t="shared" si="57"/>
        <v>285</v>
      </c>
      <c r="V96" s="105">
        <f t="shared" si="58"/>
        <v>120</v>
      </c>
      <c r="W96" s="105">
        <f t="shared" si="50"/>
        <v>405</v>
      </c>
      <c r="X96" s="83" t="s">
        <v>627</v>
      </c>
      <c r="Y96" s="83" t="s">
        <v>628</v>
      </c>
      <c r="Z96" s="99"/>
      <c r="AA96" s="105"/>
      <c r="AB96" s="108"/>
      <c r="AC96" s="105">
        <f t="shared" si="59"/>
        <v>19</v>
      </c>
      <c r="AD96" s="105">
        <f>VLOOKUP(C96,餐补次数!$R$2:$S$150,2,0)</f>
        <v>8</v>
      </c>
      <c r="AE96" s="105">
        <f t="shared" si="60"/>
        <v>120</v>
      </c>
      <c r="AF96" s="105">
        <f t="shared" si="47"/>
        <v>405</v>
      </c>
      <c r="AG96" s="119"/>
    </row>
    <row r="97" s="87" customFormat="1" ht="12" customHeight="1" spans="1:33">
      <c r="A97" s="95" t="s">
        <v>788</v>
      </c>
      <c r="B97" s="100" t="s">
        <v>787</v>
      </c>
      <c r="C97" s="100" t="s">
        <v>530</v>
      </c>
      <c r="D97" s="100" t="s">
        <v>398</v>
      </c>
      <c r="E97" s="83" t="s">
        <v>626</v>
      </c>
      <c r="F97" s="111"/>
      <c r="G97" s="112"/>
      <c r="H97" s="112"/>
      <c r="I97" s="112"/>
      <c r="J97" s="112"/>
      <c r="K97" s="112"/>
      <c r="L97" s="112"/>
      <c r="M97" s="112"/>
      <c r="N97" s="105">
        <f t="shared" si="55"/>
        <v>0</v>
      </c>
      <c r="O97" s="116"/>
      <c r="P97" s="116"/>
      <c r="Q97" s="116"/>
      <c r="R97" s="116"/>
      <c r="S97" s="105">
        <v>19</v>
      </c>
      <c r="T97" s="105">
        <f t="shared" si="56"/>
        <v>19</v>
      </c>
      <c r="U97" s="105">
        <f t="shared" si="57"/>
        <v>285</v>
      </c>
      <c r="V97" s="105">
        <f t="shared" si="58"/>
        <v>120</v>
      </c>
      <c r="W97" s="105">
        <f t="shared" si="50"/>
        <v>405</v>
      </c>
      <c r="X97" s="83" t="s">
        <v>627</v>
      </c>
      <c r="Y97" s="83" t="s">
        <v>628</v>
      </c>
      <c r="Z97" s="99"/>
      <c r="AA97" s="105"/>
      <c r="AB97" s="108"/>
      <c r="AC97" s="105">
        <f t="shared" si="59"/>
        <v>19</v>
      </c>
      <c r="AD97" s="105">
        <f>VLOOKUP(C97,餐补次数!$R$2:$S$150,2,0)</f>
        <v>8</v>
      </c>
      <c r="AE97" s="105">
        <f t="shared" si="60"/>
        <v>120</v>
      </c>
      <c r="AF97" s="105">
        <f t="shared" si="47"/>
        <v>405</v>
      </c>
      <c r="AG97" s="119"/>
    </row>
    <row r="98" s="87" customFormat="1" ht="12" customHeight="1" spans="1:33">
      <c r="A98" s="95" t="s">
        <v>789</v>
      </c>
      <c r="B98" s="100" t="s">
        <v>787</v>
      </c>
      <c r="C98" s="100" t="s">
        <v>531</v>
      </c>
      <c r="D98" s="100" t="s">
        <v>398</v>
      </c>
      <c r="E98" s="83" t="s">
        <v>626</v>
      </c>
      <c r="F98" s="111"/>
      <c r="G98" s="112"/>
      <c r="H98" s="112"/>
      <c r="I98" s="112"/>
      <c r="J98" s="112"/>
      <c r="K98" s="112"/>
      <c r="L98" s="112"/>
      <c r="M98" s="112"/>
      <c r="N98" s="105">
        <f t="shared" si="55"/>
        <v>0</v>
      </c>
      <c r="O98" s="116"/>
      <c r="P98" s="116"/>
      <c r="Q98" s="116"/>
      <c r="R98" s="116"/>
      <c r="S98" s="105">
        <v>19</v>
      </c>
      <c r="T98" s="105">
        <f t="shared" si="56"/>
        <v>19</v>
      </c>
      <c r="U98" s="105">
        <f t="shared" si="57"/>
        <v>285</v>
      </c>
      <c r="V98" s="105">
        <f t="shared" si="58"/>
        <v>105</v>
      </c>
      <c r="W98" s="105">
        <f t="shared" si="50"/>
        <v>390</v>
      </c>
      <c r="X98" s="83" t="s">
        <v>627</v>
      </c>
      <c r="Y98" s="83" t="s">
        <v>628</v>
      </c>
      <c r="Z98" s="99"/>
      <c r="AA98" s="105"/>
      <c r="AB98" s="108"/>
      <c r="AC98" s="105">
        <f t="shared" si="59"/>
        <v>19</v>
      </c>
      <c r="AD98" s="105">
        <f>VLOOKUP(C98,餐补次数!$R$2:$S$150,2,0)</f>
        <v>7</v>
      </c>
      <c r="AE98" s="105">
        <f t="shared" si="60"/>
        <v>105</v>
      </c>
      <c r="AF98" s="105">
        <f t="shared" si="47"/>
        <v>390</v>
      </c>
      <c r="AG98" s="119"/>
    </row>
    <row r="99" s="87" customFormat="1" ht="12" customHeight="1" spans="1:33">
      <c r="A99" s="95" t="s">
        <v>790</v>
      </c>
      <c r="B99" s="100" t="s">
        <v>791</v>
      </c>
      <c r="C99" s="100" t="s">
        <v>515</v>
      </c>
      <c r="D99" s="100" t="s">
        <v>424</v>
      </c>
      <c r="E99" s="83" t="s">
        <v>626</v>
      </c>
      <c r="F99" s="111"/>
      <c r="G99" s="112"/>
      <c r="H99" s="112"/>
      <c r="I99" s="112"/>
      <c r="J99" s="112"/>
      <c r="K99" s="112"/>
      <c r="L99" s="112"/>
      <c r="M99" s="112"/>
      <c r="N99" s="105">
        <f t="shared" si="55"/>
        <v>0</v>
      </c>
      <c r="O99" s="116"/>
      <c r="P99" s="116"/>
      <c r="Q99" s="116"/>
      <c r="R99" s="116"/>
      <c r="S99" s="105">
        <v>19</v>
      </c>
      <c r="T99" s="105">
        <f t="shared" si="56"/>
        <v>19</v>
      </c>
      <c r="U99" s="105">
        <f t="shared" si="57"/>
        <v>285</v>
      </c>
      <c r="V99" s="105">
        <f t="shared" si="58"/>
        <v>75</v>
      </c>
      <c r="W99" s="105">
        <f t="shared" si="50"/>
        <v>360</v>
      </c>
      <c r="X99" s="83" t="s">
        <v>627</v>
      </c>
      <c r="Y99" s="83" t="s">
        <v>628</v>
      </c>
      <c r="Z99" s="99"/>
      <c r="AA99" s="105"/>
      <c r="AB99" s="108"/>
      <c r="AC99" s="105">
        <f t="shared" si="59"/>
        <v>19</v>
      </c>
      <c r="AD99" s="105">
        <f>VLOOKUP(C99,餐补次数!$R$2:$S$150,2,0)</f>
        <v>5</v>
      </c>
      <c r="AE99" s="105">
        <f t="shared" si="60"/>
        <v>75</v>
      </c>
      <c r="AF99" s="105">
        <f t="shared" ref="AF99:AF127" si="61">U99+AE99-Z99*15</f>
        <v>360</v>
      </c>
      <c r="AG99" s="119"/>
    </row>
    <row r="100" s="88" customFormat="1" ht="12" customHeight="1" spans="1:33">
      <c r="A100" s="101" t="s">
        <v>792</v>
      </c>
      <c r="B100" s="102" t="s">
        <v>793</v>
      </c>
      <c r="C100" s="102" t="s">
        <v>547</v>
      </c>
      <c r="D100" s="102" t="s">
        <v>424</v>
      </c>
      <c r="E100" s="103" t="s">
        <v>626</v>
      </c>
      <c r="F100" s="113"/>
      <c r="G100" s="114"/>
      <c r="H100" s="114"/>
      <c r="I100" s="114"/>
      <c r="J100" s="114"/>
      <c r="K100" s="114"/>
      <c r="L100" s="114"/>
      <c r="M100" s="114"/>
      <c r="N100" s="106">
        <f t="shared" si="55"/>
        <v>0</v>
      </c>
      <c r="O100" s="117"/>
      <c r="P100" s="117"/>
      <c r="Q100" s="117"/>
      <c r="R100" s="117"/>
      <c r="S100" s="106">
        <v>19</v>
      </c>
      <c r="T100" s="106">
        <f t="shared" si="56"/>
        <v>19</v>
      </c>
      <c r="U100" s="106">
        <v>0</v>
      </c>
      <c r="V100" s="106">
        <f>AE100</f>
        <v>300</v>
      </c>
      <c r="W100" s="106">
        <f t="shared" si="50"/>
        <v>300</v>
      </c>
      <c r="X100" s="103" t="s">
        <v>627</v>
      </c>
      <c r="Y100" s="103" t="s">
        <v>628</v>
      </c>
      <c r="Z100" s="109"/>
      <c r="AA100" s="106">
        <f>VLOOKUP(C100,餐补次数!$C$2:$D$17,2,0)</f>
        <v>1</v>
      </c>
      <c r="AB100" s="110">
        <f>VLOOKUP(C100,餐补次数!$H$2:$I$100,2,0)</f>
        <v>4</v>
      </c>
      <c r="AC100" s="106">
        <f t="shared" si="59"/>
        <v>14</v>
      </c>
      <c r="AD100" s="106">
        <f>VLOOKUP(C100,餐补次数!$R$2:$S$150,2,0)</f>
        <v>6</v>
      </c>
      <c r="AE100" s="106">
        <f>AD100*15+AC100*15</f>
        <v>300</v>
      </c>
      <c r="AF100" s="106">
        <v>300</v>
      </c>
      <c r="AG100" s="120"/>
    </row>
    <row r="101" s="88" customFormat="1" ht="12" customHeight="1" spans="1:33">
      <c r="A101" s="101" t="s">
        <v>794</v>
      </c>
      <c r="B101" s="102" t="s">
        <v>793</v>
      </c>
      <c r="C101" s="102" t="s">
        <v>557</v>
      </c>
      <c r="D101" s="102" t="s">
        <v>149</v>
      </c>
      <c r="E101" s="103" t="s">
        <v>626</v>
      </c>
      <c r="F101" s="113"/>
      <c r="G101" s="114"/>
      <c r="H101" s="114"/>
      <c r="I101" s="114"/>
      <c r="J101" s="114"/>
      <c r="K101" s="114"/>
      <c r="L101" s="114"/>
      <c r="M101" s="114"/>
      <c r="N101" s="106">
        <f t="shared" si="55"/>
        <v>0</v>
      </c>
      <c r="O101" s="117"/>
      <c r="P101" s="117"/>
      <c r="Q101" s="117"/>
      <c r="R101" s="117"/>
      <c r="S101" s="106">
        <v>19</v>
      </c>
      <c r="T101" s="106">
        <f t="shared" si="56"/>
        <v>19</v>
      </c>
      <c r="U101" s="106">
        <v>0</v>
      </c>
      <c r="V101" s="106">
        <f>AE101</f>
        <v>315</v>
      </c>
      <c r="W101" s="106">
        <f t="shared" si="50"/>
        <v>315</v>
      </c>
      <c r="X101" s="103" t="s">
        <v>627</v>
      </c>
      <c r="Y101" s="103" t="s">
        <v>628</v>
      </c>
      <c r="Z101" s="109"/>
      <c r="AA101" s="106"/>
      <c r="AB101" s="110">
        <f>VLOOKUP(C101,餐补次数!$H$2:$I$100,2,0)</f>
        <v>2</v>
      </c>
      <c r="AC101" s="106">
        <f t="shared" si="59"/>
        <v>17</v>
      </c>
      <c r="AD101" s="106">
        <f>VLOOKUP(C101,餐补次数!$R$2:$S$150,2,0)</f>
        <v>4</v>
      </c>
      <c r="AE101" s="106">
        <f>AD101*15+AC101*15</f>
        <v>315</v>
      </c>
      <c r="AF101" s="106">
        <v>315</v>
      </c>
      <c r="AG101" s="120"/>
    </row>
    <row r="102" s="87" customFormat="1" ht="12" customHeight="1" spans="1:33">
      <c r="A102" s="95" t="s">
        <v>795</v>
      </c>
      <c r="B102" s="100" t="s">
        <v>793</v>
      </c>
      <c r="C102" s="100" t="s">
        <v>546</v>
      </c>
      <c r="D102" s="100" t="s">
        <v>424</v>
      </c>
      <c r="E102" s="83" t="s">
        <v>626</v>
      </c>
      <c r="F102" s="111"/>
      <c r="G102" s="112"/>
      <c r="H102" s="112"/>
      <c r="I102" s="112"/>
      <c r="J102" s="112"/>
      <c r="K102" s="112"/>
      <c r="L102" s="112"/>
      <c r="M102" s="112"/>
      <c r="N102" s="105">
        <f t="shared" si="55"/>
        <v>0</v>
      </c>
      <c r="O102" s="116"/>
      <c r="P102" s="116"/>
      <c r="Q102" s="116"/>
      <c r="R102" s="116"/>
      <c r="S102" s="105">
        <v>19</v>
      </c>
      <c r="T102" s="105">
        <f t="shared" si="56"/>
        <v>19</v>
      </c>
      <c r="U102" s="105">
        <f t="shared" si="57"/>
        <v>285</v>
      </c>
      <c r="V102" s="105">
        <f t="shared" si="58"/>
        <v>105</v>
      </c>
      <c r="W102" s="105">
        <f t="shared" si="50"/>
        <v>390</v>
      </c>
      <c r="X102" s="83" t="s">
        <v>627</v>
      </c>
      <c r="Y102" s="83" t="s">
        <v>628</v>
      </c>
      <c r="Z102" s="99"/>
      <c r="AA102" s="105"/>
      <c r="AB102" s="108"/>
      <c r="AC102" s="105">
        <f t="shared" si="59"/>
        <v>19</v>
      </c>
      <c r="AD102" s="105">
        <f>VLOOKUP(C102,餐补次数!$R$2:$S$150,2,0)</f>
        <v>7</v>
      </c>
      <c r="AE102" s="105">
        <f t="shared" si="60"/>
        <v>105</v>
      </c>
      <c r="AF102" s="105">
        <f t="shared" si="61"/>
        <v>390</v>
      </c>
      <c r="AG102" s="119"/>
    </row>
    <row r="103" s="87" customFormat="1" ht="12" customHeight="1" spans="1:33">
      <c r="A103" s="95" t="s">
        <v>796</v>
      </c>
      <c r="B103" s="100" t="s">
        <v>793</v>
      </c>
      <c r="C103" s="100" t="s">
        <v>549</v>
      </c>
      <c r="D103" s="100" t="s">
        <v>424</v>
      </c>
      <c r="E103" s="83" t="s">
        <v>626</v>
      </c>
      <c r="F103" s="111"/>
      <c r="G103" s="112"/>
      <c r="H103" s="112"/>
      <c r="I103" s="112"/>
      <c r="J103" s="112"/>
      <c r="K103" s="112"/>
      <c r="L103" s="112"/>
      <c r="M103" s="112"/>
      <c r="N103" s="105">
        <f t="shared" si="55"/>
        <v>0</v>
      </c>
      <c r="O103" s="116"/>
      <c r="P103" s="116"/>
      <c r="Q103" s="116"/>
      <c r="R103" s="116"/>
      <c r="S103" s="105">
        <v>19</v>
      </c>
      <c r="T103" s="105">
        <f t="shared" si="56"/>
        <v>19</v>
      </c>
      <c r="U103" s="105">
        <f t="shared" si="57"/>
        <v>285</v>
      </c>
      <c r="V103" s="105">
        <f t="shared" si="58"/>
        <v>210</v>
      </c>
      <c r="W103" s="105">
        <f t="shared" ref="W103:W127" si="62">U103+V103</f>
        <v>495</v>
      </c>
      <c r="X103" s="83" t="s">
        <v>627</v>
      </c>
      <c r="Y103" s="83" t="s">
        <v>628</v>
      </c>
      <c r="Z103" s="99"/>
      <c r="AA103" s="105"/>
      <c r="AB103" s="108"/>
      <c r="AC103" s="105">
        <f t="shared" si="59"/>
        <v>19</v>
      </c>
      <c r="AD103" s="105">
        <f>VLOOKUP(C103,餐补次数!$R$2:$S$150,2,0)</f>
        <v>14</v>
      </c>
      <c r="AE103" s="105">
        <f t="shared" si="60"/>
        <v>210</v>
      </c>
      <c r="AF103" s="105">
        <f t="shared" si="61"/>
        <v>495</v>
      </c>
      <c r="AG103" s="119"/>
    </row>
    <row r="104" s="87" customFormat="1" ht="12" customHeight="1" spans="1:33">
      <c r="A104" s="95" t="s">
        <v>797</v>
      </c>
      <c r="B104" s="100" t="s">
        <v>798</v>
      </c>
      <c r="C104" s="100" t="s">
        <v>505</v>
      </c>
      <c r="D104" s="100" t="s">
        <v>424</v>
      </c>
      <c r="E104" s="83" t="s">
        <v>626</v>
      </c>
      <c r="F104" s="111"/>
      <c r="G104" s="112"/>
      <c r="H104" s="112"/>
      <c r="I104" s="112"/>
      <c r="J104" s="112"/>
      <c r="K104" s="112"/>
      <c r="L104" s="112"/>
      <c r="M104" s="112"/>
      <c r="N104" s="105">
        <f t="shared" si="55"/>
        <v>0</v>
      </c>
      <c r="O104" s="116"/>
      <c r="P104" s="116"/>
      <c r="Q104" s="116"/>
      <c r="R104" s="116"/>
      <c r="S104" s="105">
        <v>19</v>
      </c>
      <c r="T104" s="105">
        <f t="shared" si="56"/>
        <v>19</v>
      </c>
      <c r="U104" s="105">
        <f t="shared" si="57"/>
        <v>285</v>
      </c>
      <c r="V104" s="105">
        <f t="shared" si="58"/>
        <v>165</v>
      </c>
      <c r="W104" s="105">
        <f t="shared" si="62"/>
        <v>450</v>
      </c>
      <c r="X104" s="83" t="s">
        <v>627</v>
      </c>
      <c r="Y104" s="83" t="s">
        <v>628</v>
      </c>
      <c r="Z104" s="99"/>
      <c r="AA104" s="105"/>
      <c r="AB104" s="108"/>
      <c r="AC104" s="105">
        <f t="shared" si="59"/>
        <v>19</v>
      </c>
      <c r="AD104" s="105">
        <f>VLOOKUP(C104,餐补次数!$R$2:$S$150,2,0)</f>
        <v>11</v>
      </c>
      <c r="AE104" s="105">
        <f t="shared" si="60"/>
        <v>165</v>
      </c>
      <c r="AF104" s="105">
        <f t="shared" si="61"/>
        <v>450</v>
      </c>
      <c r="AG104" s="119"/>
    </row>
    <row r="105" s="87" customFormat="1" ht="12" customHeight="1" spans="1:33">
      <c r="A105" s="95" t="s">
        <v>799</v>
      </c>
      <c r="B105" s="100" t="s">
        <v>798</v>
      </c>
      <c r="C105" s="100" t="s">
        <v>504</v>
      </c>
      <c r="D105" s="100" t="s">
        <v>424</v>
      </c>
      <c r="E105" s="83" t="s">
        <v>626</v>
      </c>
      <c r="F105" s="111"/>
      <c r="G105" s="112"/>
      <c r="H105" s="112"/>
      <c r="I105" s="112"/>
      <c r="J105" s="112"/>
      <c r="K105" s="112"/>
      <c r="L105" s="112"/>
      <c r="M105" s="112"/>
      <c r="N105" s="105">
        <f t="shared" si="55"/>
        <v>0</v>
      </c>
      <c r="O105" s="116"/>
      <c r="P105" s="116"/>
      <c r="Q105" s="116"/>
      <c r="R105" s="116"/>
      <c r="S105" s="105">
        <v>19</v>
      </c>
      <c r="T105" s="105">
        <f t="shared" si="56"/>
        <v>19</v>
      </c>
      <c r="U105" s="105">
        <f t="shared" si="57"/>
        <v>285</v>
      </c>
      <c r="V105" s="105">
        <f t="shared" si="58"/>
        <v>120</v>
      </c>
      <c r="W105" s="105">
        <f t="shared" si="62"/>
        <v>405</v>
      </c>
      <c r="X105" s="83" t="s">
        <v>627</v>
      </c>
      <c r="Y105" s="83" t="s">
        <v>628</v>
      </c>
      <c r="Z105" s="99"/>
      <c r="AA105" s="105"/>
      <c r="AB105" s="108"/>
      <c r="AC105" s="105">
        <f t="shared" si="59"/>
        <v>19</v>
      </c>
      <c r="AD105" s="105">
        <f>VLOOKUP(C105,餐补次数!$R$2:$S$150,2,0)</f>
        <v>8</v>
      </c>
      <c r="AE105" s="105">
        <f t="shared" si="60"/>
        <v>120</v>
      </c>
      <c r="AF105" s="105">
        <f t="shared" si="61"/>
        <v>405</v>
      </c>
      <c r="AG105" s="119"/>
    </row>
    <row r="106" s="87" customFormat="1" ht="12" customHeight="1" spans="1:33">
      <c r="A106" s="95" t="s">
        <v>800</v>
      </c>
      <c r="B106" s="100" t="s">
        <v>801</v>
      </c>
      <c r="C106" s="100" t="s">
        <v>543</v>
      </c>
      <c r="D106" s="100" t="s">
        <v>318</v>
      </c>
      <c r="E106" s="83" t="s">
        <v>626</v>
      </c>
      <c r="F106" s="111"/>
      <c r="G106" s="112"/>
      <c r="H106" s="112"/>
      <c r="I106" s="112"/>
      <c r="J106" s="112"/>
      <c r="K106" s="112"/>
      <c r="L106" s="112"/>
      <c r="M106" s="112"/>
      <c r="N106" s="105">
        <f t="shared" si="55"/>
        <v>0</v>
      </c>
      <c r="O106" s="116"/>
      <c r="P106" s="116"/>
      <c r="Q106" s="116"/>
      <c r="R106" s="116"/>
      <c r="S106" s="105">
        <v>19</v>
      </c>
      <c r="T106" s="105">
        <f t="shared" si="56"/>
        <v>19</v>
      </c>
      <c r="U106" s="105">
        <f t="shared" si="57"/>
        <v>210</v>
      </c>
      <c r="V106" s="105">
        <f t="shared" si="58"/>
        <v>90</v>
      </c>
      <c r="W106" s="105">
        <f t="shared" si="62"/>
        <v>300</v>
      </c>
      <c r="X106" s="83" t="s">
        <v>627</v>
      </c>
      <c r="Y106" s="83" t="s">
        <v>628</v>
      </c>
      <c r="Z106" s="99"/>
      <c r="AA106" s="105">
        <f>VLOOKUP(C106,餐补次数!$C$2:$D$17,2,0)</f>
        <v>5</v>
      </c>
      <c r="AB106" s="108"/>
      <c r="AC106" s="105">
        <f t="shared" si="59"/>
        <v>14</v>
      </c>
      <c r="AD106" s="105">
        <f>VLOOKUP(C106,餐补次数!$R$2:$S$150,2,0)</f>
        <v>6</v>
      </c>
      <c r="AE106" s="105">
        <f t="shared" si="60"/>
        <v>90</v>
      </c>
      <c r="AF106" s="105">
        <f t="shared" si="61"/>
        <v>300</v>
      </c>
      <c r="AG106" s="119"/>
    </row>
    <row r="107" s="87" customFormat="1" ht="12" customHeight="1" spans="1:33">
      <c r="A107" s="95" t="s">
        <v>802</v>
      </c>
      <c r="B107" s="100" t="s">
        <v>801</v>
      </c>
      <c r="C107" s="100" t="s">
        <v>541</v>
      </c>
      <c r="D107" s="100" t="s">
        <v>424</v>
      </c>
      <c r="E107" s="83" t="s">
        <v>626</v>
      </c>
      <c r="F107" s="111"/>
      <c r="G107" s="112"/>
      <c r="H107" s="112"/>
      <c r="I107" s="112"/>
      <c r="J107" s="112"/>
      <c r="K107" s="112"/>
      <c r="L107" s="112"/>
      <c r="M107" s="112"/>
      <c r="N107" s="105">
        <f t="shared" si="55"/>
        <v>0</v>
      </c>
      <c r="O107" s="116"/>
      <c r="P107" s="116"/>
      <c r="Q107" s="116"/>
      <c r="R107" s="116"/>
      <c r="S107" s="105">
        <v>19</v>
      </c>
      <c r="T107" s="105">
        <f t="shared" si="56"/>
        <v>19</v>
      </c>
      <c r="U107" s="105">
        <f t="shared" si="57"/>
        <v>270</v>
      </c>
      <c r="V107" s="105">
        <f t="shared" si="58"/>
        <v>120</v>
      </c>
      <c r="W107" s="105">
        <f t="shared" si="62"/>
        <v>390</v>
      </c>
      <c r="X107" s="83" t="s">
        <v>627</v>
      </c>
      <c r="Y107" s="83" t="s">
        <v>628</v>
      </c>
      <c r="Z107" s="99"/>
      <c r="AA107" s="105"/>
      <c r="AB107" s="108">
        <f>VLOOKUP(C107,餐补次数!$H$2:$I$100,2,0)</f>
        <v>1</v>
      </c>
      <c r="AC107" s="105">
        <f t="shared" si="59"/>
        <v>18</v>
      </c>
      <c r="AD107" s="105">
        <f>VLOOKUP(C107,餐补次数!$R$2:$S$150,2,0)</f>
        <v>8</v>
      </c>
      <c r="AE107" s="105">
        <f t="shared" si="60"/>
        <v>120</v>
      </c>
      <c r="AF107" s="105">
        <f t="shared" si="61"/>
        <v>390</v>
      </c>
      <c r="AG107" s="119"/>
    </row>
    <row r="108" s="87" customFormat="1" ht="12" customHeight="1" spans="1:33">
      <c r="A108" s="95" t="s">
        <v>803</v>
      </c>
      <c r="B108" s="100" t="s">
        <v>801</v>
      </c>
      <c r="C108" s="100" t="s">
        <v>542</v>
      </c>
      <c r="D108" s="100" t="s">
        <v>424</v>
      </c>
      <c r="E108" s="83" t="s">
        <v>626</v>
      </c>
      <c r="F108" s="111"/>
      <c r="G108" s="112"/>
      <c r="H108" s="112"/>
      <c r="I108" s="112"/>
      <c r="J108" s="112"/>
      <c r="K108" s="112"/>
      <c r="L108" s="112"/>
      <c r="M108" s="112"/>
      <c r="N108" s="105">
        <f t="shared" si="55"/>
        <v>0</v>
      </c>
      <c r="O108" s="116"/>
      <c r="P108" s="116"/>
      <c r="Q108" s="116"/>
      <c r="R108" s="116"/>
      <c r="S108" s="105">
        <v>19</v>
      </c>
      <c r="T108" s="105">
        <f t="shared" si="56"/>
        <v>19</v>
      </c>
      <c r="U108" s="105">
        <f t="shared" si="57"/>
        <v>277.5</v>
      </c>
      <c r="V108" s="105">
        <f t="shared" si="58"/>
        <v>105</v>
      </c>
      <c r="W108" s="105">
        <f t="shared" si="62"/>
        <v>382.5</v>
      </c>
      <c r="X108" s="83" t="s">
        <v>627</v>
      </c>
      <c r="Y108" s="83" t="s">
        <v>628</v>
      </c>
      <c r="Z108" s="99"/>
      <c r="AA108" s="105"/>
      <c r="AB108" s="108">
        <f>VLOOKUP(C108,餐补次数!$H$2:$I$100,2,0)</f>
        <v>0.5</v>
      </c>
      <c r="AC108" s="105">
        <f t="shared" si="59"/>
        <v>18.5</v>
      </c>
      <c r="AD108" s="105">
        <f>VLOOKUP(C108,餐补次数!$R$2:$S$150,2,0)</f>
        <v>7</v>
      </c>
      <c r="AE108" s="105">
        <f t="shared" si="60"/>
        <v>105</v>
      </c>
      <c r="AF108" s="105">
        <f t="shared" si="61"/>
        <v>382.5</v>
      </c>
      <c r="AG108" s="119"/>
    </row>
    <row r="109" s="87" customFormat="1" ht="12" customHeight="1" spans="1:33">
      <c r="A109" s="95" t="s">
        <v>804</v>
      </c>
      <c r="B109" s="100" t="s">
        <v>801</v>
      </c>
      <c r="C109" s="100" t="s">
        <v>532</v>
      </c>
      <c r="D109" s="100" t="s">
        <v>424</v>
      </c>
      <c r="E109" s="83" t="s">
        <v>626</v>
      </c>
      <c r="F109" s="111"/>
      <c r="G109" s="112"/>
      <c r="H109" s="112"/>
      <c r="I109" s="112"/>
      <c r="J109" s="112"/>
      <c r="K109" s="112"/>
      <c r="L109" s="112"/>
      <c r="M109" s="112"/>
      <c r="N109" s="105">
        <f t="shared" si="55"/>
        <v>0</v>
      </c>
      <c r="O109" s="116"/>
      <c r="P109" s="116"/>
      <c r="Q109" s="116"/>
      <c r="R109" s="116"/>
      <c r="S109" s="105">
        <v>19</v>
      </c>
      <c r="T109" s="105">
        <f t="shared" si="56"/>
        <v>19</v>
      </c>
      <c r="U109" s="105">
        <f t="shared" si="57"/>
        <v>270</v>
      </c>
      <c r="V109" s="105">
        <f t="shared" si="58"/>
        <v>142.5</v>
      </c>
      <c r="W109" s="105">
        <f t="shared" si="62"/>
        <v>412.5</v>
      </c>
      <c r="X109" s="83" t="s">
        <v>627</v>
      </c>
      <c r="Y109" s="83" t="s">
        <v>628</v>
      </c>
      <c r="Z109" s="99"/>
      <c r="AA109" s="105"/>
      <c r="AB109" s="108">
        <f>VLOOKUP(C109,餐补次数!$H$2:$I$100,2,0)</f>
        <v>1</v>
      </c>
      <c r="AC109" s="105">
        <f t="shared" si="59"/>
        <v>18</v>
      </c>
      <c r="AD109" s="105">
        <f>VLOOKUP(C109,餐补次数!$R$2:$S$150,2,0)</f>
        <v>9.5</v>
      </c>
      <c r="AE109" s="105">
        <f t="shared" si="60"/>
        <v>142.5</v>
      </c>
      <c r="AF109" s="105">
        <f t="shared" si="61"/>
        <v>412.5</v>
      </c>
      <c r="AG109" s="119"/>
    </row>
    <row r="110" s="87" customFormat="1" ht="12" customHeight="1" spans="1:33">
      <c r="A110" s="95" t="s">
        <v>805</v>
      </c>
      <c r="B110" s="100" t="s">
        <v>806</v>
      </c>
      <c r="C110" s="100" t="s">
        <v>303</v>
      </c>
      <c r="D110" s="100" t="s">
        <v>198</v>
      </c>
      <c r="E110" s="83" t="s">
        <v>626</v>
      </c>
      <c r="F110" s="111"/>
      <c r="G110" s="112"/>
      <c r="H110" s="112"/>
      <c r="I110" s="112"/>
      <c r="J110" s="112"/>
      <c r="K110" s="112"/>
      <c r="L110" s="112"/>
      <c r="M110" s="112">
        <v>1</v>
      </c>
      <c r="N110" s="105">
        <f t="shared" si="55"/>
        <v>1</v>
      </c>
      <c r="O110" s="116"/>
      <c r="P110" s="116"/>
      <c r="Q110" s="116"/>
      <c r="R110" s="116"/>
      <c r="S110" s="105">
        <v>19</v>
      </c>
      <c r="T110" s="105">
        <f t="shared" si="56"/>
        <v>18</v>
      </c>
      <c r="U110" s="105">
        <f t="shared" si="57"/>
        <v>270</v>
      </c>
      <c r="V110" s="105">
        <f t="shared" si="58"/>
        <v>90</v>
      </c>
      <c r="W110" s="105">
        <f t="shared" si="62"/>
        <v>360</v>
      </c>
      <c r="X110" s="83" t="s">
        <v>627</v>
      </c>
      <c r="Y110" s="83" t="s">
        <v>628</v>
      </c>
      <c r="Z110" s="99"/>
      <c r="AA110" s="105"/>
      <c r="AB110" s="108"/>
      <c r="AC110" s="105">
        <f t="shared" si="59"/>
        <v>18</v>
      </c>
      <c r="AD110" s="105">
        <f>VLOOKUP(C110,餐补次数!$R$2:$S$150,2,0)</f>
        <v>6</v>
      </c>
      <c r="AE110" s="105">
        <f t="shared" si="60"/>
        <v>90</v>
      </c>
      <c r="AF110" s="105">
        <f t="shared" si="61"/>
        <v>360</v>
      </c>
      <c r="AG110" s="119"/>
    </row>
    <row r="111" s="87" customFormat="1" ht="12" customHeight="1" spans="1:33">
      <c r="A111" s="95" t="s">
        <v>807</v>
      </c>
      <c r="B111" s="100" t="s">
        <v>806</v>
      </c>
      <c r="C111" s="100" t="s">
        <v>306</v>
      </c>
      <c r="D111" s="100" t="s">
        <v>149</v>
      </c>
      <c r="E111" s="83" t="s">
        <v>626</v>
      </c>
      <c r="F111" s="111"/>
      <c r="G111" s="112"/>
      <c r="H111" s="112"/>
      <c r="I111" s="112"/>
      <c r="J111" s="112"/>
      <c r="K111" s="112"/>
      <c r="L111" s="112"/>
      <c r="M111" s="112"/>
      <c r="N111" s="105">
        <f t="shared" si="55"/>
        <v>0</v>
      </c>
      <c r="O111" s="116"/>
      <c r="P111" s="116"/>
      <c r="Q111" s="116"/>
      <c r="R111" s="116"/>
      <c r="S111" s="105">
        <v>19</v>
      </c>
      <c r="T111" s="105">
        <f t="shared" si="56"/>
        <v>19</v>
      </c>
      <c r="U111" s="105">
        <f t="shared" si="57"/>
        <v>285</v>
      </c>
      <c r="V111" s="105">
        <f t="shared" si="58"/>
        <v>105</v>
      </c>
      <c r="W111" s="105">
        <f t="shared" si="62"/>
        <v>390</v>
      </c>
      <c r="X111" s="83" t="s">
        <v>627</v>
      </c>
      <c r="Y111" s="83" t="s">
        <v>628</v>
      </c>
      <c r="Z111" s="99"/>
      <c r="AA111" s="105"/>
      <c r="AB111" s="108"/>
      <c r="AC111" s="105">
        <f t="shared" si="59"/>
        <v>19</v>
      </c>
      <c r="AD111" s="105">
        <f>VLOOKUP(C111,餐补次数!$R$2:$S$150,2,0)</f>
        <v>7</v>
      </c>
      <c r="AE111" s="105">
        <f t="shared" si="60"/>
        <v>105</v>
      </c>
      <c r="AF111" s="105">
        <f t="shared" si="61"/>
        <v>390</v>
      </c>
      <c r="AG111" s="119"/>
    </row>
    <row r="112" s="87" customFormat="1" ht="12" customHeight="1" spans="1:33">
      <c r="A112" s="95" t="s">
        <v>808</v>
      </c>
      <c r="B112" s="100" t="s">
        <v>806</v>
      </c>
      <c r="C112" s="100" t="s">
        <v>299</v>
      </c>
      <c r="D112" s="100" t="s">
        <v>300</v>
      </c>
      <c r="E112" s="83" t="s">
        <v>626</v>
      </c>
      <c r="F112" s="111"/>
      <c r="G112" s="112"/>
      <c r="H112" s="112"/>
      <c r="I112" s="112"/>
      <c r="J112" s="112"/>
      <c r="K112" s="112"/>
      <c r="L112" s="112"/>
      <c r="M112" s="112"/>
      <c r="N112" s="105">
        <f t="shared" si="55"/>
        <v>0</v>
      </c>
      <c r="O112" s="116"/>
      <c r="P112" s="116"/>
      <c r="Q112" s="116"/>
      <c r="R112" s="116"/>
      <c r="S112" s="105">
        <v>19</v>
      </c>
      <c r="T112" s="105">
        <f t="shared" si="56"/>
        <v>19</v>
      </c>
      <c r="U112" s="105">
        <f t="shared" si="57"/>
        <v>285</v>
      </c>
      <c r="V112" s="105">
        <f t="shared" si="58"/>
        <v>105</v>
      </c>
      <c r="W112" s="105">
        <f t="shared" si="62"/>
        <v>390</v>
      </c>
      <c r="X112" s="83" t="s">
        <v>627</v>
      </c>
      <c r="Y112" s="83" t="s">
        <v>628</v>
      </c>
      <c r="Z112" s="99"/>
      <c r="AA112" s="105"/>
      <c r="AB112" s="108"/>
      <c r="AC112" s="105">
        <f t="shared" si="59"/>
        <v>19</v>
      </c>
      <c r="AD112" s="105">
        <f>VLOOKUP(C112,餐补次数!$R$2:$S$150,2,0)</f>
        <v>7</v>
      </c>
      <c r="AE112" s="105">
        <f t="shared" si="60"/>
        <v>105</v>
      </c>
      <c r="AF112" s="105">
        <f t="shared" si="61"/>
        <v>390</v>
      </c>
      <c r="AG112" s="119"/>
    </row>
    <row r="113" s="87" customFormat="1" ht="12" customHeight="1" spans="1:33">
      <c r="A113" s="95" t="s">
        <v>809</v>
      </c>
      <c r="B113" s="100" t="s">
        <v>806</v>
      </c>
      <c r="C113" s="100" t="s">
        <v>294</v>
      </c>
      <c r="D113" s="100" t="s">
        <v>295</v>
      </c>
      <c r="E113" s="83" t="s">
        <v>626</v>
      </c>
      <c r="F113" s="111"/>
      <c r="G113" s="112"/>
      <c r="H113" s="112"/>
      <c r="I113" s="112"/>
      <c r="J113" s="112"/>
      <c r="K113" s="112"/>
      <c r="L113" s="112"/>
      <c r="M113" s="112"/>
      <c r="N113" s="105">
        <f t="shared" si="55"/>
        <v>0</v>
      </c>
      <c r="O113" s="116"/>
      <c r="P113" s="116"/>
      <c r="Q113" s="116"/>
      <c r="R113" s="116"/>
      <c r="S113" s="105">
        <v>19</v>
      </c>
      <c r="T113" s="105">
        <f t="shared" si="56"/>
        <v>19</v>
      </c>
      <c r="U113" s="105">
        <f t="shared" si="57"/>
        <v>277.5</v>
      </c>
      <c r="V113" s="105">
        <f t="shared" si="58"/>
        <v>105</v>
      </c>
      <c r="W113" s="105">
        <f t="shared" si="62"/>
        <v>382.5</v>
      </c>
      <c r="X113" s="83" t="s">
        <v>627</v>
      </c>
      <c r="Y113" s="83" t="s">
        <v>628</v>
      </c>
      <c r="Z113" s="99"/>
      <c r="AA113" s="105"/>
      <c r="AB113" s="108">
        <f>VLOOKUP(C113,餐补次数!$H$2:$I$100,2,0)</f>
        <v>0.5</v>
      </c>
      <c r="AC113" s="105">
        <f t="shared" si="59"/>
        <v>18.5</v>
      </c>
      <c r="AD113" s="105">
        <f>VLOOKUP(C113,餐补次数!$R$2:$S$150,2,0)</f>
        <v>7</v>
      </c>
      <c r="AE113" s="105">
        <f t="shared" si="60"/>
        <v>105</v>
      </c>
      <c r="AF113" s="105">
        <f t="shared" si="61"/>
        <v>382.5</v>
      </c>
      <c r="AG113" s="119"/>
    </row>
    <row r="114" s="87" customFormat="1" ht="12" customHeight="1" spans="1:33">
      <c r="A114" s="95" t="s">
        <v>810</v>
      </c>
      <c r="B114" s="100" t="s">
        <v>811</v>
      </c>
      <c r="C114" s="100" t="s">
        <v>216</v>
      </c>
      <c r="D114" s="100" t="s">
        <v>217</v>
      </c>
      <c r="E114" s="83" t="s">
        <v>626</v>
      </c>
      <c r="F114" s="111"/>
      <c r="G114" s="112"/>
      <c r="H114" s="112"/>
      <c r="I114" s="112"/>
      <c r="J114" s="112"/>
      <c r="K114" s="112"/>
      <c r="L114" s="112"/>
      <c r="M114" s="112"/>
      <c r="N114" s="105">
        <f t="shared" si="55"/>
        <v>0</v>
      </c>
      <c r="O114" s="116"/>
      <c r="P114" s="116"/>
      <c r="Q114" s="116"/>
      <c r="R114" s="116"/>
      <c r="S114" s="105">
        <v>19</v>
      </c>
      <c r="T114" s="105">
        <f t="shared" si="56"/>
        <v>19</v>
      </c>
      <c r="U114" s="105">
        <f t="shared" si="57"/>
        <v>210</v>
      </c>
      <c r="V114" s="105">
        <f t="shared" si="58"/>
        <v>75</v>
      </c>
      <c r="W114" s="105">
        <f t="shared" si="62"/>
        <v>285</v>
      </c>
      <c r="X114" s="83" t="s">
        <v>627</v>
      </c>
      <c r="Y114" s="83" t="s">
        <v>628</v>
      </c>
      <c r="Z114" s="99"/>
      <c r="AA114" s="105">
        <f>VLOOKUP(C114,餐补次数!$C$2:$D$17,2,0)</f>
        <v>4</v>
      </c>
      <c r="AB114" s="108">
        <f>VLOOKUP(C114,餐补次数!$H$2:$I$100,2,0)</f>
        <v>1</v>
      </c>
      <c r="AC114" s="105">
        <f t="shared" si="59"/>
        <v>14</v>
      </c>
      <c r="AD114" s="105">
        <f>VLOOKUP(C114,餐补次数!$R$2:$S$150,2,0)</f>
        <v>5</v>
      </c>
      <c r="AE114" s="105">
        <f t="shared" si="60"/>
        <v>75</v>
      </c>
      <c r="AF114" s="105">
        <f t="shared" si="61"/>
        <v>285</v>
      </c>
      <c r="AG114" s="119"/>
    </row>
    <row r="115" s="87" customFormat="1" ht="12" customHeight="1" spans="1:33">
      <c r="A115" s="95" t="s">
        <v>812</v>
      </c>
      <c r="B115" s="100" t="s">
        <v>813</v>
      </c>
      <c r="C115" s="100" t="s">
        <v>197</v>
      </c>
      <c r="D115" s="100" t="s">
        <v>198</v>
      </c>
      <c r="E115" s="83" t="s">
        <v>626</v>
      </c>
      <c r="F115" s="111"/>
      <c r="G115" s="112"/>
      <c r="H115" s="112"/>
      <c r="I115" s="112"/>
      <c r="J115" s="112"/>
      <c r="K115" s="112"/>
      <c r="L115" s="112"/>
      <c r="M115" s="112"/>
      <c r="N115" s="105">
        <f t="shared" si="55"/>
        <v>0</v>
      </c>
      <c r="O115" s="116"/>
      <c r="P115" s="116"/>
      <c r="Q115" s="116"/>
      <c r="R115" s="116"/>
      <c r="S115" s="105">
        <v>19</v>
      </c>
      <c r="T115" s="105">
        <f t="shared" si="56"/>
        <v>19</v>
      </c>
      <c r="U115" s="105">
        <f t="shared" si="57"/>
        <v>285</v>
      </c>
      <c r="V115" s="105">
        <f t="shared" si="58"/>
        <v>90</v>
      </c>
      <c r="W115" s="105">
        <f t="shared" si="62"/>
        <v>375</v>
      </c>
      <c r="X115" s="83" t="s">
        <v>627</v>
      </c>
      <c r="Y115" s="83" t="s">
        <v>628</v>
      </c>
      <c r="Z115" s="99"/>
      <c r="AA115" s="105"/>
      <c r="AB115" s="108"/>
      <c r="AC115" s="105">
        <f t="shared" si="59"/>
        <v>19</v>
      </c>
      <c r="AD115" s="105">
        <f>VLOOKUP(C115,餐补次数!$R$2:$S$150,2,0)</f>
        <v>6</v>
      </c>
      <c r="AE115" s="105">
        <f t="shared" si="60"/>
        <v>90</v>
      </c>
      <c r="AF115" s="105">
        <f t="shared" si="61"/>
        <v>375</v>
      </c>
      <c r="AG115" s="119"/>
    </row>
    <row r="116" s="87" customFormat="1" ht="12" customHeight="1" spans="1:33">
      <c r="A116" s="115"/>
      <c r="B116" s="100" t="s">
        <v>791</v>
      </c>
      <c r="C116" s="100" t="s">
        <v>512</v>
      </c>
      <c r="D116" s="100" t="s">
        <v>513</v>
      </c>
      <c r="E116" s="83" t="s">
        <v>626</v>
      </c>
      <c r="F116" s="111"/>
      <c r="G116" s="112"/>
      <c r="H116" s="112"/>
      <c r="I116" s="112"/>
      <c r="J116" s="112"/>
      <c r="K116" s="112"/>
      <c r="L116" s="112"/>
      <c r="M116" s="112"/>
      <c r="N116" s="105">
        <f t="shared" si="55"/>
        <v>0</v>
      </c>
      <c r="O116" s="116"/>
      <c r="P116" s="116"/>
      <c r="Q116" s="116"/>
      <c r="R116" s="116"/>
      <c r="S116" s="105">
        <v>19</v>
      </c>
      <c r="T116" s="105">
        <f t="shared" si="56"/>
        <v>19</v>
      </c>
      <c r="U116" s="105">
        <f t="shared" si="57"/>
        <v>255</v>
      </c>
      <c r="V116" s="105">
        <f t="shared" si="58"/>
        <v>135</v>
      </c>
      <c r="W116" s="105">
        <f t="shared" si="62"/>
        <v>390</v>
      </c>
      <c r="X116" s="83" t="s">
        <v>627</v>
      </c>
      <c r="Y116" s="83" t="s">
        <v>628</v>
      </c>
      <c r="Z116" s="99"/>
      <c r="AA116" s="105">
        <f>VLOOKUP(C116,餐补次数!$C$2:$D$17,2,0)</f>
        <v>2</v>
      </c>
      <c r="AB116" s="108"/>
      <c r="AC116" s="105">
        <f t="shared" si="59"/>
        <v>17</v>
      </c>
      <c r="AD116" s="105">
        <f>VLOOKUP(C116,餐补次数!$R$2:$S$150,2,0)</f>
        <v>9</v>
      </c>
      <c r="AE116" s="105">
        <f t="shared" si="60"/>
        <v>135</v>
      </c>
      <c r="AF116" s="105">
        <f t="shared" si="61"/>
        <v>390</v>
      </c>
      <c r="AG116" s="119"/>
    </row>
    <row r="117" s="87" customFormat="1" ht="12" customHeight="1" spans="1:33">
      <c r="A117" s="115"/>
      <c r="B117" s="100" t="s">
        <v>814</v>
      </c>
      <c r="C117" s="100" t="s">
        <v>317</v>
      </c>
      <c r="D117" s="100" t="s">
        <v>815</v>
      </c>
      <c r="E117" s="83" t="s">
        <v>626</v>
      </c>
      <c r="F117" s="111"/>
      <c r="G117" s="112"/>
      <c r="H117" s="112"/>
      <c r="I117" s="112"/>
      <c r="J117" s="112"/>
      <c r="K117" s="112"/>
      <c r="L117" s="112"/>
      <c r="M117" s="112"/>
      <c r="N117" s="105">
        <f t="shared" si="55"/>
        <v>0</v>
      </c>
      <c r="O117" s="116"/>
      <c r="P117" s="116"/>
      <c r="Q117" s="116"/>
      <c r="R117" s="116"/>
      <c r="S117" s="105">
        <v>19</v>
      </c>
      <c r="T117" s="105">
        <f t="shared" si="56"/>
        <v>19</v>
      </c>
      <c r="U117" s="105">
        <f t="shared" si="57"/>
        <v>255</v>
      </c>
      <c r="V117" s="105">
        <f t="shared" si="58"/>
        <v>225</v>
      </c>
      <c r="W117" s="105">
        <f t="shared" si="62"/>
        <v>480</v>
      </c>
      <c r="X117" s="83" t="s">
        <v>627</v>
      </c>
      <c r="Y117" s="83" t="s">
        <v>628</v>
      </c>
      <c r="Z117" s="99"/>
      <c r="AA117" s="105">
        <f>VLOOKUP(C117,餐补次数!$C$2:$D$17,2,0)</f>
        <v>2</v>
      </c>
      <c r="AB117" s="108"/>
      <c r="AC117" s="105">
        <f t="shared" si="59"/>
        <v>17</v>
      </c>
      <c r="AD117" s="105">
        <f>VLOOKUP(C117,餐补次数!$R$2:$S$150,2,0)</f>
        <v>15</v>
      </c>
      <c r="AE117" s="105">
        <f t="shared" si="60"/>
        <v>225</v>
      </c>
      <c r="AF117" s="105">
        <f t="shared" si="61"/>
        <v>480</v>
      </c>
      <c r="AG117" s="119"/>
    </row>
    <row r="118" s="87" customFormat="1" ht="12" customHeight="1" spans="1:33">
      <c r="A118" s="115"/>
      <c r="B118" s="100" t="s">
        <v>814</v>
      </c>
      <c r="C118" s="100" t="s">
        <v>313</v>
      </c>
      <c r="D118" s="100" t="s">
        <v>314</v>
      </c>
      <c r="E118" s="83" t="s">
        <v>626</v>
      </c>
      <c r="F118" s="111"/>
      <c r="G118" s="112"/>
      <c r="H118" s="112"/>
      <c r="I118" s="112"/>
      <c r="J118" s="112"/>
      <c r="K118" s="112"/>
      <c r="L118" s="112"/>
      <c r="M118" s="112"/>
      <c r="N118" s="105">
        <f t="shared" si="55"/>
        <v>0</v>
      </c>
      <c r="O118" s="116"/>
      <c r="P118" s="116"/>
      <c r="Q118" s="116"/>
      <c r="R118" s="116"/>
      <c r="S118" s="105">
        <v>19</v>
      </c>
      <c r="T118" s="105">
        <f t="shared" si="56"/>
        <v>19</v>
      </c>
      <c r="U118" s="105">
        <f t="shared" si="57"/>
        <v>285</v>
      </c>
      <c r="V118" s="105">
        <f t="shared" si="58"/>
        <v>105</v>
      </c>
      <c r="W118" s="105">
        <f t="shared" si="62"/>
        <v>390</v>
      </c>
      <c r="X118" s="83" t="s">
        <v>627</v>
      </c>
      <c r="Y118" s="83" t="s">
        <v>628</v>
      </c>
      <c r="Z118" s="99"/>
      <c r="AA118" s="105"/>
      <c r="AB118" s="108"/>
      <c r="AC118" s="105">
        <f t="shared" si="59"/>
        <v>19</v>
      </c>
      <c r="AD118" s="105">
        <f>VLOOKUP(C118,餐补次数!$R$2:$S$150,2,0)</f>
        <v>7</v>
      </c>
      <c r="AE118" s="105">
        <f t="shared" si="60"/>
        <v>105</v>
      </c>
      <c r="AF118" s="105">
        <f t="shared" si="61"/>
        <v>390</v>
      </c>
      <c r="AG118" s="119"/>
    </row>
    <row r="119" s="87" customFormat="1" ht="12" customHeight="1" spans="1:33">
      <c r="A119" s="115"/>
      <c r="B119" s="100" t="s">
        <v>806</v>
      </c>
      <c r="C119" s="100" t="s">
        <v>297</v>
      </c>
      <c r="D119" s="100" t="s">
        <v>298</v>
      </c>
      <c r="E119" s="83" t="s">
        <v>626</v>
      </c>
      <c r="F119" s="111"/>
      <c r="G119" s="112"/>
      <c r="H119" s="112"/>
      <c r="I119" s="112"/>
      <c r="J119" s="112"/>
      <c r="K119" s="112"/>
      <c r="L119" s="112"/>
      <c r="M119" s="112"/>
      <c r="N119" s="105">
        <f t="shared" si="55"/>
        <v>0</v>
      </c>
      <c r="O119" s="116"/>
      <c r="P119" s="116"/>
      <c r="Q119" s="116"/>
      <c r="R119" s="116"/>
      <c r="S119" s="105">
        <v>19</v>
      </c>
      <c r="T119" s="105">
        <f t="shared" si="56"/>
        <v>19</v>
      </c>
      <c r="U119" s="105">
        <f t="shared" si="57"/>
        <v>285</v>
      </c>
      <c r="V119" s="105">
        <f t="shared" si="58"/>
        <v>105</v>
      </c>
      <c r="W119" s="105">
        <f t="shared" si="62"/>
        <v>390</v>
      </c>
      <c r="X119" s="83" t="s">
        <v>627</v>
      </c>
      <c r="Y119" s="83" t="s">
        <v>628</v>
      </c>
      <c r="Z119" s="99"/>
      <c r="AA119" s="105"/>
      <c r="AB119" s="108"/>
      <c r="AC119" s="105">
        <f t="shared" si="59"/>
        <v>19</v>
      </c>
      <c r="AD119" s="105">
        <f>VLOOKUP(C119,餐补次数!$R$2:$S$150,2,0)</f>
        <v>7</v>
      </c>
      <c r="AE119" s="105">
        <f t="shared" si="60"/>
        <v>105</v>
      </c>
      <c r="AF119" s="105">
        <f t="shared" si="61"/>
        <v>390</v>
      </c>
      <c r="AG119" s="119"/>
    </row>
    <row r="120" s="87" customFormat="1" ht="12" customHeight="1" spans="1:33">
      <c r="A120" s="115"/>
      <c r="B120" s="100" t="s">
        <v>816</v>
      </c>
      <c r="C120" s="100" t="s">
        <v>208</v>
      </c>
      <c r="D120" s="100" t="s">
        <v>166</v>
      </c>
      <c r="E120" s="83" t="s">
        <v>626</v>
      </c>
      <c r="F120" s="111"/>
      <c r="G120" s="112"/>
      <c r="H120" s="112"/>
      <c r="I120" s="112"/>
      <c r="J120" s="112"/>
      <c r="K120" s="112"/>
      <c r="L120" s="112"/>
      <c r="M120" s="112"/>
      <c r="N120" s="105">
        <f t="shared" si="55"/>
        <v>0</v>
      </c>
      <c r="O120" s="116"/>
      <c r="P120" s="116"/>
      <c r="Q120" s="116"/>
      <c r="R120" s="116"/>
      <c r="S120" s="105">
        <v>19</v>
      </c>
      <c r="T120" s="105">
        <f t="shared" si="56"/>
        <v>19</v>
      </c>
      <c r="U120" s="105">
        <f t="shared" si="57"/>
        <v>285</v>
      </c>
      <c r="V120" s="105">
        <f t="shared" si="58"/>
        <v>90</v>
      </c>
      <c r="W120" s="105">
        <f t="shared" si="62"/>
        <v>375</v>
      </c>
      <c r="X120" s="83" t="s">
        <v>627</v>
      </c>
      <c r="Y120" s="83" t="s">
        <v>628</v>
      </c>
      <c r="Z120" s="99"/>
      <c r="AA120" s="105"/>
      <c r="AB120" s="108"/>
      <c r="AC120" s="105">
        <f t="shared" si="59"/>
        <v>19</v>
      </c>
      <c r="AD120" s="105">
        <f>VLOOKUP(C120,餐补次数!$R$2:$S$150,2,0)</f>
        <v>6</v>
      </c>
      <c r="AE120" s="105">
        <f t="shared" si="60"/>
        <v>90</v>
      </c>
      <c r="AF120" s="105">
        <f t="shared" si="61"/>
        <v>375</v>
      </c>
      <c r="AG120" s="119"/>
    </row>
    <row r="121" s="87" customFormat="1" ht="12" customHeight="1" spans="1:33">
      <c r="A121" s="115"/>
      <c r="B121" s="100" t="s">
        <v>728</v>
      </c>
      <c r="C121" s="100" t="s">
        <v>468</v>
      </c>
      <c r="D121" s="100" t="s">
        <v>429</v>
      </c>
      <c r="E121" s="83" t="s">
        <v>626</v>
      </c>
      <c r="F121" s="111"/>
      <c r="G121" s="112"/>
      <c r="H121" s="112"/>
      <c r="I121" s="112"/>
      <c r="J121" s="112"/>
      <c r="K121" s="112"/>
      <c r="L121" s="112"/>
      <c r="M121" s="112"/>
      <c r="N121" s="105">
        <f t="shared" si="55"/>
        <v>0</v>
      </c>
      <c r="O121" s="116"/>
      <c r="P121" s="116"/>
      <c r="Q121" s="116"/>
      <c r="R121" s="116"/>
      <c r="S121" s="105">
        <v>19</v>
      </c>
      <c r="T121" s="105">
        <f t="shared" si="56"/>
        <v>19</v>
      </c>
      <c r="U121" s="105">
        <f t="shared" si="57"/>
        <v>270</v>
      </c>
      <c r="V121" s="105">
        <f t="shared" si="58"/>
        <v>105</v>
      </c>
      <c r="W121" s="105">
        <f t="shared" si="62"/>
        <v>375</v>
      </c>
      <c r="X121" s="83" t="s">
        <v>627</v>
      </c>
      <c r="Y121" s="83" t="s">
        <v>628</v>
      </c>
      <c r="Z121" s="99"/>
      <c r="AA121" s="105"/>
      <c r="AB121" s="108">
        <f>VLOOKUP(C121,餐补次数!$H$2:$I$100,2,0)</f>
        <v>1</v>
      </c>
      <c r="AC121" s="105">
        <f t="shared" si="59"/>
        <v>18</v>
      </c>
      <c r="AD121" s="105">
        <f>VLOOKUP(C121,餐补次数!$R$2:$S$150,2,0)</f>
        <v>7</v>
      </c>
      <c r="AE121" s="105">
        <f t="shared" si="60"/>
        <v>105</v>
      </c>
      <c r="AF121" s="105">
        <f t="shared" si="61"/>
        <v>375</v>
      </c>
      <c r="AG121" s="119"/>
    </row>
    <row r="122" s="87" customFormat="1" ht="12" customHeight="1" spans="1:33">
      <c r="A122" s="115"/>
      <c r="B122" s="100" t="s">
        <v>813</v>
      </c>
      <c r="C122" s="100" t="s">
        <v>187</v>
      </c>
      <c r="D122" s="100" t="s">
        <v>166</v>
      </c>
      <c r="E122" s="83" t="s">
        <v>626</v>
      </c>
      <c r="F122" s="111"/>
      <c r="G122" s="112"/>
      <c r="H122" s="112"/>
      <c r="I122" s="112"/>
      <c r="J122" s="112"/>
      <c r="K122" s="112"/>
      <c r="L122" s="112"/>
      <c r="M122" s="112"/>
      <c r="N122" s="105">
        <f t="shared" si="55"/>
        <v>0</v>
      </c>
      <c r="O122" s="116"/>
      <c r="P122" s="116"/>
      <c r="Q122" s="116"/>
      <c r="R122" s="116"/>
      <c r="S122" s="105">
        <v>19</v>
      </c>
      <c r="T122" s="105">
        <f t="shared" si="56"/>
        <v>19</v>
      </c>
      <c r="U122" s="105">
        <f t="shared" si="57"/>
        <v>285</v>
      </c>
      <c r="V122" s="105">
        <f t="shared" si="58"/>
        <v>105</v>
      </c>
      <c r="W122" s="105">
        <f t="shared" si="62"/>
        <v>390</v>
      </c>
      <c r="X122" s="83" t="s">
        <v>627</v>
      </c>
      <c r="Y122" s="83" t="s">
        <v>628</v>
      </c>
      <c r="Z122" s="99"/>
      <c r="AA122" s="105"/>
      <c r="AB122" s="108"/>
      <c r="AC122" s="105">
        <f t="shared" si="59"/>
        <v>19</v>
      </c>
      <c r="AD122" s="105">
        <f>VLOOKUP(C122,餐补次数!$R$2:$S$150,2,0)</f>
        <v>7</v>
      </c>
      <c r="AE122" s="105">
        <f t="shared" si="60"/>
        <v>105</v>
      </c>
      <c r="AF122" s="105">
        <f t="shared" si="61"/>
        <v>390</v>
      </c>
      <c r="AG122" s="119"/>
    </row>
    <row r="123" s="87" customFormat="1" ht="12" customHeight="1" spans="1:33">
      <c r="A123" s="115"/>
      <c r="B123" s="100" t="s">
        <v>728</v>
      </c>
      <c r="C123" s="100" t="s">
        <v>466</v>
      </c>
      <c r="D123" s="100" t="s">
        <v>298</v>
      </c>
      <c r="E123" s="83" t="s">
        <v>626</v>
      </c>
      <c r="F123" s="111"/>
      <c r="G123" s="112"/>
      <c r="H123" s="112"/>
      <c r="I123" s="112"/>
      <c r="J123" s="112"/>
      <c r="K123" s="112"/>
      <c r="L123" s="112"/>
      <c r="M123" s="112"/>
      <c r="N123" s="105">
        <f t="shared" si="55"/>
        <v>0</v>
      </c>
      <c r="O123" s="116"/>
      <c r="P123" s="116"/>
      <c r="Q123" s="116"/>
      <c r="R123" s="116"/>
      <c r="S123" s="105">
        <v>19</v>
      </c>
      <c r="T123" s="105">
        <f t="shared" si="56"/>
        <v>19</v>
      </c>
      <c r="U123" s="105">
        <f t="shared" si="57"/>
        <v>285</v>
      </c>
      <c r="V123" s="105">
        <f t="shared" si="58"/>
        <v>105</v>
      </c>
      <c r="W123" s="105">
        <f t="shared" si="62"/>
        <v>390</v>
      </c>
      <c r="X123" s="83" t="s">
        <v>627</v>
      </c>
      <c r="Y123" s="83" t="s">
        <v>628</v>
      </c>
      <c r="Z123" s="99"/>
      <c r="AA123" s="105"/>
      <c r="AB123" s="108"/>
      <c r="AC123" s="105">
        <f t="shared" si="59"/>
        <v>19</v>
      </c>
      <c r="AD123" s="105">
        <f>VLOOKUP(C123,餐补次数!$R$2:$S$150,2,0)</f>
        <v>7</v>
      </c>
      <c r="AE123" s="105">
        <f t="shared" si="60"/>
        <v>105</v>
      </c>
      <c r="AF123" s="105">
        <f t="shared" si="61"/>
        <v>390</v>
      </c>
      <c r="AG123" s="119"/>
    </row>
    <row r="124" s="87" customFormat="1" ht="12" customHeight="1" spans="1:33">
      <c r="A124" s="115"/>
      <c r="B124" s="100" t="s">
        <v>728</v>
      </c>
      <c r="C124" s="100" t="s">
        <v>470</v>
      </c>
      <c r="D124" s="100" t="s">
        <v>298</v>
      </c>
      <c r="E124" s="83" t="s">
        <v>626</v>
      </c>
      <c r="F124" s="111"/>
      <c r="G124" s="112"/>
      <c r="H124" s="112"/>
      <c r="I124" s="112"/>
      <c r="J124" s="112"/>
      <c r="K124" s="112"/>
      <c r="L124" s="112"/>
      <c r="M124" s="112"/>
      <c r="N124" s="105">
        <f t="shared" si="55"/>
        <v>0</v>
      </c>
      <c r="O124" s="116"/>
      <c r="P124" s="116"/>
      <c r="Q124" s="116"/>
      <c r="R124" s="116"/>
      <c r="S124" s="105">
        <v>19</v>
      </c>
      <c r="T124" s="105">
        <f t="shared" si="56"/>
        <v>19</v>
      </c>
      <c r="U124" s="105">
        <f t="shared" si="57"/>
        <v>285</v>
      </c>
      <c r="V124" s="105">
        <f t="shared" si="58"/>
        <v>105</v>
      </c>
      <c r="W124" s="105">
        <f t="shared" si="62"/>
        <v>390</v>
      </c>
      <c r="X124" s="83" t="s">
        <v>627</v>
      </c>
      <c r="Y124" s="83" t="s">
        <v>628</v>
      </c>
      <c r="Z124" s="99"/>
      <c r="AA124" s="105"/>
      <c r="AB124" s="108"/>
      <c r="AC124" s="105">
        <f t="shared" si="59"/>
        <v>19</v>
      </c>
      <c r="AD124" s="105">
        <f>VLOOKUP(C124,餐补次数!$R$2:$S$150,2,0)</f>
        <v>7</v>
      </c>
      <c r="AE124" s="105">
        <f t="shared" si="60"/>
        <v>105</v>
      </c>
      <c r="AF124" s="105">
        <f t="shared" si="61"/>
        <v>390</v>
      </c>
      <c r="AG124" s="119"/>
    </row>
    <row r="125" s="87" customFormat="1" ht="12" customHeight="1" spans="1:33">
      <c r="A125" s="115"/>
      <c r="B125" s="100" t="s">
        <v>791</v>
      </c>
      <c r="C125" s="100" t="s">
        <v>518</v>
      </c>
      <c r="D125" s="100" t="s">
        <v>519</v>
      </c>
      <c r="E125" s="83" t="s">
        <v>626</v>
      </c>
      <c r="F125" s="111"/>
      <c r="G125" s="112"/>
      <c r="H125" s="112"/>
      <c r="I125" s="112"/>
      <c r="J125" s="112"/>
      <c r="K125" s="112"/>
      <c r="L125" s="112"/>
      <c r="M125" s="112"/>
      <c r="N125" s="105">
        <f t="shared" si="55"/>
        <v>0</v>
      </c>
      <c r="O125" s="116"/>
      <c r="P125" s="116"/>
      <c r="Q125" s="116"/>
      <c r="R125" s="116"/>
      <c r="S125" s="105">
        <v>19</v>
      </c>
      <c r="T125" s="105">
        <f t="shared" si="56"/>
        <v>19</v>
      </c>
      <c r="U125" s="105">
        <f t="shared" si="57"/>
        <v>285</v>
      </c>
      <c r="V125" s="105">
        <f t="shared" si="58"/>
        <v>105</v>
      </c>
      <c r="W125" s="105">
        <f t="shared" si="62"/>
        <v>390</v>
      </c>
      <c r="X125" s="83" t="s">
        <v>627</v>
      </c>
      <c r="Y125" s="83" t="s">
        <v>628</v>
      </c>
      <c r="Z125" s="99"/>
      <c r="AA125" s="105"/>
      <c r="AB125" s="108"/>
      <c r="AC125" s="105">
        <f t="shared" si="59"/>
        <v>19</v>
      </c>
      <c r="AD125" s="105">
        <f>VLOOKUP(C125,餐补次数!$R$2:$S$150,2,0)</f>
        <v>7</v>
      </c>
      <c r="AE125" s="105">
        <f t="shared" si="60"/>
        <v>105</v>
      </c>
      <c r="AF125" s="105">
        <f t="shared" si="61"/>
        <v>390</v>
      </c>
      <c r="AG125" s="119"/>
    </row>
    <row r="126" s="87" customFormat="1" ht="12" customHeight="1" spans="1:33">
      <c r="A126" s="115"/>
      <c r="B126" s="100" t="s">
        <v>651</v>
      </c>
      <c r="C126" s="100" t="s">
        <v>307</v>
      </c>
      <c r="D126" s="100" t="s">
        <v>308</v>
      </c>
      <c r="E126" s="83" t="s">
        <v>626</v>
      </c>
      <c r="F126" s="111"/>
      <c r="G126" s="112"/>
      <c r="H126" s="112"/>
      <c r="I126" s="112"/>
      <c r="J126" s="112"/>
      <c r="K126" s="112"/>
      <c r="L126" s="112"/>
      <c r="M126" s="112"/>
      <c r="N126" s="105">
        <f t="shared" si="55"/>
        <v>0</v>
      </c>
      <c r="O126" s="116"/>
      <c r="P126" s="116"/>
      <c r="Q126" s="116"/>
      <c r="R126" s="116"/>
      <c r="S126" s="105">
        <v>11</v>
      </c>
      <c r="T126" s="105">
        <f t="shared" si="56"/>
        <v>11</v>
      </c>
      <c r="U126" s="105">
        <f t="shared" si="57"/>
        <v>165</v>
      </c>
      <c r="V126" s="105">
        <f t="shared" si="58"/>
        <v>15</v>
      </c>
      <c r="W126" s="105">
        <f t="shared" si="62"/>
        <v>180</v>
      </c>
      <c r="X126" s="83" t="s">
        <v>627</v>
      </c>
      <c r="Y126" s="83" t="s">
        <v>628</v>
      </c>
      <c r="Z126" s="99"/>
      <c r="AA126" s="105"/>
      <c r="AB126" s="108"/>
      <c r="AC126" s="105">
        <f t="shared" si="59"/>
        <v>11</v>
      </c>
      <c r="AD126" s="105">
        <f>VLOOKUP(C126,餐补次数!$R$2:$S$150,2,0)</f>
        <v>1</v>
      </c>
      <c r="AE126" s="105">
        <f t="shared" si="60"/>
        <v>15</v>
      </c>
      <c r="AF126" s="105">
        <f t="shared" si="61"/>
        <v>180</v>
      </c>
      <c r="AG126" s="119"/>
    </row>
    <row r="127" s="87" customFormat="1" ht="12" customHeight="1" spans="1:33">
      <c r="A127" s="115"/>
      <c r="B127" s="100" t="s">
        <v>816</v>
      </c>
      <c r="C127" s="100" t="s">
        <v>203</v>
      </c>
      <c r="D127" s="100" t="s">
        <v>166</v>
      </c>
      <c r="E127" s="83" t="s">
        <v>626</v>
      </c>
      <c r="F127" s="111"/>
      <c r="G127" s="112"/>
      <c r="H127" s="112"/>
      <c r="I127" s="112"/>
      <c r="J127" s="112"/>
      <c r="K127" s="112"/>
      <c r="L127" s="112"/>
      <c r="M127" s="112"/>
      <c r="N127" s="105">
        <f t="shared" si="55"/>
        <v>0</v>
      </c>
      <c r="O127" s="116"/>
      <c r="P127" s="116"/>
      <c r="Q127" s="116"/>
      <c r="R127" s="116"/>
      <c r="S127" s="105">
        <v>7</v>
      </c>
      <c r="T127" s="105">
        <f t="shared" si="56"/>
        <v>7</v>
      </c>
      <c r="U127" s="105">
        <f t="shared" si="57"/>
        <v>105</v>
      </c>
      <c r="V127" s="105">
        <f t="shared" si="58"/>
        <v>15</v>
      </c>
      <c r="W127" s="105">
        <f t="shared" si="62"/>
        <v>120</v>
      </c>
      <c r="X127" s="83" t="s">
        <v>627</v>
      </c>
      <c r="Y127" s="83" t="s">
        <v>628</v>
      </c>
      <c r="Z127" s="99"/>
      <c r="AA127" s="105"/>
      <c r="AB127" s="108"/>
      <c r="AC127" s="105">
        <f t="shared" si="59"/>
        <v>7</v>
      </c>
      <c r="AD127" s="105">
        <f>VLOOKUP(C127,餐补次数!$R$2:$S$150,2,0)</f>
        <v>1</v>
      </c>
      <c r="AE127" s="105">
        <f t="shared" si="60"/>
        <v>15</v>
      </c>
      <c r="AF127" s="105">
        <f t="shared" si="61"/>
        <v>120</v>
      </c>
      <c r="AG127" s="119"/>
    </row>
    <row r="128" s="87" customFormat="1" ht="12" customHeight="1" spans="1:33">
      <c r="A128" s="115"/>
      <c r="B128" s="100"/>
      <c r="C128" s="100"/>
      <c r="D128" s="100"/>
      <c r="E128" s="83"/>
      <c r="F128" s="111"/>
      <c r="G128" s="112"/>
      <c r="H128" s="112"/>
      <c r="I128" s="112"/>
      <c r="J128" s="112"/>
      <c r="K128" s="112"/>
      <c r="L128" s="112"/>
      <c r="M128" s="112"/>
      <c r="N128" s="118"/>
      <c r="O128" s="116"/>
      <c r="P128" s="116"/>
      <c r="Q128" s="116"/>
      <c r="R128" s="116"/>
      <c r="S128" s="118"/>
      <c r="T128" s="118"/>
      <c r="U128" s="105"/>
      <c r="V128" s="105"/>
      <c r="W128" s="105"/>
      <c r="X128" s="83"/>
      <c r="Y128" s="83"/>
      <c r="Z128" s="99"/>
      <c r="AA128" s="105"/>
      <c r="AB128" s="108"/>
      <c r="AC128" s="105"/>
      <c r="AD128" s="105"/>
      <c r="AE128" s="105"/>
      <c r="AF128" s="105"/>
      <c r="AG128" s="119"/>
    </row>
    <row r="129" ht="42.9" customHeight="1" spans="1:32">
      <c r="A129" s="121"/>
      <c r="B129" s="122"/>
      <c r="C129" s="121"/>
      <c r="D129" s="123"/>
      <c r="E129" s="121"/>
      <c r="F129" s="124">
        <f t="shared" ref="F129:U129" si="63">SUM(F2:F115)</f>
        <v>0</v>
      </c>
      <c r="G129" s="125">
        <f t="shared" si="63"/>
        <v>0</v>
      </c>
      <c r="H129" s="125">
        <f t="shared" si="63"/>
        <v>0</v>
      </c>
      <c r="I129" s="125">
        <f t="shared" si="63"/>
        <v>0</v>
      </c>
      <c r="J129" s="125">
        <f t="shared" si="63"/>
        <v>0</v>
      </c>
      <c r="K129" s="125">
        <f t="shared" si="63"/>
        <v>0</v>
      </c>
      <c r="L129" s="125">
        <f>SUM(L2:L122)</f>
        <v>0</v>
      </c>
      <c r="M129" s="125">
        <f>SUM(M2:M122)</f>
        <v>2</v>
      </c>
      <c r="N129" s="126">
        <f>SUM(N2:N122)</f>
        <v>2</v>
      </c>
      <c r="O129" s="126">
        <f t="shared" si="63"/>
        <v>0</v>
      </c>
      <c r="P129" s="126">
        <f t="shared" si="63"/>
        <v>0</v>
      </c>
      <c r="Q129" s="126">
        <f t="shared" si="63"/>
        <v>0</v>
      </c>
      <c r="R129" s="126">
        <f t="shared" si="63"/>
        <v>0</v>
      </c>
      <c r="S129" s="126">
        <f>SUM(S2:S127)</f>
        <v>2374</v>
      </c>
      <c r="T129" s="126">
        <f>SUM(T2:T127)</f>
        <v>2372</v>
      </c>
      <c r="U129" s="126">
        <f>SUM(U2:U127)</f>
        <v>33225</v>
      </c>
      <c r="V129" s="126">
        <f>SUM(V2:V127)</f>
        <v>14595</v>
      </c>
      <c r="W129" s="126">
        <f>SUM(W2:W127)</f>
        <v>47820</v>
      </c>
      <c r="X129" s="121"/>
      <c r="Y129" s="121"/>
      <c r="Z129" s="125">
        <f>SUM(Z2:Z121)</f>
        <v>0</v>
      </c>
      <c r="AA129" s="126">
        <f>SUM(AA2:AA128)</f>
        <v>41</v>
      </c>
      <c r="AB129" s="126">
        <f>SUM(AB2:AB127)</f>
        <v>67</v>
      </c>
      <c r="AC129" s="126">
        <f>SUM(AC2:AC127)</f>
        <v>2264</v>
      </c>
      <c r="AD129" s="126">
        <f>SUM(AD2:AD127)</f>
        <v>924</v>
      </c>
      <c r="AE129" s="126">
        <f>SUM(AE2:AE127)</f>
        <v>14595</v>
      </c>
      <c r="AF129" s="126">
        <f>SUM(AF2:AF127)</f>
        <v>47820</v>
      </c>
    </row>
  </sheetData>
  <autoFilter xmlns:etc="http://www.wps.cn/officeDocument/2017/etCustomData" ref="A1:AF127" etc:filterBottomFollowUsedRange="0">
    <extLst/>
  </autoFilter>
  <pageMargins left="0.7" right="0.7" top="0.75" bottom="0.75" header="0.3" footer="0.3"/>
  <pageSetup paperSize="8"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131"/>
  <sheetViews>
    <sheetView zoomScale="90" zoomScaleNormal="90" workbookViewId="0">
      <pane ySplit="2" topLeftCell="A3" activePane="bottomLeft" state="frozen"/>
      <selection/>
      <selection pane="bottomLeft" activeCell="F14" sqref="F14"/>
    </sheetView>
  </sheetViews>
  <sheetFormatPr defaultColWidth="18.1090909090909" defaultRowHeight="19.95" customHeight="1"/>
  <cols>
    <col min="1" max="1" width="20.8181818181818" style="7" customWidth="1"/>
    <col min="2" max="2" width="11.5818181818182" style="1" customWidth="1"/>
    <col min="3" max="3" width="20.3363636363636" style="7" customWidth="1"/>
    <col min="4" max="4" width="5.44545454545455" style="1" customWidth="1"/>
    <col min="5" max="11" width="6.66363636363636" style="1" customWidth="1"/>
    <col min="12" max="12" width="9" style="1" customWidth="1"/>
    <col min="13" max="13" width="5.44545454545455" style="8" customWidth="1"/>
    <col min="14" max="14" width="9" style="8" customWidth="1"/>
    <col min="15" max="15" width="9.20909090909091" style="1" customWidth="1"/>
    <col min="16" max="16" width="10.2" style="1" customWidth="1"/>
    <col min="17" max="17" width="9" style="8" customWidth="1"/>
    <col min="18" max="18" width="8.78181818181818" style="8" customWidth="1"/>
    <col min="19" max="247" width="9.33636363636364" style="1" customWidth="1"/>
    <col min="248" max="16375" width="18.1090909090909" style="1"/>
    <col min="16376" max="16384" width="18.1090909090909" style="9"/>
  </cols>
  <sheetData>
    <row r="1" s="1" customFormat="1" ht="20" customHeight="1" spans="1:18">
      <c r="A1" s="10" t="s">
        <v>817</v>
      </c>
      <c r="B1" s="11"/>
      <c r="C1" s="11"/>
      <c r="D1" s="11"/>
      <c r="E1" s="11"/>
      <c r="F1" s="11"/>
      <c r="G1" s="11"/>
      <c r="H1" s="11"/>
      <c r="I1" s="11"/>
      <c r="J1" s="11"/>
      <c r="K1" s="11"/>
      <c r="L1" s="11"/>
      <c r="M1" s="11"/>
      <c r="N1" s="11"/>
      <c r="O1" s="11"/>
      <c r="P1" s="11"/>
      <c r="Q1" s="11"/>
      <c r="R1" s="49"/>
    </row>
    <row r="2" s="2" customFormat="1" customHeight="1" spans="1:16384">
      <c r="A2" s="12" t="s">
        <v>818</v>
      </c>
      <c r="B2" s="13" t="s">
        <v>819</v>
      </c>
      <c r="C2" s="14" t="s">
        <v>820</v>
      </c>
      <c r="D2" s="13" t="s">
        <v>821</v>
      </c>
      <c r="E2" s="13" t="s">
        <v>822</v>
      </c>
      <c r="F2" s="13" t="s">
        <v>823</v>
      </c>
      <c r="G2" s="13" t="s">
        <v>824</v>
      </c>
      <c r="H2" s="13" t="s">
        <v>825</v>
      </c>
      <c r="I2" s="13" t="s">
        <v>826</v>
      </c>
      <c r="J2" s="34" t="s">
        <v>827</v>
      </c>
      <c r="K2" s="34" t="s">
        <v>828</v>
      </c>
      <c r="L2" s="13" t="s">
        <v>829</v>
      </c>
      <c r="M2" s="35" t="s">
        <v>830</v>
      </c>
      <c r="N2" s="36" t="s">
        <v>831</v>
      </c>
      <c r="O2" s="34" t="s">
        <v>832</v>
      </c>
      <c r="P2" s="37" t="s">
        <v>833</v>
      </c>
      <c r="Q2" s="36" t="s">
        <v>834</v>
      </c>
      <c r="R2" s="50" t="s">
        <v>612</v>
      </c>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c r="ADD2" s="1"/>
      <c r="ADE2" s="1"/>
      <c r="ADF2" s="1"/>
      <c r="ADG2" s="1"/>
      <c r="ADH2" s="1"/>
      <c r="ADI2" s="1"/>
      <c r="ADJ2" s="1"/>
      <c r="ADK2" s="1"/>
      <c r="ADL2" s="1"/>
      <c r="ADM2" s="1"/>
      <c r="ADN2" s="1"/>
      <c r="ADO2" s="1"/>
      <c r="ADP2" s="1"/>
      <c r="ADQ2" s="1"/>
      <c r="ADR2" s="1"/>
      <c r="ADS2" s="1"/>
      <c r="ADT2" s="1"/>
      <c r="ADU2" s="1"/>
      <c r="ADV2" s="1"/>
      <c r="ADW2" s="1"/>
      <c r="ADX2" s="1"/>
      <c r="ADY2" s="1"/>
      <c r="ADZ2" s="1"/>
      <c r="AEA2" s="1"/>
      <c r="AEB2" s="1"/>
      <c r="AEC2" s="1"/>
      <c r="AED2" s="1"/>
      <c r="AEE2" s="1"/>
      <c r="AEF2" s="1"/>
      <c r="AEG2" s="1"/>
      <c r="AEH2" s="1"/>
      <c r="AEI2" s="1"/>
      <c r="AEJ2" s="1"/>
      <c r="AEK2" s="1"/>
      <c r="AEL2" s="1"/>
      <c r="AEM2" s="1"/>
      <c r="AEN2" s="1"/>
      <c r="AEO2" s="1"/>
      <c r="AEP2" s="1"/>
      <c r="AEQ2" s="1"/>
      <c r="AER2" s="1"/>
      <c r="AES2" s="1"/>
      <c r="AET2" s="1"/>
      <c r="AEU2" s="1"/>
      <c r="AEV2" s="1"/>
      <c r="AEW2" s="1"/>
      <c r="AEX2" s="1"/>
      <c r="AEY2" s="1"/>
      <c r="AEZ2" s="1"/>
      <c r="AFA2" s="1"/>
      <c r="AFB2" s="1"/>
      <c r="AFC2" s="1"/>
      <c r="AFD2" s="1"/>
      <c r="AFE2" s="1"/>
      <c r="AFF2" s="1"/>
      <c r="AFG2" s="1"/>
      <c r="AFH2" s="1"/>
      <c r="AFI2" s="1"/>
      <c r="AFJ2" s="1"/>
      <c r="AFK2" s="1"/>
      <c r="AFL2" s="1"/>
      <c r="AFM2" s="1"/>
      <c r="AFN2" s="1"/>
      <c r="AFO2" s="1"/>
      <c r="AFP2" s="1"/>
      <c r="AFQ2" s="1"/>
      <c r="AFR2" s="1"/>
      <c r="AFS2" s="1"/>
      <c r="AFT2" s="1"/>
      <c r="AFU2" s="1"/>
      <c r="AFV2" s="1"/>
      <c r="AFW2" s="1"/>
      <c r="AFX2" s="1"/>
      <c r="AFY2" s="1"/>
      <c r="AFZ2" s="1"/>
      <c r="AGA2" s="1"/>
      <c r="AGB2" s="1"/>
      <c r="AGC2" s="1"/>
      <c r="AGD2" s="1"/>
      <c r="AGE2" s="1"/>
      <c r="AGF2" s="1"/>
      <c r="AGG2" s="1"/>
      <c r="AGH2" s="1"/>
      <c r="AGI2" s="1"/>
      <c r="AGJ2" s="1"/>
      <c r="AGK2" s="1"/>
      <c r="AGL2" s="1"/>
      <c r="AGM2" s="1"/>
      <c r="AGN2" s="1"/>
      <c r="AGO2" s="1"/>
      <c r="AGP2" s="1"/>
      <c r="AGQ2" s="1"/>
      <c r="AGR2" s="1"/>
      <c r="AGS2" s="1"/>
      <c r="AGT2" s="1"/>
      <c r="AGU2" s="1"/>
      <c r="AGV2" s="1"/>
      <c r="AGW2" s="1"/>
      <c r="AGX2" s="1"/>
      <c r="AGY2" s="1"/>
      <c r="AGZ2" s="1"/>
      <c r="AHA2" s="1"/>
      <c r="AHB2" s="1"/>
      <c r="AHC2" s="1"/>
      <c r="AHD2" s="1"/>
      <c r="AHE2" s="1"/>
      <c r="AHF2" s="1"/>
      <c r="AHG2" s="1"/>
      <c r="AHH2" s="1"/>
      <c r="AHI2" s="1"/>
      <c r="AHJ2" s="1"/>
      <c r="AHK2" s="1"/>
      <c r="AHL2" s="1"/>
      <c r="AHM2" s="1"/>
      <c r="AHN2" s="1"/>
      <c r="AHO2" s="1"/>
      <c r="AHP2" s="1"/>
      <c r="AHQ2" s="1"/>
      <c r="AHR2" s="1"/>
      <c r="AHS2" s="1"/>
      <c r="AHT2" s="1"/>
      <c r="AHU2" s="1"/>
      <c r="AHV2" s="1"/>
      <c r="AHW2" s="1"/>
      <c r="AHX2" s="1"/>
      <c r="AHY2" s="1"/>
      <c r="AHZ2" s="1"/>
      <c r="AIA2" s="1"/>
      <c r="AIB2" s="1"/>
      <c r="AIC2" s="1"/>
      <c r="AID2" s="1"/>
      <c r="AIE2" s="1"/>
      <c r="AIF2" s="1"/>
      <c r="AIG2" s="1"/>
      <c r="AIH2" s="1"/>
      <c r="AII2" s="1"/>
      <c r="AIJ2" s="1"/>
      <c r="AIK2" s="1"/>
      <c r="AIL2" s="1"/>
      <c r="AIM2" s="1"/>
      <c r="AIN2" s="1"/>
      <c r="AIO2" s="1"/>
      <c r="AIP2" s="1"/>
      <c r="AIQ2" s="1"/>
      <c r="AIR2" s="1"/>
      <c r="AIS2" s="1"/>
      <c r="AIT2" s="1"/>
      <c r="AIU2" s="1"/>
      <c r="AIV2" s="1"/>
      <c r="AIW2" s="1"/>
      <c r="AIX2" s="1"/>
      <c r="AIY2" s="1"/>
      <c r="AIZ2" s="1"/>
      <c r="AJA2" s="1"/>
      <c r="AJB2" s="1"/>
      <c r="AJC2" s="1"/>
      <c r="AJD2" s="1"/>
      <c r="AJE2" s="1"/>
      <c r="AJF2" s="1"/>
      <c r="AJG2" s="1"/>
      <c r="AJH2" s="1"/>
      <c r="AJI2" s="1"/>
      <c r="AJJ2" s="1"/>
      <c r="AJK2" s="1"/>
      <c r="AJL2" s="1"/>
      <c r="AJM2" s="1"/>
      <c r="AJN2" s="1"/>
      <c r="AJO2" s="1"/>
      <c r="AJP2" s="1"/>
      <c r="AJQ2" s="1"/>
      <c r="AJR2" s="1"/>
      <c r="AJS2" s="1"/>
      <c r="AJT2" s="1"/>
      <c r="AJU2" s="1"/>
      <c r="AJV2" s="1"/>
      <c r="AJW2" s="1"/>
      <c r="AJX2" s="1"/>
      <c r="AJY2" s="1"/>
      <c r="AJZ2" s="1"/>
      <c r="AKA2" s="1"/>
      <c r="AKB2" s="1"/>
      <c r="AKC2" s="1"/>
      <c r="AKD2" s="1"/>
      <c r="AKE2" s="1"/>
      <c r="AKF2" s="1"/>
      <c r="AKG2" s="1"/>
      <c r="AKH2" s="1"/>
      <c r="AKI2" s="1"/>
      <c r="AKJ2" s="1"/>
      <c r="AKK2" s="1"/>
      <c r="AKL2" s="1"/>
      <c r="AKM2" s="1"/>
      <c r="AKN2" s="1"/>
      <c r="AKO2" s="1"/>
      <c r="AKP2" s="1"/>
      <c r="AKQ2" s="1"/>
      <c r="AKR2" s="1"/>
      <c r="AKS2" s="1"/>
      <c r="AKT2" s="1"/>
      <c r="AKU2" s="1"/>
      <c r="AKV2" s="1"/>
      <c r="AKW2" s="1"/>
      <c r="AKX2" s="1"/>
      <c r="AKY2" s="1"/>
      <c r="AKZ2" s="1"/>
      <c r="ALA2" s="1"/>
      <c r="ALB2" s="1"/>
      <c r="ALC2" s="1"/>
      <c r="ALD2" s="1"/>
      <c r="ALE2" s="1"/>
      <c r="ALF2" s="1"/>
      <c r="ALG2" s="1"/>
      <c r="ALH2" s="1"/>
      <c r="ALI2" s="1"/>
      <c r="ALJ2" s="1"/>
      <c r="ALK2" s="1"/>
      <c r="ALL2" s="1"/>
      <c r="ALM2" s="1"/>
      <c r="ALN2" s="1"/>
      <c r="ALO2" s="1"/>
      <c r="ALP2" s="1"/>
      <c r="ALQ2" s="1"/>
      <c r="ALR2" s="1"/>
      <c r="ALS2" s="1"/>
      <c r="ALT2" s="1"/>
      <c r="ALU2" s="1"/>
      <c r="ALV2" s="1"/>
      <c r="ALW2" s="1"/>
      <c r="ALX2" s="1"/>
      <c r="ALY2" s="1"/>
      <c r="ALZ2" s="1"/>
      <c r="AMA2" s="1"/>
      <c r="AMB2" s="1"/>
      <c r="AMC2" s="1"/>
      <c r="AMD2" s="1"/>
      <c r="AME2" s="1"/>
      <c r="AMF2" s="1"/>
      <c r="AMG2" s="1"/>
      <c r="AMH2" s="1"/>
      <c r="AMI2" s="1"/>
      <c r="AMJ2" s="1"/>
      <c r="AMK2" s="1"/>
      <c r="AML2" s="1"/>
      <c r="AMM2" s="1"/>
      <c r="AMN2" s="1"/>
      <c r="AMO2" s="1"/>
      <c r="AMP2" s="1"/>
      <c r="AMQ2" s="1"/>
      <c r="AMR2" s="1"/>
      <c r="AMS2" s="1"/>
      <c r="AMT2" s="1"/>
      <c r="AMU2" s="1"/>
      <c r="AMV2" s="1"/>
      <c r="AMW2" s="1"/>
      <c r="AMX2" s="1"/>
      <c r="AMY2" s="1"/>
      <c r="AMZ2" s="1"/>
      <c r="ANA2" s="1"/>
      <c r="ANB2" s="1"/>
      <c r="ANC2" s="1"/>
      <c r="AND2" s="1"/>
      <c r="ANE2" s="1"/>
      <c r="ANF2" s="1"/>
      <c r="ANG2" s="1"/>
      <c r="ANH2" s="1"/>
      <c r="ANI2" s="1"/>
      <c r="ANJ2" s="1"/>
      <c r="ANK2" s="1"/>
      <c r="ANL2" s="1"/>
      <c r="ANM2" s="1"/>
      <c r="ANN2" s="1"/>
      <c r="ANO2" s="1"/>
      <c r="ANP2" s="1"/>
      <c r="ANQ2" s="1"/>
      <c r="ANR2" s="1"/>
      <c r="ANS2" s="1"/>
      <c r="ANT2" s="1"/>
      <c r="ANU2" s="1"/>
      <c r="ANV2" s="1"/>
      <c r="ANW2" s="1"/>
      <c r="ANX2" s="1"/>
      <c r="ANY2" s="1"/>
      <c r="ANZ2" s="1"/>
      <c r="AOA2" s="1"/>
      <c r="AOB2" s="1"/>
      <c r="AOC2" s="1"/>
      <c r="AOD2" s="1"/>
      <c r="AOE2" s="1"/>
      <c r="AOF2" s="1"/>
      <c r="AOG2" s="1"/>
      <c r="AOH2" s="1"/>
      <c r="AOI2" s="1"/>
      <c r="AOJ2" s="1"/>
      <c r="AOK2" s="1"/>
      <c r="AOL2" s="1"/>
      <c r="AOM2" s="1"/>
      <c r="AON2" s="1"/>
      <c r="AOO2" s="1"/>
      <c r="AOP2" s="1"/>
      <c r="AOQ2" s="1"/>
      <c r="AOR2" s="1"/>
      <c r="AOS2" s="1"/>
      <c r="AOT2" s="1"/>
      <c r="AOU2" s="1"/>
      <c r="AOV2" s="1"/>
      <c r="AOW2" s="1"/>
      <c r="AOX2" s="1"/>
      <c r="AOY2" s="1"/>
      <c r="AOZ2" s="1"/>
      <c r="APA2" s="1"/>
      <c r="APB2" s="1"/>
      <c r="APC2" s="1"/>
      <c r="APD2" s="1"/>
      <c r="APE2" s="1"/>
      <c r="APF2" s="1"/>
      <c r="APG2" s="1"/>
      <c r="APH2" s="1"/>
      <c r="API2" s="1"/>
      <c r="APJ2" s="1"/>
      <c r="APK2" s="1"/>
      <c r="APL2" s="1"/>
      <c r="APM2" s="1"/>
      <c r="APN2" s="1"/>
      <c r="APO2" s="1"/>
      <c r="APP2" s="1"/>
      <c r="APQ2" s="1"/>
      <c r="APR2" s="1"/>
      <c r="APS2" s="1"/>
      <c r="APT2" s="1"/>
      <c r="APU2" s="1"/>
      <c r="APV2" s="1"/>
      <c r="APW2" s="1"/>
      <c r="APX2" s="1"/>
      <c r="APY2" s="1"/>
      <c r="APZ2" s="1"/>
      <c r="AQA2" s="1"/>
      <c r="AQB2" s="1"/>
      <c r="AQC2" s="1"/>
      <c r="AQD2" s="1"/>
      <c r="AQE2" s="1"/>
      <c r="AQF2" s="1"/>
      <c r="AQG2" s="1"/>
      <c r="AQH2" s="1"/>
      <c r="AQI2" s="1"/>
      <c r="AQJ2" s="1"/>
      <c r="AQK2" s="1"/>
      <c r="AQL2" s="1"/>
      <c r="AQM2" s="1"/>
      <c r="AQN2" s="1"/>
      <c r="AQO2" s="1"/>
      <c r="AQP2" s="1"/>
      <c r="AQQ2" s="1"/>
      <c r="AQR2" s="1"/>
      <c r="AQS2" s="1"/>
      <c r="AQT2" s="1"/>
      <c r="AQU2" s="1"/>
      <c r="AQV2" s="1"/>
      <c r="AQW2" s="1"/>
      <c r="AQX2" s="1"/>
      <c r="AQY2" s="1"/>
      <c r="AQZ2" s="1"/>
      <c r="ARA2" s="1"/>
      <c r="ARB2" s="1"/>
      <c r="ARC2" s="1"/>
      <c r="ARD2" s="1"/>
      <c r="ARE2" s="1"/>
      <c r="ARF2" s="1"/>
      <c r="ARG2" s="1"/>
      <c r="ARH2" s="1"/>
      <c r="ARI2" s="1"/>
      <c r="ARJ2" s="1"/>
      <c r="ARK2" s="1"/>
      <c r="ARL2" s="1"/>
      <c r="ARM2" s="1"/>
      <c r="ARN2" s="1"/>
      <c r="ARO2" s="1"/>
      <c r="ARP2" s="1"/>
      <c r="ARQ2" s="1"/>
      <c r="ARR2" s="1"/>
      <c r="ARS2" s="1"/>
      <c r="ART2" s="1"/>
      <c r="ARU2" s="1"/>
      <c r="ARV2" s="1"/>
      <c r="ARW2" s="1"/>
      <c r="ARX2" s="1"/>
      <c r="ARY2" s="1"/>
      <c r="ARZ2" s="1"/>
      <c r="ASA2" s="1"/>
      <c r="ASB2" s="1"/>
      <c r="ASC2" s="1"/>
      <c r="ASD2" s="1"/>
      <c r="ASE2" s="1"/>
      <c r="ASF2" s="1"/>
      <c r="ASG2" s="1"/>
      <c r="ASH2" s="1"/>
      <c r="ASI2" s="1"/>
      <c r="ASJ2" s="1"/>
      <c r="ASK2" s="1"/>
      <c r="ASL2" s="1"/>
      <c r="ASM2" s="1"/>
      <c r="ASN2" s="1"/>
      <c r="ASO2" s="1"/>
      <c r="ASP2" s="1"/>
      <c r="ASQ2" s="1"/>
      <c r="ASR2" s="1"/>
      <c r="ASS2" s="1"/>
      <c r="AST2" s="1"/>
      <c r="ASU2" s="1"/>
      <c r="ASV2" s="1"/>
      <c r="ASW2" s="1"/>
      <c r="ASX2" s="1"/>
      <c r="ASY2" s="1"/>
      <c r="ASZ2" s="1"/>
      <c r="ATA2" s="1"/>
      <c r="ATB2" s="1"/>
      <c r="ATC2" s="1"/>
      <c r="ATD2" s="1"/>
      <c r="ATE2" s="1"/>
      <c r="ATF2" s="1"/>
      <c r="ATG2" s="1"/>
      <c r="ATH2" s="1"/>
      <c r="ATI2" s="1"/>
      <c r="ATJ2" s="1"/>
      <c r="ATK2" s="1"/>
      <c r="ATL2" s="1"/>
      <c r="ATM2" s="1"/>
      <c r="ATN2" s="1"/>
      <c r="ATO2" s="1"/>
      <c r="ATP2" s="1"/>
      <c r="ATQ2" s="1"/>
      <c r="ATR2" s="1"/>
      <c r="ATS2" s="1"/>
      <c r="ATT2" s="1"/>
      <c r="ATU2" s="1"/>
      <c r="ATV2" s="1"/>
      <c r="ATW2" s="1"/>
      <c r="ATX2" s="1"/>
      <c r="ATY2" s="1"/>
      <c r="ATZ2" s="1"/>
      <c r="AUA2" s="1"/>
      <c r="AUB2" s="1"/>
      <c r="AUC2" s="1"/>
      <c r="AUD2" s="1"/>
      <c r="AUE2" s="1"/>
      <c r="AUF2" s="1"/>
      <c r="AUG2" s="1"/>
      <c r="AUH2" s="1"/>
      <c r="AUI2" s="1"/>
      <c r="AUJ2" s="1"/>
      <c r="AUK2" s="1"/>
      <c r="AUL2" s="1"/>
      <c r="AUM2" s="1"/>
      <c r="AUN2" s="1"/>
      <c r="AUO2" s="1"/>
      <c r="AUP2" s="1"/>
      <c r="AUQ2" s="1"/>
      <c r="AUR2" s="1"/>
      <c r="AUS2" s="1"/>
      <c r="AUT2" s="1"/>
      <c r="AUU2" s="1"/>
      <c r="AUV2" s="1"/>
      <c r="AUW2" s="1"/>
      <c r="AUX2" s="1"/>
      <c r="AUY2" s="1"/>
      <c r="AUZ2" s="1"/>
      <c r="AVA2" s="1"/>
      <c r="AVB2" s="1"/>
      <c r="AVC2" s="1"/>
      <c r="AVD2" s="1"/>
      <c r="AVE2" s="1"/>
      <c r="AVF2" s="1"/>
      <c r="AVG2" s="1"/>
      <c r="AVH2" s="1"/>
      <c r="AVI2" s="1"/>
      <c r="AVJ2" s="1"/>
      <c r="AVK2" s="1"/>
      <c r="AVL2" s="1"/>
      <c r="AVM2" s="1"/>
      <c r="AVN2" s="1"/>
      <c r="AVO2" s="1"/>
      <c r="AVP2" s="1"/>
      <c r="AVQ2" s="1"/>
      <c r="AVR2" s="1"/>
      <c r="AVS2" s="1"/>
      <c r="AVT2" s="1"/>
      <c r="AVU2" s="1"/>
      <c r="AVV2" s="1"/>
      <c r="AVW2" s="1"/>
      <c r="AVX2" s="1"/>
      <c r="AVY2" s="1"/>
      <c r="AVZ2" s="1"/>
      <c r="AWA2" s="1"/>
      <c r="AWB2" s="1"/>
      <c r="AWC2" s="1"/>
      <c r="AWD2" s="1"/>
      <c r="AWE2" s="1"/>
      <c r="AWF2" s="1"/>
      <c r="AWG2" s="1"/>
      <c r="AWH2" s="1"/>
      <c r="AWI2" s="1"/>
      <c r="AWJ2" s="1"/>
      <c r="AWK2" s="1"/>
      <c r="AWL2" s="1"/>
      <c r="AWM2" s="1"/>
      <c r="AWN2" s="1"/>
      <c r="AWO2" s="1"/>
      <c r="AWP2" s="1"/>
      <c r="AWQ2" s="1"/>
      <c r="AWR2" s="1"/>
      <c r="AWS2" s="1"/>
      <c r="AWT2" s="1"/>
      <c r="AWU2" s="1"/>
      <c r="AWV2" s="1"/>
      <c r="AWW2" s="1"/>
      <c r="AWX2" s="1"/>
      <c r="AWY2" s="1"/>
      <c r="AWZ2" s="1"/>
      <c r="AXA2" s="1"/>
      <c r="AXB2" s="1"/>
      <c r="AXC2" s="1"/>
      <c r="AXD2" s="1"/>
      <c r="AXE2" s="1"/>
      <c r="AXF2" s="1"/>
      <c r="AXG2" s="1"/>
      <c r="AXH2" s="1"/>
      <c r="AXI2" s="1"/>
      <c r="AXJ2" s="1"/>
      <c r="AXK2" s="1"/>
      <c r="AXL2" s="1"/>
      <c r="AXM2" s="1"/>
      <c r="AXN2" s="1"/>
      <c r="AXO2" s="1"/>
      <c r="AXP2" s="1"/>
      <c r="AXQ2" s="1"/>
      <c r="AXR2" s="1"/>
      <c r="AXS2" s="1"/>
      <c r="AXT2" s="1"/>
      <c r="AXU2" s="1"/>
      <c r="AXV2" s="1"/>
      <c r="AXW2" s="1"/>
      <c r="AXX2" s="1"/>
      <c r="AXY2" s="1"/>
      <c r="AXZ2" s="1"/>
      <c r="AYA2" s="1"/>
      <c r="AYB2" s="1"/>
      <c r="AYC2" s="1"/>
      <c r="AYD2" s="1"/>
      <c r="AYE2" s="1"/>
      <c r="AYF2" s="1"/>
      <c r="AYG2" s="1"/>
      <c r="AYH2" s="1"/>
      <c r="AYI2" s="1"/>
      <c r="AYJ2" s="1"/>
      <c r="AYK2" s="1"/>
      <c r="AYL2" s="1"/>
      <c r="AYM2" s="1"/>
      <c r="AYN2" s="1"/>
      <c r="AYO2" s="1"/>
      <c r="AYP2" s="1"/>
      <c r="AYQ2" s="1"/>
      <c r="AYR2" s="1"/>
      <c r="AYS2" s="1"/>
      <c r="AYT2" s="1"/>
      <c r="AYU2" s="1"/>
      <c r="AYV2" s="1"/>
      <c r="AYW2" s="1"/>
      <c r="AYX2" s="1"/>
      <c r="AYY2" s="1"/>
      <c r="AYZ2" s="1"/>
      <c r="AZA2" s="1"/>
      <c r="AZB2" s="1"/>
      <c r="AZC2" s="1"/>
      <c r="AZD2" s="1"/>
      <c r="AZE2" s="1"/>
      <c r="AZF2" s="1"/>
      <c r="AZG2" s="1"/>
      <c r="AZH2" s="1"/>
      <c r="AZI2" s="1"/>
      <c r="AZJ2" s="1"/>
      <c r="AZK2" s="1"/>
      <c r="AZL2" s="1"/>
      <c r="AZM2" s="1"/>
      <c r="AZN2" s="1"/>
      <c r="AZO2" s="1"/>
      <c r="AZP2" s="1"/>
      <c r="AZQ2" s="1"/>
      <c r="AZR2" s="1"/>
      <c r="AZS2" s="1"/>
      <c r="AZT2" s="1"/>
      <c r="AZU2" s="1"/>
      <c r="AZV2" s="1"/>
      <c r="AZW2" s="1"/>
      <c r="AZX2" s="1"/>
      <c r="AZY2" s="1"/>
      <c r="AZZ2" s="1"/>
      <c r="BAA2" s="1"/>
      <c r="BAB2" s="1"/>
      <c r="BAC2" s="1"/>
      <c r="BAD2" s="1"/>
      <c r="BAE2" s="1"/>
      <c r="BAF2" s="1"/>
      <c r="BAG2" s="1"/>
      <c r="BAH2" s="1"/>
      <c r="BAI2" s="1"/>
      <c r="BAJ2" s="1"/>
      <c r="BAK2" s="1"/>
      <c r="BAL2" s="1"/>
      <c r="BAM2" s="1"/>
      <c r="BAN2" s="1"/>
      <c r="BAO2" s="1"/>
      <c r="BAP2" s="1"/>
      <c r="BAQ2" s="1"/>
      <c r="BAR2" s="1"/>
      <c r="BAS2" s="1"/>
      <c r="BAT2" s="1"/>
      <c r="BAU2" s="1"/>
      <c r="BAV2" s="1"/>
      <c r="BAW2" s="1"/>
      <c r="BAX2" s="1"/>
      <c r="BAY2" s="1"/>
      <c r="BAZ2" s="1"/>
      <c r="BBA2" s="1"/>
      <c r="BBB2" s="1"/>
      <c r="BBC2" s="1"/>
      <c r="BBD2" s="1"/>
      <c r="BBE2" s="1"/>
      <c r="BBF2" s="1"/>
      <c r="BBG2" s="1"/>
      <c r="BBH2" s="1"/>
      <c r="BBI2" s="1"/>
      <c r="BBJ2" s="1"/>
      <c r="BBK2" s="1"/>
      <c r="BBL2" s="1"/>
      <c r="BBM2" s="1"/>
      <c r="BBN2" s="1"/>
      <c r="BBO2" s="1"/>
      <c r="BBP2" s="1"/>
      <c r="BBQ2" s="1"/>
      <c r="BBR2" s="1"/>
      <c r="BBS2" s="1"/>
      <c r="BBT2" s="1"/>
      <c r="BBU2" s="1"/>
      <c r="BBV2" s="1"/>
      <c r="BBW2" s="1"/>
      <c r="BBX2" s="1"/>
      <c r="BBY2" s="1"/>
      <c r="BBZ2" s="1"/>
      <c r="BCA2" s="1"/>
      <c r="BCB2" s="1"/>
      <c r="BCC2" s="1"/>
      <c r="BCD2" s="1"/>
      <c r="BCE2" s="1"/>
      <c r="BCF2" s="1"/>
      <c r="BCG2" s="1"/>
      <c r="BCH2" s="1"/>
      <c r="BCI2" s="1"/>
      <c r="BCJ2" s="1"/>
      <c r="BCK2" s="1"/>
      <c r="BCL2" s="1"/>
      <c r="BCM2" s="1"/>
      <c r="BCN2" s="1"/>
      <c r="BCO2" s="1"/>
      <c r="BCP2" s="1"/>
      <c r="BCQ2" s="1"/>
      <c r="BCR2" s="1"/>
      <c r="BCS2" s="1"/>
      <c r="BCT2" s="1"/>
      <c r="BCU2" s="1"/>
      <c r="BCV2" s="1"/>
      <c r="BCW2" s="1"/>
      <c r="BCX2" s="1"/>
      <c r="BCY2" s="1"/>
      <c r="BCZ2" s="1"/>
      <c r="BDA2" s="1"/>
      <c r="BDB2" s="1"/>
      <c r="BDC2" s="1"/>
      <c r="BDD2" s="1"/>
      <c r="BDE2" s="1"/>
      <c r="BDF2" s="1"/>
      <c r="BDG2" s="1"/>
      <c r="BDH2" s="1"/>
      <c r="BDI2" s="1"/>
      <c r="BDJ2" s="1"/>
      <c r="BDK2" s="1"/>
      <c r="BDL2" s="1"/>
      <c r="BDM2" s="1"/>
      <c r="BDN2" s="1"/>
      <c r="BDO2" s="1"/>
      <c r="BDP2" s="1"/>
      <c r="BDQ2" s="1"/>
      <c r="BDR2" s="1"/>
      <c r="BDS2" s="1"/>
      <c r="BDT2" s="1"/>
      <c r="BDU2" s="1"/>
      <c r="BDV2" s="1"/>
      <c r="BDW2" s="1"/>
      <c r="BDX2" s="1"/>
      <c r="BDY2" s="1"/>
      <c r="BDZ2" s="1"/>
      <c r="BEA2" s="1"/>
      <c r="BEB2" s="1"/>
      <c r="BEC2" s="1"/>
      <c r="BED2" s="1"/>
      <c r="BEE2" s="1"/>
      <c r="BEF2" s="1"/>
      <c r="BEG2" s="1"/>
      <c r="BEH2" s="1"/>
      <c r="BEI2" s="1"/>
      <c r="BEJ2" s="1"/>
      <c r="BEK2" s="1"/>
      <c r="BEL2" s="1"/>
      <c r="BEM2" s="1"/>
      <c r="BEN2" s="1"/>
      <c r="BEO2" s="1"/>
      <c r="BEP2" s="1"/>
      <c r="BEQ2" s="1"/>
      <c r="BER2" s="1"/>
      <c r="BES2" s="1"/>
      <c r="BET2" s="1"/>
      <c r="BEU2" s="1"/>
      <c r="BEV2" s="1"/>
      <c r="BEW2" s="1"/>
      <c r="BEX2" s="1"/>
      <c r="BEY2" s="1"/>
      <c r="BEZ2" s="1"/>
      <c r="BFA2" s="1"/>
      <c r="BFB2" s="1"/>
      <c r="BFC2" s="1"/>
      <c r="BFD2" s="1"/>
      <c r="BFE2" s="1"/>
      <c r="BFF2" s="1"/>
      <c r="BFG2" s="1"/>
      <c r="BFH2" s="1"/>
      <c r="BFI2" s="1"/>
      <c r="BFJ2" s="1"/>
      <c r="BFK2" s="1"/>
      <c r="BFL2" s="1"/>
      <c r="BFM2" s="1"/>
      <c r="BFN2" s="1"/>
      <c r="BFO2" s="1"/>
      <c r="BFP2" s="1"/>
      <c r="BFQ2" s="1"/>
      <c r="BFR2" s="1"/>
      <c r="BFS2" s="1"/>
      <c r="BFT2" s="1"/>
      <c r="BFU2" s="1"/>
      <c r="BFV2" s="1"/>
      <c r="BFW2" s="1"/>
      <c r="BFX2" s="1"/>
      <c r="BFY2" s="1"/>
      <c r="BFZ2" s="1"/>
      <c r="BGA2" s="1"/>
      <c r="BGB2" s="1"/>
      <c r="BGC2" s="1"/>
      <c r="BGD2" s="1"/>
      <c r="BGE2" s="1"/>
      <c r="BGF2" s="1"/>
      <c r="BGG2" s="1"/>
      <c r="BGH2" s="1"/>
      <c r="BGI2" s="1"/>
      <c r="BGJ2" s="1"/>
      <c r="BGK2" s="1"/>
      <c r="BGL2" s="1"/>
      <c r="BGM2" s="1"/>
      <c r="BGN2" s="1"/>
      <c r="BGO2" s="1"/>
      <c r="BGP2" s="1"/>
      <c r="BGQ2" s="1"/>
      <c r="BGR2" s="1"/>
      <c r="BGS2" s="1"/>
      <c r="BGT2" s="1"/>
      <c r="BGU2" s="1"/>
      <c r="BGV2" s="1"/>
      <c r="BGW2" s="1"/>
      <c r="BGX2" s="1"/>
      <c r="BGY2" s="1"/>
      <c r="BGZ2" s="1"/>
      <c r="BHA2" s="1"/>
      <c r="BHB2" s="1"/>
      <c r="BHC2" s="1"/>
      <c r="BHD2" s="1"/>
      <c r="BHE2" s="1"/>
      <c r="BHF2" s="1"/>
      <c r="BHG2" s="1"/>
      <c r="BHH2" s="1"/>
      <c r="BHI2" s="1"/>
      <c r="BHJ2" s="1"/>
      <c r="BHK2" s="1"/>
      <c r="BHL2" s="1"/>
      <c r="BHM2" s="1"/>
      <c r="BHN2" s="1"/>
      <c r="BHO2" s="1"/>
      <c r="BHP2" s="1"/>
      <c r="BHQ2" s="1"/>
      <c r="BHR2" s="1"/>
      <c r="BHS2" s="1"/>
      <c r="BHT2" s="1"/>
      <c r="BHU2" s="1"/>
      <c r="BHV2" s="1"/>
      <c r="BHW2" s="1"/>
      <c r="BHX2" s="1"/>
      <c r="BHY2" s="1"/>
      <c r="BHZ2" s="1"/>
      <c r="BIA2" s="1"/>
      <c r="BIB2" s="1"/>
      <c r="BIC2" s="1"/>
      <c r="BID2" s="1"/>
      <c r="BIE2" s="1"/>
      <c r="BIF2" s="1"/>
      <c r="BIG2" s="1"/>
      <c r="BIH2" s="1"/>
      <c r="BII2" s="1"/>
      <c r="BIJ2" s="1"/>
      <c r="BIK2" s="1"/>
      <c r="BIL2" s="1"/>
      <c r="BIM2" s="1"/>
      <c r="BIN2" s="1"/>
      <c r="BIO2" s="1"/>
      <c r="BIP2" s="1"/>
      <c r="BIQ2" s="1"/>
      <c r="BIR2" s="1"/>
      <c r="BIS2" s="1"/>
      <c r="BIT2" s="1"/>
      <c r="BIU2" s="1"/>
      <c r="BIV2" s="1"/>
      <c r="BIW2" s="1"/>
      <c r="BIX2" s="1"/>
      <c r="BIY2" s="1"/>
      <c r="BIZ2" s="1"/>
      <c r="BJA2" s="1"/>
      <c r="BJB2" s="1"/>
      <c r="BJC2" s="1"/>
      <c r="BJD2" s="1"/>
      <c r="BJE2" s="1"/>
      <c r="BJF2" s="1"/>
      <c r="BJG2" s="1"/>
      <c r="BJH2" s="1"/>
      <c r="BJI2" s="1"/>
      <c r="BJJ2" s="1"/>
      <c r="BJK2" s="1"/>
      <c r="BJL2" s="1"/>
      <c r="BJM2" s="1"/>
      <c r="BJN2" s="1"/>
      <c r="BJO2" s="1"/>
      <c r="BJP2" s="1"/>
      <c r="BJQ2" s="1"/>
      <c r="BJR2" s="1"/>
      <c r="BJS2" s="1"/>
      <c r="BJT2" s="1"/>
      <c r="BJU2" s="1"/>
      <c r="BJV2" s="1"/>
      <c r="BJW2" s="1"/>
      <c r="BJX2" s="1"/>
      <c r="BJY2" s="1"/>
      <c r="BJZ2" s="1"/>
      <c r="BKA2" s="1"/>
      <c r="BKB2" s="1"/>
      <c r="BKC2" s="1"/>
      <c r="BKD2" s="1"/>
      <c r="BKE2" s="1"/>
      <c r="BKF2" s="1"/>
      <c r="BKG2" s="1"/>
      <c r="BKH2" s="1"/>
      <c r="BKI2" s="1"/>
      <c r="BKJ2" s="1"/>
      <c r="BKK2" s="1"/>
      <c r="BKL2" s="1"/>
      <c r="BKM2" s="1"/>
      <c r="BKN2" s="1"/>
      <c r="BKO2" s="1"/>
      <c r="BKP2" s="1"/>
      <c r="BKQ2" s="1"/>
      <c r="BKR2" s="1"/>
      <c r="BKS2" s="1"/>
      <c r="BKT2" s="1"/>
      <c r="BKU2" s="1"/>
      <c r="BKV2" s="1"/>
      <c r="BKW2" s="1"/>
      <c r="BKX2" s="1"/>
      <c r="BKY2" s="1"/>
      <c r="BKZ2" s="1"/>
      <c r="BLA2" s="1"/>
      <c r="BLB2" s="1"/>
      <c r="BLC2" s="1"/>
      <c r="BLD2" s="1"/>
      <c r="BLE2" s="1"/>
      <c r="BLF2" s="1"/>
      <c r="BLG2" s="1"/>
      <c r="BLH2" s="1"/>
      <c r="BLI2" s="1"/>
      <c r="BLJ2" s="1"/>
      <c r="BLK2" s="1"/>
      <c r="BLL2" s="1"/>
      <c r="BLM2" s="1"/>
      <c r="BLN2" s="1"/>
      <c r="BLO2" s="1"/>
      <c r="BLP2" s="1"/>
      <c r="BLQ2" s="1"/>
      <c r="BLR2" s="1"/>
      <c r="BLS2" s="1"/>
      <c r="BLT2" s="1"/>
      <c r="BLU2" s="1"/>
      <c r="BLV2" s="1"/>
      <c r="BLW2" s="1"/>
      <c r="BLX2" s="1"/>
      <c r="BLY2" s="1"/>
      <c r="BLZ2" s="1"/>
      <c r="BMA2" s="1"/>
      <c r="BMB2" s="1"/>
      <c r="BMC2" s="1"/>
      <c r="BMD2" s="1"/>
      <c r="BME2" s="1"/>
      <c r="BMF2" s="1"/>
      <c r="BMG2" s="1"/>
      <c r="BMH2" s="1"/>
      <c r="BMI2" s="1"/>
      <c r="BMJ2" s="1"/>
      <c r="BMK2" s="1"/>
      <c r="BML2" s="1"/>
      <c r="BMM2" s="1"/>
      <c r="BMN2" s="1"/>
      <c r="BMO2" s="1"/>
      <c r="BMP2" s="1"/>
      <c r="BMQ2" s="1"/>
      <c r="BMR2" s="1"/>
      <c r="BMS2" s="1"/>
      <c r="BMT2" s="1"/>
      <c r="BMU2" s="1"/>
      <c r="BMV2" s="1"/>
      <c r="BMW2" s="1"/>
      <c r="BMX2" s="1"/>
      <c r="BMY2" s="1"/>
      <c r="BMZ2" s="1"/>
      <c r="BNA2" s="1"/>
      <c r="BNB2" s="1"/>
      <c r="BNC2" s="1"/>
      <c r="BND2" s="1"/>
      <c r="BNE2" s="1"/>
      <c r="BNF2" s="1"/>
      <c r="BNG2" s="1"/>
      <c r="BNH2" s="1"/>
      <c r="BNI2" s="1"/>
      <c r="BNJ2" s="1"/>
      <c r="BNK2" s="1"/>
      <c r="BNL2" s="1"/>
      <c r="BNM2" s="1"/>
      <c r="BNN2" s="1"/>
      <c r="BNO2" s="1"/>
      <c r="BNP2" s="1"/>
      <c r="BNQ2" s="1"/>
      <c r="BNR2" s="1"/>
      <c r="BNS2" s="1"/>
      <c r="BNT2" s="1"/>
      <c r="BNU2" s="1"/>
      <c r="BNV2" s="1"/>
      <c r="BNW2" s="1"/>
      <c r="BNX2" s="1"/>
      <c r="BNY2" s="1"/>
      <c r="BNZ2" s="1"/>
      <c r="BOA2" s="1"/>
      <c r="BOB2" s="1"/>
      <c r="BOC2" s="1"/>
      <c r="BOD2" s="1"/>
      <c r="BOE2" s="1"/>
      <c r="BOF2" s="1"/>
      <c r="BOG2" s="1"/>
      <c r="BOH2" s="1"/>
      <c r="BOI2" s="1"/>
      <c r="BOJ2" s="1"/>
      <c r="BOK2" s="1"/>
      <c r="BOL2" s="1"/>
      <c r="BOM2" s="1"/>
      <c r="BON2" s="1"/>
      <c r="BOO2" s="1"/>
      <c r="BOP2" s="1"/>
      <c r="BOQ2" s="1"/>
      <c r="BOR2" s="1"/>
      <c r="BOS2" s="1"/>
      <c r="BOT2" s="1"/>
      <c r="BOU2" s="1"/>
      <c r="BOV2" s="1"/>
      <c r="BOW2" s="1"/>
      <c r="BOX2" s="1"/>
      <c r="BOY2" s="1"/>
      <c r="BOZ2" s="1"/>
      <c r="BPA2" s="1"/>
      <c r="BPB2" s="1"/>
      <c r="BPC2" s="1"/>
      <c r="BPD2" s="1"/>
      <c r="BPE2" s="1"/>
      <c r="BPF2" s="1"/>
      <c r="BPG2" s="1"/>
      <c r="BPH2" s="1"/>
      <c r="BPI2" s="1"/>
      <c r="BPJ2" s="1"/>
      <c r="BPK2" s="1"/>
      <c r="BPL2" s="1"/>
      <c r="BPM2" s="1"/>
      <c r="BPN2" s="1"/>
      <c r="BPO2" s="1"/>
      <c r="BPP2" s="1"/>
      <c r="BPQ2" s="1"/>
      <c r="BPR2" s="1"/>
      <c r="BPS2" s="1"/>
      <c r="BPT2" s="1"/>
      <c r="BPU2" s="1"/>
      <c r="BPV2" s="1"/>
      <c r="BPW2" s="1"/>
      <c r="BPX2" s="1"/>
      <c r="BPY2" s="1"/>
      <c r="BPZ2" s="1"/>
      <c r="BQA2" s="1"/>
      <c r="BQB2" s="1"/>
      <c r="BQC2" s="1"/>
      <c r="BQD2" s="1"/>
      <c r="BQE2" s="1"/>
      <c r="BQF2" s="1"/>
      <c r="BQG2" s="1"/>
      <c r="BQH2" s="1"/>
      <c r="BQI2" s="1"/>
      <c r="BQJ2" s="1"/>
      <c r="BQK2" s="1"/>
      <c r="BQL2" s="1"/>
      <c r="BQM2" s="1"/>
      <c r="BQN2" s="1"/>
      <c r="BQO2" s="1"/>
      <c r="BQP2" s="1"/>
      <c r="BQQ2" s="1"/>
      <c r="BQR2" s="1"/>
      <c r="BQS2" s="1"/>
      <c r="BQT2" s="1"/>
      <c r="BQU2" s="1"/>
      <c r="BQV2" s="1"/>
      <c r="BQW2" s="1"/>
      <c r="BQX2" s="1"/>
      <c r="BQY2" s="1"/>
      <c r="BQZ2" s="1"/>
      <c r="BRA2" s="1"/>
      <c r="BRB2" s="1"/>
      <c r="BRC2" s="1"/>
      <c r="BRD2" s="1"/>
      <c r="BRE2" s="1"/>
      <c r="BRF2" s="1"/>
      <c r="BRG2" s="1"/>
      <c r="BRH2" s="1"/>
      <c r="BRI2" s="1"/>
      <c r="BRJ2" s="1"/>
      <c r="BRK2" s="1"/>
      <c r="BRL2" s="1"/>
      <c r="BRM2" s="1"/>
      <c r="BRN2" s="1"/>
      <c r="BRO2" s="1"/>
      <c r="BRP2" s="1"/>
      <c r="BRQ2" s="1"/>
      <c r="BRR2" s="1"/>
      <c r="BRS2" s="1"/>
      <c r="BRT2" s="1"/>
      <c r="BRU2" s="1"/>
      <c r="BRV2" s="1"/>
      <c r="BRW2" s="1"/>
      <c r="BRX2" s="1"/>
      <c r="BRY2" s="1"/>
      <c r="BRZ2" s="1"/>
      <c r="BSA2" s="1"/>
      <c r="BSB2" s="1"/>
      <c r="BSC2" s="1"/>
      <c r="BSD2" s="1"/>
      <c r="BSE2" s="1"/>
      <c r="BSF2" s="1"/>
      <c r="BSG2" s="1"/>
      <c r="BSH2" s="1"/>
      <c r="BSI2" s="1"/>
      <c r="BSJ2" s="1"/>
      <c r="BSK2" s="1"/>
      <c r="BSL2" s="1"/>
      <c r="BSM2" s="1"/>
      <c r="BSN2" s="1"/>
      <c r="BSO2" s="1"/>
      <c r="BSP2" s="1"/>
      <c r="BSQ2" s="1"/>
      <c r="BSR2" s="1"/>
      <c r="BSS2" s="1"/>
      <c r="BST2" s="1"/>
      <c r="BSU2" s="1"/>
      <c r="BSV2" s="1"/>
      <c r="BSW2" s="1"/>
      <c r="BSX2" s="1"/>
      <c r="BSY2" s="1"/>
      <c r="BSZ2" s="1"/>
      <c r="BTA2" s="1"/>
      <c r="BTB2" s="1"/>
      <c r="BTC2" s="1"/>
      <c r="BTD2" s="1"/>
      <c r="BTE2" s="1"/>
      <c r="BTF2" s="1"/>
      <c r="BTG2" s="1"/>
      <c r="BTH2" s="1"/>
      <c r="BTI2" s="1"/>
      <c r="BTJ2" s="1"/>
      <c r="BTK2" s="1"/>
      <c r="BTL2" s="1"/>
      <c r="BTM2" s="1"/>
      <c r="BTN2" s="1"/>
      <c r="BTO2" s="1"/>
      <c r="BTP2" s="1"/>
      <c r="BTQ2" s="1"/>
      <c r="BTR2" s="1"/>
      <c r="BTS2" s="1"/>
      <c r="BTT2" s="1"/>
      <c r="BTU2" s="1"/>
      <c r="BTV2" s="1"/>
      <c r="BTW2" s="1"/>
      <c r="BTX2" s="1"/>
      <c r="BTY2" s="1"/>
      <c r="BTZ2" s="1"/>
      <c r="BUA2" s="1"/>
      <c r="BUB2" s="1"/>
      <c r="BUC2" s="1"/>
      <c r="BUD2" s="1"/>
      <c r="BUE2" s="1"/>
      <c r="BUF2" s="1"/>
      <c r="BUG2" s="1"/>
      <c r="BUH2" s="1"/>
      <c r="BUI2" s="1"/>
      <c r="BUJ2" s="1"/>
      <c r="BUK2" s="1"/>
      <c r="BUL2" s="1"/>
      <c r="BUM2" s="1"/>
      <c r="BUN2" s="1"/>
      <c r="BUO2" s="1"/>
      <c r="BUP2" s="1"/>
      <c r="BUQ2" s="1"/>
      <c r="BUR2" s="1"/>
      <c r="BUS2" s="1"/>
      <c r="BUT2" s="1"/>
      <c r="BUU2" s="1"/>
      <c r="BUV2" s="1"/>
      <c r="BUW2" s="1"/>
      <c r="BUX2" s="1"/>
      <c r="BUY2" s="1"/>
      <c r="BUZ2" s="1"/>
      <c r="BVA2" s="1"/>
      <c r="BVB2" s="1"/>
      <c r="BVC2" s="1"/>
      <c r="BVD2" s="1"/>
      <c r="BVE2" s="1"/>
      <c r="BVF2" s="1"/>
      <c r="BVG2" s="1"/>
      <c r="BVH2" s="1"/>
      <c r="BVI2" s="1"/>
      <c r="BVJ2" s="1"/>
      <c r="BVK2" s="1"/>
      <c r="BVL2" s="1"/>
      <c r="BVM2" s="1"/>
      <c r="BVN2" s="1"/>
      <c r="BVO2" s="1"/>
      <c r="BVP2" s="1"/>
      <c r="BVQ2" s="1"/>
      <c r="BVR2" s="1"/>
      <c r="BVS2" s="1"/>
      <c r="BVT2" s="1"/>
      <c r="BVU2" s="1"/>
      <c r="BVV2" s="1"/>
      <c r="BVW2" s="1"/>
      <c r="BVX2" s="1"/>
      <c r="BVY2" s="1"/>
      <c r="BVZ2" s="1"/>
      <c r="BWA2" s="1"/>
      <c r="BWB2" s="1"/>
      <c r="BWC2" s="1"/>
      <c r="BWD2" s="1"/>
      <c r="BWE2" s="1"/>
      <c r="BWF2" s="1"/>
      <c r="BWG2" s="1"/>
      <c r="BWH2" s="1"/>
      <c r="BWI2" s="1"/>
      <c r="BWJ2" s="1"/>
      <c r="BWK2" s="1"/>
      <c r="BWL2" s="1"/>
      <c r="BWM2" s="1"/>
      <c r="BWN2" s="1"/>
      <c r="BWO2" s="1"/>
      <c r="BWP2" s="1"/>
      <c r="BWQ2" s="1"/>
      <c r="BWR2" s="1"/>
      <c r="BWS2" s="1"/>
      <c r="BWT2" s="1"/>
      <c r="BWU2" s="1"/>
      <c r="BWV2" s="1"/>
      <c r="BWW2" s="1"/>
      <c r="BWX2" s="1"/>
      <c r="BWY2" s="1"/>
      <c r="BWZ2" s="1"/>
      <c r="BXA2" s="1"/>
      <c r="BXB2" s="1"/>
      <c r="BXC2" s="1"/>
      <c r="BXD2" s="1"/>
      <c r="BXE2" s="1"/>
      <c r="BXF2" s="1"/>
      <c r="BXG2" s="1"/>
      <c r="BXH2" s="1"/>
      <c r="BXI2" s="1"/>
      <c r="BXJ2" s="1"/>
      <c r="BXK2" s="1"/>
      <c r="BXL2" s="1"/>
      <c r="BXM2" s="1"/>
      <c r="BXN2" s="1"/>
      <c r="BXO2" s="1"/>
      <c r="BXP2" s="1"/>
      <c r="BXQ2" s="1"/>
      <c r="BXR2" s="1"/>
      <c r="BXS2" s="1"/>
      <c r="BXT2" s="1"/>
      <c r="BXU2" s="1"/>
      <c r="BXV2" s="1"/>
      <c r="BXW2" s="1"/>
      <c r="BXX2" s="1"/>
      <c r="BXY2" s="1"/>
      <c r="BXZ2" s="1"/>
      <c r="BYA2" s="1"/>
      <c r="BYB2" s="1"/>
      <c r="BYC2" s="1"/>
      <c r="BYD2" s="1"/>
      <c r="BYE2" s="1"/>
      <c r="BYF2" s="1"/>
      <c r="BYG2" s="1"/>
      <c r="BYH2" s="1"/>
      <c r="BYI2" s="1"/>
      <c r="BYJ2" s="1"/>
      <c r="BYK2" s="1"/>
      <c r="BYL2" s="1"/>
      <c r="BYM2" s="1"/>
      <c r="BYN2" s="1"/>
      <c r="BYO2" s="1"/>
      <c r="BYP2" s="1"/>
      <c r="BYQ2" s="1"/>
      <c r="BYR2" s="1"/>
      <c r="BYS2" s="1"/>
      <c r="BYT2" s="1"/>
      <c r="BYU2" s="1"/>
      <c r="BYV2" s="1"/>
      <c r="BYW2" s="1"/>
      <c r="BYX2" s="1"/>
      <c r="BYY2" s="1"/>
      <c r="BYZ2" s="1"/>
      <c r="BZA2" s="1"/>
      <c r="BZB2" s="1"/>
      <c r="BZC2" s="1"/>
      <c r="BZD2" s="1"/>
      <c r="BZE2" s="1"/>
      <c r="BZF2" s="1"/>
      <c r="BZG2" s="1"/>
      <c r="BZH2" s="1"/>
      <c r="BZI2" s="1"/>
      <c r="BZJ2" s="1"/>
      <c r="BZK2" s="1"/>
      <c r="BZL2" s="1"/>
      <c r="BZM2" s="1"/>
      <c r="BZN2" s="1"/>
      <c r="BZO2" s="1"/>
      <c r="BZP2" s="1"/>
      <c r="BZQ2" s="1"/>
      <c r="BZR2" s="1"/>
      <c r="BZS2" s="1"/>
      <c r="BZT2" s="1"/>
      <c r="BZU2" s="1"/>
      <c r="BZV2" s="1"/>
      <c r="BZW2" s="1"/>
      <c r="BZX2" s="1"/>
      <c r="BZY2" s="1"/>
      <c r="BZZ2" s="1"/>
      <c r="CAA2" s="1"/>
      <c r="CAB2" s="1"/>
      <c r="CAC2" s="1"/>
      <c r="CAD2" s="1"/>
      <c r="CAE2" s="1"/>
      <c r="CAF2" s="1"/>
      <c r="CAG2" s="1"/>
      <c r="CAH2" s="1"/>
      <c r="CAI2" s="1"/>
      <c r="CAJ2" s="1"/>
      <c r="CAK2" s="1"/>
      <c r="CAL2" s="1"/>
      <c r="CAM2" s="1"/>
      <c r="CAN2" s="1"/>
      <c r="CAO2" s="1"/>
      <c r="CAP2" s="1"/>
      <c r="CAQ2" s="1"/>
      <c r="CAR2" s="1"/>
      <c r="CAS2" s="1"/>
      <c r="CAT2" s="1"/>
      <c r="CAU2" s="1"/>
      <c r="CAV2" s="1"/>
      <c r="CAW2" s="1"/>
      <c r="CAX2" s="1"/>
      <c r="CAY2" s="1"/>
      <c r="CAZ2" s="1"/>
      <c r="CBA2" s="1"/>
      <c r="CBB2" s="1"/>
      <c r="CBC2" s="1"/>
      <c r="CBD2" s="1"/>
      <c r="CBE2" s="1"/>
      <c r="CBF2" s="1"/>
      <c r="CBG2" s="1"/>
      <c r="CBH2" s="1"/>
      <c r="CBI2" s="1"/>
      <c r="CBJ2" s="1"/>
      <c r="CBK2" s="1"/>
      <c r="CBL2" s="1"/>
      <c r="CBM2" s="1"/>
      <c r="CBN2" s="1"/>
      <c r="CBO2" s="1"/>
      <c r="CBP2" s="1"/>
      <c r="CBQ2" s="1"/>
      <c r="CBR2" s="1"/>
      <c r="CBS2" s="1"/>
      <c r="CBT2" s="1"/>
      <c r="CBU2" s="1"/>
      <c r="CBV2" s="1"/>
      <c r="CBW2" s="1"/>
      <c r="CBX2" s="1"/>
      <c r="CBY2" s="1"/>
      <c r="CBZ2" s="1"/>
      <c r="CCA2" s="1"/>
      <c r="CCB2" s="1"/>
      <c r="CCC2" s="1"/>
      <c r="CCD2" s="1"/>
      <c r="CCE2" s="1"/>
      <c r="CCF2" s="1"/>
      <c r="CCG2" s="1"/>
      <c r="CCH2" s="1"/>
      <c r="CCI2" s="1"/>
      <c r="CCJ2" s="1"/>
      <c r="CCK2" s="1"/>
      <c r="CCL2" s="1"/>
      <c r="CCM2" s="1"/>
      <c r="CCN2" s="1"/>
      <c r="CCO2" s="1"/>
      <c r="CCP2" s="1"/>
      <c r="CCQ2" s="1"/>
      <c r="CCR2" s="1"/>
      <c r="CCS2" s="1"/>
      <c r="CCT2" s="1"/>
      <c r="CCU2" s="1"/>
      <c r="CCV2" s="1"/>
      <c r="CCW2" s="1"/>
      <c r="CCX2" s="1"/>
      <c r="CCY2" s="1"/>
      <c r="CCZ2" s="1"/>
      <c r="CDA2" s="1"/>
      <c r="CDB2" s="1"/>
      <c r="CDC2" s="1"/>
      <c r="CDD2" s="1"/>
      <c r="CDE2" s="1"/>
      <c r="CDF2" s="1"/>
      <c r="CDG2" s="1"/>
      <c r="CDH2" s="1"/>
      <c r="CDI2" s="1"/>
      <c r="CDJ2" s="1"/>
      <c r="CDK2" s="1"/>
      <c r="CDL2" s="1"/>
      <c r="CDM2" s="1"/>
      <c r="CDN2" s="1"/>
      <c r="CDO2" s="1"/>
      <c r="CDP2" s="1"/>
      <c r="CDQ2" s="1"/>
      <c r="CDR2" s="1"/>
      <c r="CDS2" s="1"/>
      <c r="CDT2" s="1"/>
      <c r="CDU2" s="1"/>
      <c r="CDV2" s="1"/>
      <c r="CDW2" s="1"/>
      <c r="CDX2" s="1"/>
      <c r="CDY2" s="1"/>
      <c r="CDZ2" s="1"/>
      <c r="CEA2" s="1"/>
      <c r="CEB2" s="1"/>
      <c r="CEC2" s="1"/>
      <c r="CED2" s="1"/>
      <c r="CEE2" s="1"/>
      <c r="CEF2" s="1"/>
      <c r="CEG2" s="1"/>
      <c r="CEH2" s="1"/>
      <c r="CEI2" s="1"/>
      <c r="CEJ2" s="1"/>
      <c r="CEK2" s="1"/>
      <c r="CEL2" s="1"/>
      <c r="CEM2" s="1"/>
      <c r="CEN2" s="1"/>
      <c r="CEO2" s="1"/>
      <c r="CEP2" s="1"/>
      <c r="CEQ2" s="1"/>
      <c r="CER2" s="1"/>
      <c r="CES2" s="1"/>
      <c r="CET2" s="1"/>
      <c r="CEU2" s="1"/>
      <c r="CEV2" s="1"/>
      <c r="CEW2" s="1"/>
      <c r="CEX2" s="1"/>
      <c r="CEY2" s="1"/>
      <c r="CEZ2" s="1"/>
      <c r="CFA2" s="1"/>
      <c r="CFB2" s="1"/>
      <c r="CFC2" s="1"/>
      <c r="CFD2" s="1"/>
      <c r="CFE2" s="1"/>
      <c r="CFF2" s="1"/>
      <c r="CFG2" s="1"/>
      <c r="CFH2" s="1"/>
      <c r="CFI2" s="1"/>
      <c r="CFJ2" s="1"/>
      <c r="CFK2" s="1"/>
      <c r="CFL2" s="1"/>
      <c r="CFM2" s="1"/>
      <c r="CFN2" s="1"/>
      <c r="CFO2" s="1"/>
      <c r="CFP2" s="1"/>
      <c r="CFQ2" s="1"/>
      <c r="CFR2" s="1"/>
      <c r="CFS2" s="1"/>
      <c r="CFT2" s="1"/>
      <c r="CFU2" s="1"/>
      <c r="CFV2" s="1"/>
      <c r="CFW2" s="1"/>
      <c r="CFX2" s="1"/>
      <c r="CFY2" s="1"/>
      <c r="CFZ2" s="1"/>
      <c r="CGA2" s="1"/>
      <c r="CGB2" s="1"/>
      <c r="CGC2" s="1"/>
      <c r="CGD2" s="1"/>
      <c r="CGE2" s="1"/>
      <c r="CGF2" s="1"/>
      <c r="CGG2" s="1"/>
      <c r="CGH2" s="1"/>
      <c r="CGI2" s="1"/>
      <c r="CGJ2" s="1"/>
      <c r="CGK2" s="1"/>
      <c r="CGL2" s="1"/>
      <c r="CGM2" s="1"/>
      <c r="CGN2" s="1"/>
      <c r="CGO2" s="1"/>
      <c r="CGP2" s="1"/>
      <c r="CGQ2" s="1"/>
      <c r="CGR2" s="1"/>
      <c r="CGS2" s="1"/>
      <c r="CGT2" s="1"/>
      <c r="CGU2" s="1"/>
      <c r="CGV2" s="1"/>
      <c r="CGW2" s="1"/>
      <c r="CGX2" s="1"/>
      <c r="CGY2" s="1"/>
      <c r="CGZ2" s="1"/>
      <c r="CHA2" s="1"/>
      <c r="CHB2" s="1"/>
      <c r="CHC2" s="1"/>
      <c r="CHD2" s="1"/>
      <c r="CHE2" s="1"/>
      <c r="CHF2" s="1"/>
      <c r="CHG2" s="1"/>
      <c r="CHH2" s="1"/>
      <c r="CHI2" s="1"/>
      <c r="CHJ2" s="1"/>
      <c r="CHK2" s="1"/>
      <c r="CHL2" s="1"/>
      <c r="CHM2" s="1"/>
      <c r="CHN2" s="1"/>
      <c r="CHO2" s="1"/>
      <c r="CHP2" s="1"/>
      <c r="CHQ2" s="1"/>
      <c r="CHR2" s="1"/>
      <c r="CHS2" s="1"/>
      <c r="CHT2" s="1"/>
      <c r="CHU2" s="1"/>
      <c r="CHV2" s="1"/>
      <c r="CHW2" s="1"/>
      <c r="CHX2" s="1"/>
      <c r="CHY2" s="1"/>
      <c r="CHZ2" s="1"/>
      <c r="CIA2" s="1"/>
      <c r="CIB2" s="1"/>
      <c r="CIC2" s="1"/>
      <c r="CID2" s="1"/>
      <c r="CIE2" s="1"/>
      <c r="CIF2" s="1"/>
      <c r="CIG2" s="1"/>
      <c r="CIH2" s="1"/>
      <c r="CII2" s="1"/>
      <c r="CIJ2" s="1"/>
      <c r="CIK2" s="1"/>
      <c r="CIL2" s="1"/>
      <c r="CIM2" s="1"/>
      <c r="CIN2" s="1"/>
      <c r="CIO2" s="1"/>
      <c r="CIP2" s="1"/>
      <c r="CIQ2" s="1"/>
      <c r="CIR2" s="1"/>
      <c r="CIS2" s="1"/>
      <c r="CIT2" s="1"/>
      <c r="CIU2" s="1"/>
      <c r="CIV2" s="1"/>
      <c r="CIW2" s="1"/>
      <c r="CIX2" s="1"/>
      <c r="CIY2" s="1"/>
      <c r="CIZ2" s="1"/>
      <c r="CJA2" s="1"/>
      <c r="CJB2" s="1"/>
      <c r="CJC2" s="1"/>
      <c r="CJD2" s="1"/>
      <c r="CJE2" s="1"/>
      <c r="CJF2" s="1"/>
      <c r="CJG2" s="1"/>
      <c r="CJH2" s="1"/>
      <c r="CJI2" s="1"/>
      <c r="CJJ2" s="1"/>
      <c r="CJK2" s="1"/>
      <c r="CJL2" s="1"/>
      <c r="CJM2" s="1"/>
      <c r="CJN2" s="1"/>
      <c r="CJO2" s="1"/>
      <c r="CJP2" s="1"/>
      <c r="CJQ2" s="1"/>
      <c r="CJR2" s="1"/>
      <c r="CJS2" s="1"/>
      <c r="CJT2" s="1"/>
      <c r="CJU2" s="1"/>
      <c r="CJV2" s="1"/>
      <c r="CJW2" s="1"/>
      <c r="CJX2" s="1"/>
      <c r="CJY2" s="1"/>
      <c r="CJZ2" s="1"/>
      <c r="CKA2" s="1"/>
      <c r="CKB2" s="1"/>
      <c r="CKC2" s="1"/>
      <c r="CKD2" s="1"/>
      <c r="CKE2" s="1"/>
      <c r="CKF2" s="1"/>
      <c r="CKG2" s="1"/>
      <c r="CKH2" s="1"/>
      <c r="CKI2" s="1"/>
      <c r="CKJ2" s="1"/>
      <c r="CKK2" s="1"/>
      <c r="CKL2" s="1"/>
      <c r="CKM2" s="1"/>
      <c r="CKN2" s="1"/>
      <c r="CKO2" s="1"/>
      <c r="CKP2" s="1"/>
      <c r="CKQ2" s="1"/>
      <c r="CKR2" s="1"/>
      <c r="CKS2" s="1"/>
      <c r="CKT2" s="1"/>
      <c r="CKU2" s="1"/>
      <c r="CKV2" s="1"/>
      <c r="CKW2" s="1"/>
      <c r="CKX2" s="1"/>
      <c r="CKY2" s="1"/>
      <c r="CKZ2" s="1"/>
      <c r="CLA2" s="1"/>
      <c r="CLB2" s="1"/>
      <c r="CLC2" s="1"/>
      <c r="CLD2" s="1"/>
      <c r="CLE2" s="1"/>
      <c r="CLF2" s="1"/>
      <c r="CLG2" s="1"/>
      <c r="CLH2" s="1"/>
      <c r="CLI2" s="1"/>
      <c r="CLJ2" s="1"/>
      <c r="CLK2" s="1"/>
      <c r="CLL2" s="1"/>
      <c r="CLM2" s="1"/>
      <c r="CLN2" s="1"/>
      <c r="CLO2" s="1"/>
      <c r="CLP2" s="1"/>
      <c r="CLQ2" s="1"/>
      <c r="CLR2" s="1"/>
      <c r="CLS2" s="1"/>
      <c r="CLT2" s="1"/>
      <c r="CLU2" s="1"/>
      <c r="CLV2" s="1"/>
      <c r="CLW2" s="1"/>
      <c r="CLX2" s="1"/>
      <c r="CLY2" s="1"/>
      <c r="CLZ2" s="1"/>
      <c r="CMA2" s="1"/>
      <c r="CMB2" s="1"/>
      <c r="CMC2" s="1"/>
      <c r="CMD2" s="1"/>
      <c r="CME2" s="1"/>
      <c r="CMF2" s="1"/>
      <c r="CMG2" s="1"/>
      <c r="CMH2" s="1"/>
      <c r="CMI2" s="1"/>
      <c r="CMJ2" s="1"/>
      <c r="CMK2" s="1"/>
      <c r="CML2" s="1"/>
      <c r="CMM2" s="1"/>
      <c r="CMN2" s="1"/>
      <c r="CMO2" s="1"/>
      <c r="CMP2" s="1"/>
      <c r="CMQ2" s="1"/>
      <c r="CMR2" s="1"/>
      <c r="CMS2" s="1"/>
      <c r="CMT2" s="1"/>
      <c r="CMU2" s="1"/>
      <c r="CMV2" s="1"/>
      <c r="CMW2" s="1"/>
      <c r="CMX2" s="1"/>
      <c r="CMY2" s="1"/>
      <c r="CMZ2" s="1"/>
      <c r="CNA2" s="1"/>
      <c r="CNB2" s="1"/>
      <c r="CNC2" s="1"/>
      <c r="CND2" s="1"/>
      <c r="CNE2" s="1"/>
      <c r="CNF2" s="1"/>
      <c r="CNG2" s="1"/>
      <c r="CNH2" s="1"/>
      <c r="CNI2" s="1"/>
      <c r="CNJ2" s="1"/>
      <c r="CNK2" s="1"/>
      <c r="CNL2" s="1"/>
      <c r="CNM2" s="1"/>
      <c r="CNN2" s="1"/>
      <c r="CNO2" s="1"/>
      <c r="CNP2" s="1"/>
      <c r="CNQ2" s="1"/>
      <c r="CNR2" s="1"/>
      <c r="CNS2" s="1"/>
      <c r="CNT2" s="1"/>
      <c r="CNU2" s="1"/>
      <c r="CNV2" s="1"/>
      <c r="CNW2" s="1"/>
      <c r="CNX2" s="1"/>
      <c r="CNY2" s="1"/>
      <c r="CNZ2" s="1"/>
      <c r="COA2" s="1"/>
      <c r="COB2" s="1"/>
      <c r="COC2" s="1"/>
      <c r="COD2" s="1"/>
      <c r="COE2" s="1"/>
      <c r="COF2" s="1"/>
      <c r="COG2" s="1"/>
      <c r="COH2" s="1"/>
      <c r="COI2" s="1"/>
      <c r="COJ2" s="1"/>
      <c r="COK2" s="1"/>
      <c r="COL2" s="1"/>
      <c r="COM2" s="1"/>
      <c r="CON2" s="1"/>
      <c r="COO2" s="1"/>
      <c r="COP2" s="1"/>
      <c r="COQ2" s="1"/>
      <c r="COR2" s="1"/>
      <c r="COS2" s="1"/>
      <c r="COT2" s="1"/>
      <c r="COU2" s="1"/>
      <c r="COV2" s="1"/>
      <c r="COW2" s="1"/>
      <c r="COX2" s="1"/>
      <c r="COY2" s="1"/>
      <c r="COZ2" s="1"/>
      <c r="CPA2" s="1"/>
      <c r="CPB2" s="1"/>
      <c r="CPC2" s="1"/>
      <c r="CPD2" s="1"/>
      <c r="CPE2" s="1"/>
      <c r="CPF2" s="1"/>
      <c r="CPG2" s="1"/>
      <c r="CPH2" s="1"/>
      <c r="CPI2" s="1"/>
      <c r="CPJ2" s="1"/>
      <c r="CPK2" s="1"/>
      <c r="CPL2" s="1"/>
      <c r="CPM2" s="1"/>
      <c r="CPN2" s="1"/>
      <c r="CPO2" s="1"/>
      <c r="CPP2" s="1"/>
      <c r="CPQ2" s="1"/>
      <c r="CPR2" s="1"/>
      <c r="CPS2" s="1"/>
      <c r="CPT2" s="1"/>
      <c r="CPU2" s="1"/>
      <c r="CPV2" s="1"/>
      <c r="CPW2" s="1"/>
      <c r="CPX2" s="1"/>
      <c r="CPY2" s="1"/>
      <c r="CPZ2" s="1"/>
      <c r="CQA2" s="1"/>
      <c r="CQB2" s="1"/>
      <c r="CQC2" s="1"/>
      <c r="CQD2" s="1"/>
      <c r="CQE2" s="1"/>
      <c r="CQF2" s="1"/>
      <c r="CQG2" s="1"/>
      <c r="CQH2" s="1"/>
      <c r="CQI2" s="1"/>
      <c r="CQJ2" s="1"/>
      <c r="CQK2" s="1"/>
      <c r="CQL2" s="1"/>
      <c r="CQM2" s="1"/>
      <c r="CQN2" s="1"/>
      <c r="CQO2" s="1"/>
      <c r="CQP2" s="1"/>
      <c r="CQQ2" s="1"/>
      <c r="CQR2" s="1"/>
      <c r="CQS2" s="1"/>
      <c r="CQT2" s="1"/>
      <c r="CQU2" s="1"/>
      <c r="CQV2" s="1"/>
      <c r="CQW2" s="1"/>
      <c r="CQX2" s="1"/>
      <c r="CQY2" s="1"/>
      <c r="CQZ2" s="1"/>
      <c r="CRA2" s="1"/>
      <c r="CRB2" s="1"/>
      <c r="CRC2" s="1"/>
      <c r="CRD2" s="1"/>
      <c r="CRE2" s="1"/>
      <c r="CRF2" s="1"/>
      <c r="CRG2" s="1"/>
      <c r="CRH2" s="1"/>
      <c r="CRI2" s="1"/>
      <c r="CRJ2" s="1"/>
      <c r="CRK2" s="1"/>
      <c r="CRL2" s="1"/>
      <c r="CRM2" s="1"/>
      <c r="CRN2" s="1"/>
      <c r="CRO2" s="1"/>
      <c r="CRP2" s="1"/>
      <c r="CRQ2" s="1"/>
      <c r="CRR2" s="1"/>
      <c r="CRS2" s="1"/>
      <c r="CRT2" s="1"/>
      <c r="CRU2" s="1"/>
      <c r="CRV2" s="1"/>
      <c r="CRW2" s="1"/>
      <c r="CRX2" s="1"/>
      <c r="CRY2" s="1"/>
      <c r="CRZ2" s="1"/>
      <c r="CSA2" s="1"/>
      <c r="CSB2" s="1"/>
      <c r="CSC2" s="1"/>
      <c r="CSD2" s="1"/>
      <c r="CSE2" s="1"/>
      <c r="CSF2" s="1"/>
      <c r="CSG2" s="1"/>
      <c r="CSH2" s="1"/>
      <c r="CSI2" s="1"/>
      <c r="CSJ2" s="1"/>
      <c r="CSK2" s="1"/>
      <c r="CSL2" s="1"/>
      <c r="CSM2" s="1"/>
      <c r="CSN2" s="1"/>
      <c r="CSO2" s="1"/>
      <c r="CSP2" s="1"/>
      <c r="CSQ2" s="1"/>
      <c r="CSR2" s="1"/>
      <c r="CSS2" s="1"/>
      <c r="CST2" s="1"/>
      <c r="CSU2" s="1"/>
      <c r="CSV2" s="1"/>
      <c r="CSW2" s="1"/>
      <c r="CSX2" s="1"/>
      <c r="CSY2" s="1"/>
      <c r="CSZ2" s="1"/>
      <c r="CTA2" s="1"/>
      <c r="CTB2" s="1"/>
      <c r="CTC2" s="1"/>
      <c r="CTD2" s="1"/>
      <c r="CTE2" s="1"/>
      <c r="CTF2" s="1"/>
      <c r="CTG2" s="1"/>
      <c r="CTH2" s="1"/>
      <c r="CTI2" s="1"/>
      <c r="CTJ2" s="1"/>
      <c r="CTK2" s="1"/>
      <c r="CTL2" s="1"/>
      <c r="CTM2" s="1"/>
      <c r="CTN2" s="1"/>
      <c r="CTO2" s="1"/>
      <c r="CTP2" s="1"/>
      <c r="CTQ2" s="1"/>
      <c r="CTR2" s="1"/>
      <c r="CTS2" s="1"/>
      <c r="CTT2" s="1"/>
      <c r="CTU2" s="1"/>
      <c r="CTV2" s="1"/>
      <c r="CTW2" s="1"/>
      <c r="CTX2" s="1"/>
      <c r="CTY2" s="1"/>
      <c r="CTZ2" s="1"/>
      <c r="CUA2" s="1"/>
      <c r="CUB2" s="1"/>
      <c r="CUC2" s="1"/>
      <c r="CUD2" s="1"/>
      <c r="CUE2" s="1"/>
      <c r="CUF2" s="1"/>
      <c r="CUG2" s="1"/>
      <c r="CUH2" s="1"/>
      <c r="CUI2" s="1"/>
      <c r="CUJ2" s="1"/>
      <c r="CUK2" s="1"/>
      <c r="CUL2" s="1"/>
      <c r="CUM2" s="1"/>
      <c r="CUN2" s="1"/>
      <c r="CUO2" s="1"/>
      <c r="CUP2" s="1"/>
      <c r="CUQ2" s="1"/>
      <c r="CUR2" s="1"/>
      <c r="CUS2" s="1"/>
      <c r="CUT2" s="1"/>
      <c r="CUU2" s="1"/>
      <c r="CUV2" s="1"/>
      <c r="CUW2" s="1"/>
      <c r="CUX2" s="1"/>
      <c r="CUY2" s="1"/>
      <c r="CUZ2" s="1"/>
      <c r="CVA2" s="1"/>
      <c r="CVB2" s="1"/>
      <c r="CVC2" s="1"/>
      <c r="CVD2" s="1"/>
      <c r="CVE2" s="1"/>
      <c r="CVF2" s="1"/>
      <c r="CVG2" s="1"/>
      <c r="CVH2" s="1"/>
      <c r="CVI2" s="1"/>
      <c r="CVJ2" s="1"/>
      <c r="CVK2" s="1"/>
      <c r="CVL2" s="1"/>
      <c r="CVM2" s="1"/>
      <c r="CVN2" s="1"/>
      <c r="CVO2" s="1"/>
      <c r="CVP2" s="1"/>
      <c r="CVQ2" s="1"/>
      <c r="CVR2" s="1"/>
      <c r="CVS2" s="1"/>
      <c r="CVT2" s="1"/>
      <c r="CVU2" s="1"/>
      <c r="CVV2" s="1"/>
      <c r="CVW2" s="1"/>
      <c r="CVX2" s="1"/>
      <c r="CVY2" s="1"/>
      <c r="CVZ2" s="1"/>
      <c r="CWA2" s="1"/>
      <c r="CWB2" s="1"/>
      <c r="CWC2" s="1"/>
      <c r="CWD2" s="1"/>
      <c r="CWE2" s="1"/>
      <c r="CWF2" s="1"/>
      <c r="CWG2" s="1"/>
      <c r="CWH2" s="1"/>
      <c r="CWI2" s="1"/>
      <c r="CWJ2" s="1"/>
      <c r="CWK2" s="1"/>
      <c r="CWL2" s="1"/>
      <c r="CWM2" s="1"/>
      <c r="CWN2" s="1"/>
      <c r="CWO2" s="1"/>
      <c r="CWP2" s="1"/>
      <c r="CWQ2" s="1"/>
      <c r="CWR2" s="1"/>
      <c r="CWS2" s="1"/>
      <c r="CWT2" s="1"/>
      <c r="CWU2" s="1"/>
      <c r="CWV2" s="1"/>
      <c r="CWW2" s="1"/>
      <c r="CWX2" s="1"/>
      <c r="CWY2" s="1"/>
      <c r="CWZ2" s="1"/>
      <c r="CXA2" s="1"/>
      <c r="CXB2" s="1"/>
      <c r="CXC2" s="1"/>
      <c r="CXD2" s="1"/>
      <c r="CXE2" s="1"/>
      <c r="CXF2" s="1"/>
      <c r="CXG2" s="1"/>
      <c r="CXH2" s="1"/>
      <c r="CXI2" s="1"/>
      <c r="CXJ2" s="1"/>
      <c r="CXK2" s="1"/>
      <c r="CXL2" s="1"/>
      <c r="CXM2" s="1"/>
      <c r="CXN2" s="1"/>
      <c r="CXO2" s="1"/>
      <c r="CXP2" s="1"/>
      <c r="CXQ2" s="1"/>
      <c r="CXR2" s="1"/>
      <c r="CXS2" s="1"/>
      <c r="CXT2" s="1"/>
      <c r="CXU2" s="1"/>
      <c r="CXV2" s="1"/>
      <c r="CXW2" s="1"/>
      <c r="CXX2" s="1"/>
      <c r="CXY2" s="1"/>
      <c r="CXZ2" s="1"/>
      <c r="CYA2" s="1"/>
      <c r="CYB2" s="1"/>
      <c r="CYC2" s="1"/>
      <c r="CYD2" s="1"/>
      <c r="CYE2" s="1"/>
      <c r="CYF2" s="1"/>
      <c r="CYG2" s="1"/>
      <c r="CYH2" s="1"/>
      <c r="CYI2" s="1"/>
      <c r="CYJ2" s="1"/>
      <c r="CYK2" s="1"/>
      <c r="CYL2" s="1"/>
      <c r="CYM2" s="1"/>
      <c r="CYN2" s="1"/>
      <c r="CYO2" s="1"/>
      <c r="CYP2" s="1"/>
      <c r="CYQ2" s="1"/>
      <c r="CYR2" s="1"/>
      <c r="CYS2" s="1"/>
      <c r="CYT2" s="1"/>
      <c r="CYU2" s="1"/>
      <c r="CYV2" s="1"/>
      <c r="CYW2" s="1"/>
      <c r="CYX2" s="1"/>
      <c r="CYY2" s="1"/>
      <c r="CYZ2" s="1"/>
      <c r="CZA2" s="1"/>
      <c r="CZB2" s="1"/>
      <c r="CZC2" s="1"/>
      <c r="CZD2" s="1"/>
      <c r="CZE2" s="1"/>
      <c r="CZF2" s="1"/>
      <c r="CZG2" s="1"/>
      <c r="CZH2" s="1"/>
      <c r="CZI2" s="1"/>
      <c r="CZJ2" s="1"/>
      <c r="CZK2" s="1"/>
      <c r="CZL2" s="1"/>
      <c r="CZM2" s="1"/>
      <c r="CZN2" s="1"/>
      <c r="CZO2" s="1"/>
      <c r="CZP2" s="1"/>
      <c r="CZQ2" s="1"/>
      <c r="CZR2" s="1"/>
      <c r="CZS2" s="1"/>
      <c r="CZT2" s="1"/>
      <c r="CZU2" s="1"/>
      <c r="CZV2" s="1"/>
      <c r="CZW2" s="1"/>
      <c r="CZX2" s="1"/>
      <c r="CZY2" s="1"/>
      <c r="CZZ2" s="1"/>
      <c r="DAA2" s="1"/>
      <c r="DAB2" s="1"/>
      <c r="DAC2" s="1"/>
      <c r="DAD2" s="1"/>
      <c r="DAE2" s="1"/>
      <c r="DAF2" s="1"/>
      <c r="DAG2" s="1"/>
      <c r="DAH2" s="1"/>
      <c r="DAI2" s="1"/>
      <c r="DAJ2" s="1"/>
      <c r="DAK2" s="1"/>
      <c r="DAL2" s="1"/>
      <c r="DAM2" s="1"/>
      <c r="DAN2" s="1"/>
      <c r="DAO2" s="1"/>
      <c r="DAP2" s="1"/>
      <c r="DAQ2" s="1"/>
      <c r="DAR2" s="1"/>
      <c r="DAS2" s="1"/>
      <c r="DAT2" s="1"/>
      <c r="DAU2" s="1"/>
      <c r="DAV2" s="1"/>
      <c r="DAW2" s="1"/>
      <c r="DAX2" s="1"/>
      <c r="DAY2" s="1"/>
      <c r="DAZ2" s="1"/>
      <c r="DBA2" s="1"/>
      <c r="DBB2" s="1"/>
      <c r="DBC2" s="1"/>
      <c r="DBD2" s="1"/>
      <c r="DBE2" s="1"/>
      <c r="DBF2" s="1"/>
      <c r="DBG2" s="1"/>
      <c r="DBH2" s="1"/>
      <c r="DBI2" s="1"/>
      <c r="DBJ2" s="1"/>
      <c r="DBK2" s="1"/>
      <c r="DBL2" s="1"/>
      <c r="DBM2" s="1"/>
      <c r="DBN2" s="1"/>
      <c r="DBO2" s="1"/>
      <c r="DBP2" s="1"/>
      <c r="DBQ2" s="1"/>
      <c r="DBR2" s="1"/>
      <c r="DBS2" s="1"/>
      <c r="DBT2" s="1"/>
      <c r="DBU2" s="1"/>
      <c r="DBV2" s="1"/>
      <c r="DBW2" s="1"/>
      <c r="DBX2" s="1"/>
      <c r="DBY2" s="1"/>
      <c r="DBZ2" s="1"/>
      <c r="DCA2" s="1"/>
      <c r="DCB2" s="1"/>
      <c r="DCC2" s="1"/>
      <c r="DCD2" s="1"/>
      <c r="DCE2" s="1"/>
      <c r="DCF2" s="1"/>
      <c r="DCG2" s="1"/>
      <c r="DCH2" s="1"/>
      <c r="DCI2" s="1"/>
      <c r="DCJ2" s="1"/>
      <c r="DCK2" s="1"/>
      <c r="DCL2" s="1"/>
      <c r="DCM2" s="1"/>
      <c r="DCN2" s="1"/>
      <c r="DCO2" s="1"/>
      <c r="DCP2" s="1"/>
      <c r="DCQ2" s="1"/>
      <c r="DCR2" s="1"/>
      <c r="DCS2" s="1"/>
      <c r="DCT2" s="1"/>
      <c r="DCU2" s="1"/>
      <c r="DCV2" s="1"/>
      <c r="DCW2" s="1"/>
      <c r="DCX2" s="1"/>
      <c r="DCY2" s="1"/>
      <c r="DCZ2" s="1"/>
      <c r="DDA2" s="1"/>
      <c r="DDB2" s="1"/>
      <c r="DDC2" s="1"/>
      <c r="DDD2" s="1"/>
      <c r="DDE2" s="1"/>
      <c r="DDF2" s="1"/>
      <c r="DDG2" s="1"/>
      <c r="DDH2" s="1"/>
      <c r="DDI2" s="1"/>
      <c r="DDJ2" s="1"/>
      <c r="DDK2" s="1"/>
      <c r="DDL2" s="1"/>
      <c r="DDM2" s="1"/>
      <c r="DDN2" s="1"/>
      <c r="DDO2" s="1"/>
      <c r="DDP2" s="1"/>
      <c r="DDQ2" s="1"/>
      <c r="DDR2" s="1"/>
      <c r="DDS2" s="1"/>
      <c r="DDT2" s="1"/>
      <c r="DDU2" s="1"/>
      <c r="DDV2" s="1"/>
      <c r="DDW2" s="1"/>
      <c r="DDX2" s="1"/>
      <c r="DDY2" s="1"/>
      <c r="DDZ2" s="1"/>
      <c r="DEA2" s="1"/>
      <c r="DEB2" s="1"/>
      <c r="DEC2" s="1"/>
      <c r="DED2" s="1"/>
      <c r="DEE2" s="1"/>
      <c r="DEF2" s="1"/>
      <c r="DEG2" s="1"/>
      <c r="DEH2" s="1"/>
      <c r="DEI2" s="1"/>
      <c r="DEJ2" s="1"/>
      <c r="DEK2" s="1"/>
      <c r="DEL2" s="1"/>
      <c r="DEM2" s="1"/>
      <c r="DEN2" s="1"/>
      <c r="DEO2" s="1"/>
      <c r="DEP2" s="1"/>
      <c r="DEQ2" s="1"/>
      <c r="DER2" s="1"/>
      <c r="DES2" s="1"/>
      <c r="DET2" s="1"/>
      <c r="DEU2" s="1"/>
      <c r="DEV2" s="1"/>
      <c r="DEW2" s="1"/>
      <c r="DEX2" s="1"/>
      <c r="DEY2" s="1"/>
      <c r="DEZ2" s="1"/>
      <c r="DFA2" s="1"/>
      <c r="DFB2" s="1"/>
      <c r="DFC2" s="1"/>
      <c r="DFD2" s="1"/>
      <c r="DFE2" s="1"/>
      <c r="DFF2" s="1"/>
      <c r="DFG2" s="1"/>
      <c r="DFH2" s="1"/>
      <c r="DFI2" s="1"/>
      <c r="DFJ2" s="1"/>
      <c r="DFK2" s="1"/>
      <c r="DFL2" s="1"/>
      <c r="DFM2" s="1"/>
      <c r="DFN2" s="1"/>
      <c r="DFO2" s="1"/>
      <c r="DFP2" s="1"/>
      <c r="DFQ2" s="1"/>
      <c r="DFR2" s="1"/>
      <c r="DFS2" s="1"/>
      <c r="DFT2" s="1"/>
      <c r="DFU2" s="1"/>
      <c r="DFV2" s="1"/>
      <c r="DFW2" s="1"/>
      <c r="DFX2" s="1"/>
      <c r="DFY2" s="1"/>
      <c r="DFZ2" s="1"/>
      <c r="DGA2" s="1"/>
      <c r="DGB2" s="1"/>
      <c r="DGC2" s="1"/>
      <c r="DGD2" s="1"/>
      <c r="DGE2" s="1"/>
      <c r="DGF2" s="1"/>
      <c r="DGG2" s="1"/>
      <c r="DGH2" s="1"/>
      <c r="DGI2" s="1"/>
      <c r="DGJ2" s="1"/>
      <c r="DGK2" s="1"/>
      <c r="DGL2" s="1"/>
      <c r="DGM2" s="1"/>
      <c r="DGN2" s="1"/>
      <c r="DGO2" s="1"/>
      <c r="DGP2" s="1"/>
      <c r="DGQ2" s="1"/>
      <c r="DGR2" s="1"/>
      <c r="DGS2" s="1"/>
      <c r="DGT2" s="1"/>
      <c r="DGU2" s="1"/>
      <c r="DGV2" s="1"/>
      <c r="DGW2" s="1"/>
      <c r="DGX2" s="1"/>
      <c r="DGY2" s="1"/>
      <c r="DGZ2" s="1"/>
      <c r="DHA2" s="1"/>
      <c r="DHB2" s="1"/>
      <c r="DHC2" s="1"/>
      <c r="DHD2" s="1"/>
      <c r="DHE2" s="1"/>
      <c r="DHF2" s="1"/>
      <c r="DHG2" s="1"/>
      <c r="DHH2" s="1"/>
      <c r="DHI2" s="1"/>
      <c r="DHJ2" s="1"/>
      <c r="DHK2" s="1"/>
      <c r="DHL2" s="1"/>
      <c r="DHM2" s="1"/>
      <c r="DHN2" s="1"/>
      <c r="DHO2" s="1"/>
      <c r="DHP2" s="1"/>
      <c r="DHQ2" s="1"/>
      <c r="DHR2" s="1"/>
      <c r="DHS2" s="1"/>
      <c r="DHT2" s="1"/>
      <c r="DHU2" s="1"/>
      <c r="DHV2" s="1"/>
      <c r="DHW2" s="1"/>
      <c r="DHX2" s="1"/>
      <c r="DHY2" s="1"/>
      <c r="DHZ2" s="1"/>
      <c r="DIA2" s="1"/>
      <c r="DIB2" s="1"/>
      <c r="DIC2" s="1"/>
      <c r="DID2" s="1"/>
      <c r="DIE2" s="1"/>
      <c r="DIF2" s="1"/>
      <c r="DIG2" s="1"/>
      <c r="DIH2" s="1"/>
      <c r="DII2" s="1"/>
      <c r="DIJ2" s="1"/>
      <c r="DIK2" s="1"/>
      <c r="DIL2" s="1"/>
      <c r="DIM2" s="1"/>
      <c r="DIN2" s="1"/>
      <c r="DIO2" s="1"/>
      <c r="DIP2" s="1"/>
      <c r="DIQ2" s="1"/>
      <c r="DIR2" s="1"/>
      <c r="DIS2" s="1"/>
      <c r="DIT2" s="1"/>
      <c r="DIU2" s="1"/>
      <c r="DIV2" s="1"/>
      <c r="DIW2" s="1"/>
      <c r="DIX2" s="1"/>
      <c r="DIY2" s="1"/>
      <c r="DIZ2" s="1"/>
      <c r="DJA2" s="1"/>
      <c r="DJB2" s="1"/>
      <c r="DJC2" s="1"/>
      <c r="DJD2" s="1"/>
      <c r="DJE2" s="1"/>
      <c r="DJF2" s="1"/>
      <c r="DJG2" s="1"/>
      <c r="DJH2" s="1"/>
      <c r="DJI2" s="1"/>
      <c r="DJJ2" s="1"/>
      <c r="DJK2" s="1"/>
      <c r="DJL2" s="1"/>
      <c r="DJM2" s="1"/>
      <c r="DJN2" s="1"/>
      <c r="DJO2" s="1"/>
      <c r="DJP2" s="1"/>
      <c r="DJQ2" s="1"/>
      <c r="DJR2" s="1"/>
      <c r="DJS2" s="1"/>
      <c r="DJT2" s="1"/>
      <c r="DJU2" s="1"/>
      <c r="DJV2" s="1"/>
      <c r="DJW2" s="1"/>
      <c r="DJX2" s="1"/>
      <c r="DJY2" s="1"/>
      <c r="DJZ2" s="1"/>
      <c r="DKA2" s="1"/>
      <c r="DKB2" s="1"/>
      <c r="DKC2" s="1"/>
      <c r="DKD2" s="1"/>
      <c r="DKE2" s="1"/>
      <c r="DKF2" s="1"/>
      <c r="DKG2" s="1"/>
      <c r="DKH2" s="1"/>
      <c r="DKI2" s="1"/>
      <c r="DKJ2" s="1"/>
      <c r="DKK2" s="1"/>
      <c r="DKL2" s="1"/>
      <c r="DKM2" s="1"/>
      <c r="DKN2" s="1"/>
      <c r="DKO2" s="1"/>
      <c r="DKP2" s="1"/>
      <c r="DKQ2" s="1"/>
      <c r="DKR2" s="1"/>
      <c r="DKS2" s="1"/>
      <c r="DKT2" s="1"/>
      <c r="DKU2" s="1"/>
      <c r="DKV2" s="1"/>
      <c r="DKW2" s="1"/>
      <c r="DKX2" s="1"/>
      <c r="DKY2" s="1"/>
      <c r="DKZ2" s="1"/>
      <c r="DLA2" s="1"/>
      <c r="DLB2" s="1"/>
      <c r="DLC2" s="1"/>
      <c r="DLD2" s="1"/>
      <c r="DLE2" s="1"/>
      <c r="DLF2" s="1"/>
      <c r="DLG2" s="1"/>
      <c r="DLH2" s="1"/>
      <c r="DLI2" s="1"/>
      <c r="DLJ2" s="1"/>
      <c r="DLK2" s="1"/>
      <c r="DLL2" s="1"/>
      <c r="DLM2" s="1"/>
      <c r="DLN2" s="1"/>
      <c r="DLO2" s="1"/>
      <c r="DLP2" s="1"/>
      <c r="DLQ2" s="1"/>
      <c r="DLR2" s="1"/>
      <c r="DLS2" s="1"/>
      <c r="DLT2" s="1"/>
      <c r="DLU2" s="1"/>
      <c r="DLV2" s="1"/>
      <c r="DLW2" s="1"/>
      <c r="DLX2" s="1"/>
      <c r="DLY2" s="1"/>
      <c r="DLZ2" s="1"/>
      <c r="DMA2" s="1"/>
      <c r="DMB2" s="1"/>
      <c r="DMC2" s="1"/>
      <c r="DMD2" s="1"/>
      <c r="DME2" s="1"/>
      <c r="DMF2" s="1"/>
      <c r="DMG2" s="1"/>
      <c r="DMH2" s="1"/>
      <c r="DMI2" s="1"/>
      <c r="DMJ2" s="1"/>
      <c r="DMK2" s="1"/>
      <c r="DML2" s="1"/>
      <c r="DMM2" s="1"/>
      <c r="DMN2" s="1"/>
      <c r="DMO2" s="1"/>
      <c r="DMP2" s="1"/>
      <c r="DMQ2" s="1"/>
      <c r="DMR2" s="1"/>
      <c r="DMS2" s="1"/>
      <c r="DMT2" s="1"/>
      <c r="DMU2" s="1"/>
      <c r="DMV2" s="1"/>
      <c r="DMW2" s="1"/>
      <c r="DMX2" s="1"/>
      <c r="DMY2" s="1"/>
      <c r="DMZ2" s="1"/>
      <c r="DNA2" s="1"/>
      <c r="DNB2" s="1"/>
      <c r="DNC2" s="1"/>
      <c r="DND2" s="1"/>
      <c r="DNE2" s="1"/>
      <c r="DNF2" s="1"/>
      <c r="DNG2" s="1"/>
      <c r="DNH2" s="1"/>
      <c r="DNI2" s="1"/>
      <c r="DNJ2" s="1"/>
      <c r="DNK2" s="1"/>
      <c r="DNL2" s="1"/>
      <c r="DNM2" s="1"/>
      <c r="DNN2" s="1"/>
      <c r="DNO2" s="1"/>
      <c r="DNP2" s="1"/>
      <c r="DNQ2" s="1"/>
      <c r="DNR2" s="1"/>
      <c r="DNS2" s="1"/>
      <c r="DNT2" s="1"/>
      <c r="DNU2" s="1"/>
      <c r="DNV2" s="1"/>
      <c r="DNW2" s="1"/>
      <c r="DNX2" s="1"/>
      <c r="DNY2" s="1"/>
      <c r="DNZ2" s="1"/>
      <c r="DOA2" s="1"/>
      <c r="DOB2" s="1"/>
      <c r="DOC2" s="1"/>
      <c r="DOD2" s="1"/>
      <c r="DOE2" s="1"/>
      <c r="DOF2" s="1"/>
      <c r="DOG2" s="1"/>
      <c r="DOH2" s="1"/>
      <c r="DOI2" s="1"/>
      <c r="DOJ2" s="1"/>
      <c r="DOK2" s="1"/>
      <c r="DOL2" s="1"/>
      <c r="DOM2" s="1"/>
      <c r="DON2" s="1"/>
      <c r="DOO2" s="1"/>
      <c r="DOP2" s="1"/>
      <c r="DOQ2" s="1"/>
      <c r="DOR2" s="1"/>
      <c r="DOS2" s="1"/>
      <c r="DOT2" s="1"/>
      <c r="DOU2" s="1"/>
      <c r="DOV2" s="1"/>
      <c r="DOW2" s="1"/>
      <c r="DOX2" s="1"/>
      <c r="DOY2" s="1"/>
      <c r="DOZ2" s="1"/>
      <c r="DPA2" s="1"/>
      <c r="DPB2" s="1"/>
      <c r="DPC2" s="1"/>
      <c r="DPD2" s="1"/>
      <c r="DPE2" s="1"/>
      <c r="DPF2" s="1"/>
      <c r="DPG2" s="1"/>
      <c r="DPH2" s="1"/>
      <c r="DPI2" s="1"/>
      <c r="DPJ2" s="1"/>
      <c r="DPK2" s="1"/>
      <c r="DPL2" s="1"/>
      <c r="DPM2" s="1"/>
      <c r="DPN2" s="1"/>
      <c r="DPO2" s="1"/>
      <c r="DPP2" s="1"/>
      <c r="DPQ2" s="1"/>
      <c r="DPR2" s="1"/>
      <c r="DPS2" s="1"/>
      <c r="DPT2" s="1"/>
      <c r="DPU2" s="1"/>
      <c r="DPV2" s="1"/>
      <c r="DPW2" s="1"/>
      <c r="DPX2" s="1"/>
      <c r="DPY2" s="1"/>
      <c r="DPZ2" s="1"/>
      <c r="DQA2" s="1"/>
      <c r="DQB2" s="1"/>
      <c r="DQC2" s="1"/>
      <c r="DQD2" s="1"/>
      <c r="DQE2" s="1"/>
      <c r="DQF2" s="1"/>
      <c r="DQG2" s="1"/>
      <c r="DQH2" s="1"/>
      <c r="DQI2" s="1"/>
      <c r="DQJ2" s="1"/>
      <c r="DQK2" s="1"/>
      <c r="DQL2" s="1"/>
      <c r="DQM2" s="1"/>
      <c r="DQN2" s="1"/>
      <c r="DQO2" s="1"/>
      <c r="DQP2" s="1"/>
      <c r="DQQ2" s="1"/>
      <c r="DQR2" s="1"/>
      <c r="DQS2" s="1"/>
      <c r="DQT2" s="1"/>
      <c r="DQU2" s="1"/>
      <c r="DQV2" s="1"/>
      <c r="DQW2" s="1"/>
      <c r="DQX2" s="1"/>
      <c r="DQY2" s="1"/>
      <c r="DQZ2" s="1"/>
      <c r="DRA2" s="1"/>
      <c r="DRB2" s="1"/>
      <c r="DRC2" s="1"/>
      <c r="DRD2" s="1"/>
      <c r="DRE2" s="1"/>
      <c r="DRF2" s="1"/>
      <c r="DRG2" s="1"/>
      <c r="DRH2" s="1"/>
      <c r="DRI2" s="1"/>
      <c r="DRJ2" s="1"/>
      <c r="DRK2" s="1"/>
      <c r="DRL2" s="1"/>
      <c r="DRM2" s="1"/>
      <c r="DRN2" s="1"/>
      <c r="DRO2" s="1"/>
      <c r="DRP2" s="1"/>
      <c r="DRQ2" s="1"/>
      <c r="DRR2" s="1"/>
      <c r="DRS2" s="1"/>
      <c r="DRT2" s="1"/>
      <c r="DRU2" s="1"/>
      <c r="DRV2" s="1"/>
      <c r="DRW2" s="1"/>
      <c r="DRX2" s="1"/>
      <c r="DRY2" s="1"/>
      <c r="DRZ2" s="1"/>
      <c r="DSA2" s="1"/>
      <c r="DSB2" s="1"/>
      <c r="DSC2" s="1"/>
      <c r="DSD2" s="1"/>
      <c r="DSE2" s="1"/>
      <c r="DSF2" s="1"/>
      <c r="DSG2" s="1"/>
      <c r="DSH2" s="1"/>
      <c r="DSI2" s="1"/>
      <c r="DSJ2" s="1"/>
      <c r="DSK2" s="1"/>
      <c r="DSL2" s="1"/>
      <c r="DSM2" s="1"/>
      <c r="DSN2" s="1"/>
      <c r="DSO2" s="1"/>
      <c r="DSP2" s="1"/>
      <c r="DSQ2" s="1"/>
      <c r="DSR2" s="1"/>
      <c r="DSS2" s="1"/>
      <c r="DST2" s="1"/>
      <c r="DSU2" s="1"/>
      <c r="DSV2" s="1"/>
      <c r="DSW2" s="1"/>
      <c r="DSX2" s="1"/>
      <c r="DSY2" s="1"/>
      <c r="DSZ2" s="1"/>
      <c r="DTA2" s="1"/>
      <c r="DTB2" s="1"/>
      <c r="DTC2" s="1"/>
      <c r="DTD2" s="1"/>
      <c r="DTE2" s="1"/>
      <c r="DTF2" s="1"/>
      <c r="DTG2" s="1"/>
      <c r="DTH2" s="1"/>
      <c r="DTI2" s="1"/>
      <c r="DTJ2" s="1"/>
      <c r="DTK2" s="1"/>
      <c r="DTL2" s="1"/>
      <c r="DTM2" s="1"/>
      <c r="DTN2" s="1"/>
      <c r="DTO2" s="1"/>
      <c r="DTP2" s="1"/>
      <c r="DTQ2" s="1"/>
      <c r="DTR2" s="1"/>
      <c r="DTS2" s="1"/>
      <c r="DTT2" s="1"/>
      <c r="DTU2" s="1"/>
      <c r="DTV2" s="1"/>
      <c r="DTW2" s="1"/>
      <c r="DTX2" s="1"/>
      <c r="DTY2" s="1"/>
      <c r="DTZ2" s="1"/>
      <c r="DUA2" s="1"/>
      <c r="DUB2" s="1"/>
      <c r="DUC2" s="1"/>
      <c r="DUD2" s="1"/>
      <c r="DUE2" s="1"/>
      <c r="DUF2" s="1"/>
      <c r="DUG2" s="1"/>
      <c r="DUH2" s="1"/>
      <c r="DUI2" s="1"/>
      <c r="DUJ2" s="1"/>
      <c r="DUK2" s="1"/>
      <c r="DUL2" s="1"/>
      <c r="DUM2" s="1"/>
      <c r="DUN2" s="1"/>
      <c r="DUO2" s="1"/>
      <c r="DUP2" s="1"/>
      <c r="DUQ2" s="1"/>
      <c r="DUR2" s="1"/>
      <c r="DUS2" s="1"/>
      <c r="DUT2" s="1"/>
      <c r="DUU2" s="1"/>
      <c r="DUV2" s="1"/>
      <c r="DUW2" s="1"/>
      <c r="DUX2" s="1"/>
      <c r="DUY2" s="1"/>
      <c r="DUZ2" s="1"/>
      <c r="DVA2" s="1"/>
      <c r="DVB2" s="1"/>
      <c r="DVC2" s="1"/>
      <c r="DVD2" s="1"/>
      <c r="DVE2" s="1"/>
      <c r="DVF2" s="1"/>
      <c r="DVG2" s="1"/>
      <c r="DVH2" s="1"/>
      <c r="DVI2" s="1"/>
      <c r="DVJ2" s="1"/>
      <c r="DVK2" s="1"/>
      <c r="DVL2" s="1"/>
      <c r="DVM2" s="1"/>
      <c r="DVN2" s="1"/>
      <c r="DVO2" s="1"/>
      <c r="DVP2" s="1"/>
      <c r="DVQ2" s="1"/>
      <c r="DVR2" s="1"/>
      <c r="DVS2" s="1"/>
      <c r="DVT2" s="1"/>
      <c r="DVU2" s="1"/>
      <c r="DVV2" s="1"/>
      <c r="DVW2" s="1"/>
      <c r="DVX2" s="1"/>
      <c r="DVY2" s="1"/>
      <c r="DVZ2" s="1"/>
      <c r="DWA2" s="1"/>
      <c r="DWB2" s="1"/>
      <c r="DWC2" s="1"/>
      <c r="DWD2" s="1"/>
      <c r="DWE2" s="1"/>
      <c r="DWF2" s="1"/>
      <c r="DWG2" s="1"/>
      <c r="DWH2" s="1"/>
      <c r="DWI2" s="1"/>
      <c r="DWJ2" s="1"/>
      <c r="DWK2" s="1"/>
      <c r="DWL2" s="1"/>
      <c r="DWM2" s="1"/>
      <c r="DWN2" s="1"/>
      <c r="DWO2" s="1"/>
      <c r="DWP2" s="1"/>
      <c r="DWQ2" s="1"/>
      <c r="DWR2" s="1"/>
      <c r="DWS2" s="1"/>
      <c r="DWT2" s="1"/>
      <c r="DWU2" s="1"/>
      <c r="DWV2" s="1"/>
      <c r="DWW2" s="1"/>
      <c r="DWX2" s="1"/>
      <c r="DWY2" s="1"/>
      <c r="DWZ2" s="1"/>
      <c r="DXA2" s="1"/>
      <c r="DXB2" s="1"/>
      <c r="DXC2" s="1"/>
      <c r="DXD2" s="1"/>
      <c r="DXE2" s="1"/>
      <c r="DXF2" s="1"/>
      <c r="DXG2" s="1"/>
      <c r="DXH2" s="1"/>
      <c r="DXI2" s="1"/>
      <c r="DXJ2" s="1"/>
      <c r="DXK2" s="1"/>
      <c r="DXL2" s="1"/>
      <c r="DXM2" s="1"/>
      <c r="DXN2" s="1"/>
      <c r="DXO2" s="1"/>
      <c r="DXP2" s="1"/>
      <c r="DXQ2" s="1"/>
      <c r="DXR2" s="1"/>
      <c r="DXS2" s="1"/>
      <c r="DXT2" s="1"/>
      <c r="DXU2" s="1"/>
      <c r="DXV2" s="1"/>
      <c r="DXW2" s="1"/>
      <c r="DXX2" s="1"/>
      <c r="DXY2" s="1"/>
      <c r="DXZ2" s="1"/>
      <c r="DYA2" s="1"/>
      <c r="DYB2" s="1"/>
      <c r="DYC2" s="1"/>
      <c r="DYD2" s="1"/>
      <c r="DYE2" s="1"/>
      <c r="DYF2" s="1"/>
      <c r="DYG2" s="1"/>
      <c r="DYH2" s="1"/>
      <c r="DYI2" s="1"/>
      <c r="DYJ2" s="1"/>
      <c r="DYK2" s="1"/>
      <c r="DYL2" s="1"/>
      <c r="DYM2" s="1"/>
      <c r="DYN2" s="1"/>
      <c r="DYO2" s="1"/>
      <c r="DYP2" s="1"/>
      <c r="DYQ2" s="1"/>
      <c r="DYR2" s="1"/>
      <c r="DYS2" s="1"/>
      <c r="DYT2" s="1"/>
      <c r="DYU2" s="1"/>
      <c r="DYV2" s="1"/>
      <c r="DYW2" s="1"/>
      <c r="DYX2" s="1"/>
      <c r="DYY2" s="1"/>
      <c r="DYZ2" s="1"/>
      <c r="DZA2" s="1"/>
      <c r="DZB2" s="1"/>
      <c r="DZC2" s="1"/>
      <c r="DZD2" s="1"/>
      <c r="DZE2" s="1"/>
      <c r="DZF2" s="1"/>
      <c r="DZG2" s="1"/>
      <c r="DZH2" s="1"/>
      <c r="DZI2" s="1"/>
      <c r="DZJ2" s="1"/>
      <c r="DZK2" s="1"/>
      <c r="DZL2" s="1"/>
      <c r="DZM2" s="1"/>
      <c r="DZN2" s="1"/>
      <c r="DZO2" s="1"/>
      <c r="DZP2" s="1"/>
      <c r="DZQ2" s="1"/>
      <c r="DZR2" s="1"/>
      <c r="DZS2" s="1"/>
      <c r="DZT2" s="1"/>
      <c r="DZU2" s="1"/>
      <c r="DZV2" s="1"/>
      <c r="DZW2" s="1"/>
      <c r="DZX2" s="1"/>
      <c r="DZY2" s="1"/>
      <c r="DZZ2" s="1"/>
      <c r="EAA2" s="1"/>
      <c r="EAB2" s="1"/>
      <c r="EAC2" s="1"/>
      <c r="EAD2" s="1"/>
      <c r="EAE2" s="1"/>
      <c r="EAF2" s="1"/>
      <c r="EAG2" s="1"/>
      <c r="EAH2" s="1"/>
      <c r="EAI2" s="1"/>
      <c r="EAJ2" s="1"/>
      <c r="EAK2" s="1"/>
      <c r="EAL2" s="1"/>
      <c r="EAM2" s="1"/>
      <c r="EAN2" s="1"/>
      <c r="EAO2" s="1"/>
      <c r="EAP2" s="1"/>
      <c r="EAQ2" s="1"/>
      <c r="EAR2" s="1"/>
      <c r="EAS2" s="1"/>
      <c r="EAT2" s="1"/>
      <c r="EAU2" s="1"/>
      <c r="EAV2" s="1"/>
      <c r="EAW2" s="1"/>
      <c r="EAX2" s="1"/>
      <c r="EAY2" s="1"/>
      <c r="EAZ2" s="1"/>
      <c r="EBA2" s="1"/>
      <c r="EBB2" s="1"/>
      <c r="EBC2" s="1"/>
      <c r="EBD2" s="1"/>
      <c r="EBE2" s="1"/>
      <c r="EBF2" s="1"/>
      <c r="EBG2" s="1"/>
      <c r="EBH2" s="1"/>
      <c r="EBI2" s="1"/>
      <c r="EBJ2" s="1"/>
      <c r="EBK2" s="1"/>
      <c r="EBL2" s="1"/>
      <c r="EBM2" s="1"/>
      <c r="EBN2" s="1"/>
      <c r="EBO2" s="1"/>
      <c r="EBP2" s="1"/>
      <c r="EBQ2" s="1"/>
      <c r="EBR2" s="1"/>
      <c r="EBS2" s="1"/>
      <c r="EBT2" s="1"/>
      <c r="EBU2" s="1"/>
      <c r="EBV2" s="1"/>
      <c r="EBW2" s="1"/>
      <c r="EBX2" s="1"/>
      <c r="EBY2" s="1"/>
      <c r="EBZ2" s="1"/>
      <c r="ECA2" s="1"/>
      <c r="ECB2" s="1"/>
      <c r="ECC2" s="1"/>
      <c r="ECD2" s="1"/>
      <c r="ECE2" s="1"/>
      <c r="ECF2" s="1"/>
      <c r="ECG2" s="1"/>
      <c r="ECH2" s="1"/>
      <c r="ECI2" s="1"/>
      <c r="ECJ2" s="1"/>
      <c r="ECK2" s="1"/>
      <c r="ECL2" s="1"/>
      <c r="ECM2" s="1"/>
      <c r="ECN2" s="1"/>
      <c r="ECO2" s="1"/>
      <c r="ECP2" s="1"/>
      <c r="ECQ2" s="1"/>
      <c r="ECR2" s="1"/>
      <c r="ECS2" s="1"/>
      <c r="ECT2" s="1"/>
      <c r="ECU2" s="1"/>
      <c r="ECV2" s="1"/>
      <c r="ECW2" s="1"/>
      <c r="ECX2" s="1"/>
      <c r="ECY2" s="1"/>
      <c r="ECZ2" s="1"/>
      <c r="EDA2" s="1"/>
      <c r="EDB2" s="1"/>
      <c r="EDC2" s="1"/>
      <c r="EDD2" s="1"/>
      <c r="EDE2" s="1"/>
      <c r="EDF2" s="1"/>
      <c r="EDG2" s="1"/>
      <c r="EDH2" s="1"/>
      <c r="EDI2" s="1"/>
      <c r="EDJ2" s="1"/>
      <c r="EDK2" s="1"/>
      <c r="EDL2" s="1"/>
      <c r="EDM2" s="1"/>
      <c r="EDN2" s="1"/>
      <c r="EDO2" s="1"/>
      <c r="EDP2" s="1"/>
      <c r="EDQ2" s="1"/>
      <c r="EDR2" s="1"/>
      <c r="EDS2" s="1"/>
      <c r="EDT2" s="1"/>
      <c r="EDU2" s="1"/>
      <c r="EDV2" s="1"/>
      <c r="EDW2" s="1"/>
      <c r="EDX2" s="1"/>
      <c r="EDY2" s="1"/>
      <c r="EDZ2" s="1"/>
      <c r="EEA2" s="1"/>
      <c r="EEB2" s="1"/>
      <c r="EEC2" s="1"/>
      <c r="EED2" s="1"/>
      <c r="EEE2" s="1"/>
      <c r="EEF2" s="1"/>
      <c r="EEG2" s="1"/>
      <c r="EEH2" s="1"/>
      <c r="EEI2" s="1"/>
      <c r="EEJ2" s="1"/>
      <c r="EEK2" s="1"/>
      <c r="EEL2" s="1"/>
      <c r="EEM2" s="1"/>
      <c r="EEN2" s="1"/>
      <c r="EEO2" s="1"/>
      <c r="EEP2" s="1"/>
      <c r="EEQ2" s="1"/>
      <c r="EER2" s="1"/>
      <c r="EES2" s="1"/>
      <c r="EET2" s="1"/>
      <c r="EEU2" s="1"/>
      <c r="EEV2" s="1"/>
      <c r="EEW2" s="1"/>
      <c r="EEX2" s="1"/>
      <c r="EEY2" s="1"/>
      <c r="EEZ2" s="1"/>
      <c r="EFA2" s="1"/>
      <c r="EFB2" s="1"/>
      <c r="EFC2" s="1"/>
      <c r="EFD2" s="1"/>
      <c r="EFE2" s="1"/>
      <c r="EFF2" s="1"/>
      <c r="EFG2" s="1"/>
      <c r="EFH2" s="1"/>
      <c r="EFI2" s="1"/>
      <c r="EFJ2" s="1"/>
      <c r="EFK2" s="1"/>
      <c r="EFL2" s="1"/>
      <c r="EFM2" s="1"/>
      <c r="EFN2" s="1"/>
      <c r="EFO2" s="1"/>
      <c r="EFP2" s="1"/>
      <c r="EFQ2" s="1"/>
      <c r="EFR2" s="1"/>
      <c r="EFS2" s="1"/>
      <c r="EFT2" s="1"/>
      <c r="EFU2" s="1"/>
      <c r="EFV2" s="1"/>
      <c r="EFW2" s="1"/>
      <c r="EFX2" s="1"/>
      <c r="EFY2" s="1"/>
      <c r="EFZ2" s="1"/>
      <c r="EGA2" s="1"/>
      <c r="EGB2" s="1"/>
      <c r="EGC2" s="1"/>
      <c r="EGD2" s="1"/>
      <c r="EGE2" s="1"/>
      <c r="EGF2" s="1"/>
      <c r="EGG2" s="1"/>
      <c r="EGH2" s="1"/>
      <c r="EGI2" s="1"/>
      <c r="EGJ2" s="1"/>
      <c r="EGK2" s="1"/>
      <c r="EGL2" s="1"/>
      <c r="EGM2" s="1"/>
      <c r="EGN2" s="1"/>
      <c r="EGO2" s="1"/>
      <c r="EGP2" s="1"/>
      <c r="EGQ2" s="1"/>
      <c r="EGR2" s="1"/>
      <c r="EGS2" s="1"/>
      <c r="EGT2" s="1"/>
      <c r="EGU2" s="1"/>
      <c r="EGV2" s="1"/>
      <c r="EGW2" s="1"/>
      <c r="EGX2" s="1"/>
      <c r="EGY2" s="1"/>
      <c r="EGZ2" s="1"/>
      <c r="EHA2" s="1"/>
      <c r="EHB2" s="1"/>
      <c r="EHC2" s="1"/>
      <c r="EHD2" s="1"/>
      <c r="EHE2" s="1"/>
      <c r="EHF2" s="1"/>
      <c r="EHG2" s="1"/>
      <c r="EHH2" s="1"/>
      <c r="EHI2" s="1"/>
      <c r="EHJ2" s="1"/>
      <c r="EHK2" s="1"/>
      <c r="EHL2" s="1"/>
      <c r="EHM2" s="1"/>
      <c r="EHN2" s="1"/>
      <c r="EHO2" s="1"/>
      <c r="EHP2" s="1"/>
      <c r="EHQ2" s="1"/>
      <c r="EHR2" s="1"/>
      <c r="EHS2" s="1"/>
      <c r="EHT2" s="1"/>
      <c r="EHU2" s="1"/>
      <c r="EHV2" s="1"/>
      <c r="EHW2" s="1"/>
      <c r="EHX2" s="1"/>
      <c r="EHY2" s="1"/>
      <c r="EHZ2" s="1"/>
      <c r="EIA2" s="1"/>
      <c r="EIB2" s="1"/>
      <c r="EIC2" s="1"/>
      <c r="EID2" s="1"/>
      <c r="EIE2" s="1"/>
      <c r="EIF2" s="1"/>
      <c r="EIG2" s="1"/>
      <c r="EIH2" s="1"/>
      <c r="EII2" s="1"/>
      <c r="EIJ2" s="1"/>
      <c r="EIK2" s="1"/>
      <c r="EIL2" s="1"/>
      <c r="EIM2" s="1"/>
      <c r="EIN2" s="1"/>
      <c r="EIO2" s="1"/>
      <c r="EIP2" s="1"/>
      <c r="EIQ2" s="1"/>
      <c r="EIR2" s="1"/>
      <c r="EIS2" s="1"/>
      <c r="EIT2" s="1"/>
      <c r="EIU2" s="1"/>
      <c r="EIV2" s="1"/>
      <c r="EIW2" s="1"/>
      <c r="EIX2" s="1"/>
      <c r="EIY2" s="1"/>
      <c r="EIZ2" s="1"/>
      <c r="EJA2" s="1"/>
      <c r="EJB2" s="1"/>
      <c r="EJC2" s="1"/>
      <c r="EJD2" s="1"/>
      <c r="EJE2" s="1"/>
      <c r="EJF2" s="1"/>
      <c r="EJG2" s="1"/>
      <c r="EJH2" s="1"/>
      <c r="EJI2" s="1"/>
      <c r="EJJ2" s="1"/>
      <c r="EJK2" s="1"/>
      <c r="EJL2" s="1"/>
      <c r="EJM2" s="1"/>
      <c r="EJN2" s="1"/>
      <c r="EJO2" s="1"/>
      <c r="EJP2" s="1"/>
      <c r="EJQ2" s="1"/>
      <c r="EJR2" s="1"/>
      <c r="EJS2" s="1"/>
      <c r="EJT2" s="1"/>
      <c r="EJU2" s="1"/>
      <c r="EJV2" s="1"/>
      <c r="EJW2" s="1"/>
      <c r="EJX2" s="1"/>
      <c r="EJY2" s="1"/>
      <c r="EJZ2" s="1"/>
      <c r="EKA2" s="1"/>
      <c r="EKB2" s="1"/>
      <c r="EKC2" s="1"/>
      <c r="EKD2" s="1"/>
      <c r="EKE2" s="1"/>
      <c r="EKF2" s="1"/>
      <c r="EKG2" s="1"/>
      <c r="EKH2" s="1"/>
      <c r="EKI2" s="1"/>
      <c r="EKJ2" s="1"/>
      <c r="EKK2" s="1"/>
      <c r="EKL2" s="1"/>
      <c r="EKM2" s="1"/>
      <c r="EKN2" s="1"/>
      <c r="EKO2" s="1"/>
      <c r="EKP2" s="1"/>
      <c r="EKQ2" s="1"/>
      <c r="EKR2" s="1"/>
      <c r="EKS2" s="1"/>
      <c r="EKT2" s="1"/>
      <c r="EKU2" s="1"/>
      <c r="EKV2" s="1"/>
      <c r="EKW2" s="1"/>
      <c r="EKX2" s="1"/>
      <c r="EKY2" s="1"/>
      <c r="EKZ2" s="1"/>
      <c r="ELA2" s="1"/>
      <c r="ELB2" s="1"/>
      <c r="ELC2" s="1"/>
      <c r="ELD2" s="1"/>
      <c r="ELE2" s="1"/>
      <c r="ELF2" s="1"/>
      <c r="ELG2" s="1"/>
      <c r="ELH2" s="1"/>
      <c r="ELI2" s="1"/>
      <c r="ELJ2" s="1"/>
      <c r="ELK2" s="1"/>
      <c r="ELL2" s="1"/>
      <c r="ELM2" s="1"/>
      <c r="ELN2" s="1"/>
      <c r="ELO2" s="1"/>
      <c r="ELP2" s="1"/>
      <c r="ELQ2" s="1"/>
      <c r="ELR2" s="1"/>
      <c r="ELS2" s="1"/>
      <c r="ELT2" s="1"/>
      <c r="ELU2" s="1"/>
      <c r="ELV2" s="1"/>
      <c r="ELW2" s="1"/>
      <c r="ELX2" s="1"/>
      <c r="ELY2" s="1"/>
      <c r="ELZ2" s="1"/>
      <c r="EMA2" s="1"/>
      <c r="EMB2" s="1"/>
      <c r="EMC2" s="1"/>
      <c r="EMD2" s="1"/>
      <c r="EME2" s="1"/>
      <c r="EMF2" s="1"/>
      <c r="EMG2" s="1"/>
      <c r="EMH2" s="1"/>
      <c r="EMI2" s="1"/>
      <c r="EMJ2" s="1"/>
      <c r="EMK2" s="1"/>
      <c r="EML2" s="1"/>
      <c r="EMM2" s="1"/>
      <c r="EMN2" s="1"/>
      <c r="EMO2" s="1"/>
      <c r="EMP2" s="1"/>
      <c r="EMQ2" s="1"/>
      <c r="EMR2" s="1"/>
      <c r="EMS2" s="1"/>
      <c r="EMT2" s="1"/>
      <c r="EMU2" s="1"/>
      <c r="EMV2" s="1"/>
      <c r="EMW2" s="1"/>
      <c r="EMX2" s="1"/>
      <c r="EMY2" s="1"/>
      <c r="EMZ2" s="1"/>
      <c r="ENA2" s="1"/>
      <c r="ENB2" s="1"/>
      <c r="ENC2" s="1"/>
      <c r="END2" s="1"/>
      <c r="ENE2" s="1"/>
      <c r="ENF2" s="1"/>
      <c r="ENG2" s="1"/>
      <c r="ENH2" s="1"/>
      <c r="ENI2" s="1"/>
      <c r="ENJ2" s="1"/>
      <c r="ENK2" s="1"/>
      <c r="ENL2" s="1"/>
      <c r="ENM2" s="1"/>
      <c r="ENN2" s="1"/>
      <c r="ENO2" s="1"/>
      <c r="ENP2" s="1"/>
      <c r="ENQ2" s="1"/>
      <c r="ENR2" s="1"/>
      <c r="ENS2" s="1"/>
      <c r="ENT2" s="1"/>
      <c r="ENU2" s="1"/>
      <c r="ENV2" s="1"/>
      <c r="ENW2" s="1"/>
      <c r="ENX2" s="1"/>
      <c r="ENY2" s="1"/>
      <c r="ENZ2" s="1"/>
      <c r="EOA2" s="1"/>
      <c r="EOB2" s="1"/>
      <c r="EOC2" s="1"/>
      <c r="EOD2" s="1"/>
      <c r="EOE2" s="1"/>
      <c r="EOF2" s="1"/>
      <c r="EOG2" s="1"/>
      <c r="EOH2" s="1"/>
      <c r="EOI2" s="1"/>
      <c r="EOJ2" s="1"/>
      <c r="EOK2" s="1"/>
      <c r="EOL2" s="1"/>
      <c r="EOM2" s="1"/>
      <c r="EON2" s="1"/>
      <c r="EOO2" s="1"/>
      <c r="EOP2" s="1"/>
      <c r="EOQ2" s="1"/>
      <c r="EOR2" s="1"/>
      <c r="EOS2" s="1"/>
      <c r="EOT2" s="1"/>
      <c r="EOU2" s="1"/>
      <c r="EOV2" s="1"/>
      <c r="EOW2" s="1"/>
      <c r="EOX2" s="1"/>
      <c r="EOY2" s="1"/>
      <c r="EOZ2" s="1"/>
      <c r="EPA2" s="1"/>
      <c r="EPB2" s="1"/>
      <c r="EPC2" s="1"/>
      <c r="EPD2" s="1"/>
      <c r="EPE2" s="1"/>
      <c r="EPF2" s="1"/>
      <c r="EPG2" s="1"/>
      <c r="EPH2" s="1"/>
      <c r="EPI2" s="1"/>
      <c r="EPJ2" s="1"/>
      <c r="EPK2" s="1"/>
      <c r="EPL2" s="1"/>
      <c r="EPM2" s="1"/>
      <c r="EPN2" s="1"/>
      <c r="EPO2" s="1"/>
      <c r="EPP2" s="1"/>
      <c r="EPQ2" s="1"/>
      <c r="EPR2" s="1"/>
      <c r="EPS2" s="1"/>
      <c r="EPT2" s="1"/>
      <c r="EPU2" s="1"/>
      <c r="EPV2" s="1"/>
      <c r="EPW2" s="1"/>
      <c r="EPX2" s="1"/>
      <c r="EPY2" s="1"/>
      <c r="EPZ2" s="1"/>
      <c r="EQA2" s="1"/>
      <c r="EQB2" s="1"/>
      <c r="EQC2" s="1"/>
      <c r="EQD2" s="1"/>
      <c r="EQE2" s="1"/>
      <c r="EQF2" s="1"/>
      <c r="EQG2" s="1"/>
      <c r="EQH2" s="1"/>
      <c r="EQI2" s="1"/>
      <c r="EQJ2" s="1"/>
      <c r="EQK2" s="1"/>
      <c r="EQL2" s="1"/>
      <c r="EQM2" s="1"/>
      <c r="EQN2" s="1"/>
      <c r="EQO2" s="1"/>
      <c r="EQP2" s="1"/>
      <c r="EQQ2" s="1"/>
      <c r="EQR2" s="1"/>
      <c r="EQS2" s="1"/>
      <c r="EQT2" s="1"/>
      <c r="EQU2" s="1"/>
      <c r="EQV2" s="1"/>
      <c r="EQW2" s="1"/>
      <c r="EQX2" s="1"/>
      <c r="EQY2" s="1"/>
      <c r="EQZ2" s="1"/>
      <c r="ERA2" s="1"/>
      <c r="ERB2" s="1"/>
      <c r="ERC2" s="1"/>
      <c r="ERD2" s="1"/>
      <c r="ERE2" s="1"/>
      <c r="ERF2" s="1"/>
      <c r="ERG2" s="1"/>
      <c r="ERH2" s="1"/>
      <c r="ERI2" s="1"/>
      <c r="ERJ2" s="1"/>
      <c r="ERK2" s="1"/>
      <c r="ERL2" s="1"/>
      <c r="ERM2" s="1"/>
      <c r="ERN2" s="1"/>
      <c r="ERO2" s="1"/>
      <c r="ERP2" s="1"/>
      <c r="ERQ2" s="1"/>
      <c r="ERR2" s="1"/>
      <c r="ERS2" s="1"/>
      <c r="ERT2" s="1"/>
      <c r="ERU2" s="1"/>
      <c r="ERV2" s="1"/>
      <c r="ERW2" s="1"/>
      <c r="ERX2" s="1"/>
      <c r="ERY2" s="1"/>
      <c r="ERZ2" s="1"/>
      <c r="ESA2" s="1"/>
      <c r="ESB2" s="1"/>
      <c r="ESC2" s="1"/>
      <c r="ESD2" s="1"/>
      <c r="ESE2" s="1"/>
      <c r="ESF2" s="1"/>
      <c r="ESG2" s="1"/>
      <c r="ESH2" s="1"/>
      <c r="ESI2" s="1"/>
      <c r="ESJ2" s="1"/>
      <c r="ESK2" s="1"/>
      <c r="ESL2" s="1"/>
      <c r="ESM2" s="1"/>
      <c r="ESN2" s="1"/>
      <c r="ESO2" s="1"/>
      <c r="ESP2" s="1"/>
      <c r="ESQ2" s="1"/>
      <c r="ESR2" s="1"/>
      <c r="ESS2" s="1"/>
      <c r="EST2" s="1"/>
      <c r="ESU2" s="1"/>
      <c r="ESV2" s="1"/>
      <c r="ESW2" s="1"/>
      <c r="ESX2" s="1"/>
      <c r="ESY2" s="1"/>
      <c r="ESZ2" s="1"/>
      <c r="ETA2" s="1"/>
      <c r="ETB2" s="1"/>
      <c r="ETC2" s="1"/>
      <c r="ETD2" s="1"/>
      <c r="ETE2" s="1"/>
      <c r="ETF2" s="1"/>
      <c r="ETG2" s="1"/>
      <c r="ETH2" s="1"/>
      <c r="ETI2" s="1"/>
      <c r="ETJ2" s="1"/>
      <c r="ETK2" s="1"/>
      <c r="ETL2" s="1"/>
      <c r="ETM2" s="1"/>
      <c r="ETN2" s="1"/>
      <c r="ETO2" s="1"/>
      <c r="ETP2" s="1"/>
      <c r="ETQ2" s="1"/>
      <c r="ETR2" s="1"/>
      <c r="ETS2" s="1"/>
      <c r="ETT2" s="1"/>
      <c r="ETU2" s="1"/>
      <c r="ETV2" s="1"/>
      <c r="ETW2" s="1"/>
      <c r="ETX2" s="1"/>
      <c r="ETY2" s="1"/>
      <c r="ETZ2" s="1"/>
      <c r="EUA2" s="1"/>
      <c r="EUB2" s="1"/>
      <c r="EUC2" s="1"/>
      <c r="EUD2" s="1"/>
      <c r="EUE2" s="1"/>
      <c r="EUF2" s="1"/>
      <c r="EUG2" s="1"/>
      <c r="EUH2" s="1"/>
      <c r="EUI2" s="1"/>
      <c r="EUJ2" s="1"/>
      <c r="EUK2" s="1"/>
      <c r="EUL2" s="1"/>
      <c r="EUM2" s="1"/>
      <c r="EUN2" s="1"/>
      <c r="EUO2" s="1"/>
      <c r="EUP2" s="1"/>
      <c r="EUQ2" s="1"/>
      <c r="EUR2" s="1"/>
      <c r="EUS2" s="1"/>
      <c r="EUT2" s="1"/>
      <c r="EUU2" s="1"/>
      <c r="EUV2" s="1"/>
      <c r="EUW2" s="1"/>
      <c r="EUX2" s="1"/>
      <c r="EUY2" s="1"/>
      <c r="EUZ2" s="1"/>
      <c r="EVA2" s="1"/>
      <c r="EVB2" s="1"/>
      <c r="EVC2" s="1"/>
      <c r="EVD2" s="1"/>
      <c r="EVE2" s="1"/>
      <c r="EVF2" s="1"/>
      <c r="EVG2" s="1"/>
      <c r="EVH2" s="1"/>
      <c r="EVI2" s="1"/>
      <c r="EVJ2" s="1"/>
      <c r="EVK2" s="1"/>
      <c r="EVL2" s="1"/>
      <c r="EVM2" s="1"/>
      <c r="EVN2" s="1"/>
      <c r="EVO2" s="1"/>
      <c r="EVP2" s="1"/>
      <c r="EVQ2" s="1"/>
      <c r="EVR2" s="1"/>
      <c r="EVS2" s="1"/>
      <c r="EVT2" s="1"/>
      <c r="EVU2" s="1"/>
      <c r="EVV2" s="1"/>
      <c r="EVW2" s="1"/>
      <c r="EVX2" s="1"/>
      <c r="EVY2" s="1"/>
      <c r="EVZ2" s="1"/>
      <c r="EWA2" s="1"/>
      <c r="EWB2" s="1"/>
      <c r="EWC2" s="1"/>
      <c r="EWD2" s="1"/>
      <c r="EWE2" s="1"/>
      <c r="EWF2" s="1"/>
      <c r="EWG2" s="1"/>
      <c r="EWH2" s="1"/>
      <c r="EWI2" s="1"/>
      <c r="EWJ2" s="1"/>
      <c r="EWK2" s="1"/>
      <c r="EWL2" s="1"/>
      <c r="EWM2" s="1"/>
      <c r="EWN2" s="1"/>
      <c r="EWO2" s="1"/>
      <c r="EWP2" s="1"/>
      <c r="EWQ2" s="1"/>
      <c r="EWR2" s="1"/>
      <c r="EWS2" s="1"/>
      <c r="EWT2" s="1"/>
      <c r="EWU2" s="1"/>
      <c r="EWV2" s="1"/>
      <c r="EWW2" s="1"/>
      <c r="EWX2" s="1"/>
      <c r="EWY2" s="1"/>
      <c r="EWZ2" s="1"/>
      <c r="EXA2" s="1"/>
      <c r="EXB2" s="1"/>
      <c r="EXC2" s="1"/>
      <c r="EXD2" s="1"/>
      <c r="EXE2" s="1"/>
      <c r="EXF2" s="1"/>
      <c r="EXG2" s="1"/>
      <c r="EXH2" s="1"/>
      <c r="EXI2" s="1"/>
      <c r="EXJ2" s="1"/>
      <c r="EXK2" s="1"/>
      <c r="EXL2" s="1"/>
      <c r="EXM2" s="1"/>
      <c r="EXN2" s="1"/>
      <c r="EXO2" s="1"/>
      <c r="EXP2" s="1"/>
      <c r="EXQ2" s="1"/>
      <c r="EXR2" s="1"/>
      <c r="EXS2" s="1"/>
      <c r="EXT2" s="1"/>
      <c r="EXU2" s="1"/>
      <c r="EXV2" s="1"/>
      <c r="EXW2" s="1"/>
      <c r="EXX2" s="1"/>
      <c r="EXY2" s="1"/>
      <c r="EXZ2" s="1"/>
      <c r="EYA2" s="1"/>
      <c r="EYB2" s="1"/>
      <c r="EYC2" s="1"/>
      <c r="EYD2" s="1"/>
      <c r="EYE2" s="1"/>
      <c r="EYF2" s="1"/>
      <c r="EYG2" s="1"/>
      <c r="EYH2" s="1"/>
      <c r="EYI2" s="1"/>
      <c r="EYJ2" s="1"/>
      <c r="EYK2" s="1"/>
      <c r="EYL2" s="1"/>
      <c r="EYM2" s="1"/>
      <c r="EYN2" s="1"/>
      <c r="EYO2" s="1"/>
      <c r="EYP2" s="1"/>
      <c r="EYQ2" s="1"/>
      <c r="EYR2" s="1"/>
      <c r="EYS2" s="1"/>
      <c r="EYT2" s="1"/>
      <c r="EYU2" s="1"/>
      <c r="EYV2" s="1"/>
      <c r="EYW2" s="1"/>
      <c r="EYX2" s="1"/>
      <c r="EYY2" s="1"/>
      <c r="EYZ2" s="1"/>
      <c r="EZA2" s="1"/>
      <c r="EZB2" s="1"/>
      <c r="EZC2" s="1"/>
      <c r="EZD2" s="1"/>
      <c r="EZE2" s="1"/>
      <c r="EZF2" s="1"/>
      <c r="EZG2" s="1"/>
      <c r="EZH2" s="1"/>
      <c r="EZI2" s="1"/>
      <c r="EZJ2" s="1"/>
      <c r="EZK2" s="1"/>
      <c r="EZL2" s="1"/>
      <c r="EZM2" s="1"/>
      <c r="EZN2" s="1"/>
      <c r="EZO2" s="1"/>
      <c r="EZP2" s="1"/>
      <c r="EZQ2" s="1"/>
      <c r="EZR2" s="1"/>
      <c r="EZS2" s="1"/>
      <c r="EZT2" s="1"/>
      <c r="EZU2" s="1"/>
      <c r="EZV2" s="1"/>
      <c r="EZW2" s="1"/>
      <c r="EZX2" s="1"/>
      <c r="EZY2" s="1"/>
      <c r="EZZ2" s="1"/>
      <c r="FAA2" s="1"/>
      <c r="FAB2" s="1"/>
      <c r="FAC2" s="1"/>
      <c r="FAD2" s="1"/>
      <c r="FAE2" s="1"/>
      <c r="FAF2" s="1"/>
      <c r="FAG2" s="1"/>
      <c r="FAH2" s="1"/>
      <c r="FAI2" s="1"/>
      <c r="FAJ2" s="1"/>
      <c r="FAK2" s="1"/>
      <c r="FAL2" s="1"/>
      <c r="FAM2" s="1"/>
      <c r="FAN2" s="1"/>
      <c r="FAO2" s="1"/>
      <c r="FAP2" s="1"/>
      <c r="FAQ2" s="1"/>
      <c r="FAR2" s="1"/>
      <c r="FAS2" s="1"/>
      <c r="FAT2" s="1"/>
      <c r="FAU2" s="1"/>
      <c r="FAV2" s="1"/>
      <c r="FAW2" s="1"/>
      <c r="FAX2" s="1"/>
      <c r="FAY2" s="1"/>
      <c r="FAZ2" s="1"/>
      <c r="FBA2" s="1"/>
      <c r="FBB2" s="1"/>
      <c r="FBC2" s="1"/>
      <c r="FBD2" s="1"/>
      <c r="FBE2" s="1"/>
      <c r="FBF2" s="1"/>
      <c r="FBG2" s="1"/>
      <c r="FBH2" s="1"/>
      <c r="FBI2" s="1"/>
      <c r="FBJ2" s="1"/>
      <c r="FBK2" s="1"/>
      <c r="FBL2" s="1"/>
      <c r="FBM2" s="1"/>
      <c r="FBN2" s="1"/>
      <c r="FBO2" s="1"/>
      <c r="FBP2" s="1"/>
      <c r="FBQ2" s="1"/>
      <c r="FBR2" s="1"/>
      <c r="FBS2" s="1"/>
      <c r="FBT2" s="1"/>
      <c r="FBU2" s="1"/>
      <c r="FBV2" s="1"/>
      <c r="FBW2" s="1"/>
      <c r="FBX2" s="1"/>
      <c r="FBY2" s="1"/>
      <c r="FBZ2" s="1"/>
      <c r="FCA2" s="1"/>
      <c r="FCB2" s="1"/>
      <c r="FCC2" s="1"/>
      <c r="FCD2" s="1"/>
      <c r="FCE2" s="1"/>
      <c r="FCF2" s="1"/>
      <c r="FCG2" s="1"/>
      <c r="FCH2" s="1"/>
      <c r="FCI2" s="1"/>
      <c r="FCJ2" s="1"/>
      <c r="FCK2" s="1"/>
      <c r="FCL2" s="1"/>
      <c r="FCM2" s="1"/>
      <c r="FCN2" s="1"/>
      <c r="FCO2" s="1"/>
      <c r="FCP2" s="1"/>
      <c r="FCQ2" s="1"/>
      <c r="FCR2" s="1"/>
      <c r="FCS2" s="1"/>
      <c r="FCT2" s="1"/>
      <c r="FCU2" s="1"/>
      <c r="FCV2" s="1"/>
      <c r="FCW2" s="1"/>
      <c r="FCX2" s="1"/>
      <c r="FCY2" s="1"/>
      <c r="FCZ2" s="1"/>
      <c r="FDA2" s="1"/>
      <c r="FDB2" s="1"/>
      <c r="FDC2" s="1"/>
      <c r="FDD2" s="1"/>
      <c r="FDE2" s="1"/>
      <c r="FDF2" s="1"/>
      <c r="FDG2" s="1"/>
      <c r="FDH2" s="1"/>
      <c r="FDI2" s="1"/>
      <c r="FDJ2" s="1"/>
      <c r="FDK2" s="1"/>
      <c r="FDL2" s="1"/>
      <c r="FDM2" s="1"/>
      <c r="FDN2" s="1"/>
      <c r="FDO2" s="1"/>
      <c r="FDP2" s="1"/>
      <c r="FDQ2" s="1"/>
      <c r="FDR2" s="1"/>
      <c r="FDS2" s="1"/>
      <c r="FDT2" s="1"/>
      <c r="FDU2" s="1"/>
      <c r="FDV2" s="1"/>
      <c r="FDW2" s="1"/>
      <c r="FDX2" s="1"/>
      <c r="FDY2" s="1"/>
      <c r="FDZ2" s="1"/>
      <c r="FEA2" s="1"/>
      <c r="FEB2" s="1"/>
      <c r="FEC2" s="1"/>
      <c r="FED2" s="1"/>
      <c r="FEE2" s="1"/>
      <c r="FEF2" s="1"/>
      <c r="FEG2" s="1"/>
      <c r="FEH2" s="1"/>
      <c r="FEI2" s="1"/>
      <c r="FEJ2" s="1"/>
      <c r="FEK2" s="1"/>
      <c r="FEL2" s="1"/>
      <c r="FEM2" s="1"/>
      <c r="FEN2" s="1"/>
      <c r="FEO2" s="1"/>
      <c r="FEP2" s="1"/>
      <c r="FEQ2" s="1"/>
      <c r="FER2" s="1"/>
      <c r="FES2" s="1"/>
      <c r="FET2" s="1"/>
      <c r="FEU2" s="1"/>
      <c r="FEV2" s="1"/>
      <c r="FEW2" s="1"/>
      <c r="FEX2" s="1"/>
      <c r="FEY2" s="1"/>
      <c r="FEZ2" s="1"/>
      <c r="FFA2" s="1"/>
      <c r="FFB2" s="1"/>
      <c r="FFC2" s="1"/>
      <c r="FFD2" s="1"/>
      <c r="FFE2" s="1"/>
      <c r="FFF2" s="1"/>
      <c r="FFG2" s="1"/>
      <c r="FFH2" s="1"/>
      <c r="FFI2" s="1"/>
      <c r="FFJ2" s="1"/>
      <c r="FFK2" s="1"/>
      <c r="FFL2" s="1"/>
      <c r="FFM2" s="1"/>
      <c r="FFN2" s="1"/>
      <c r="FFO2" s="1"/>
      <c r="FFP2" s="1"/>
      <c r="FFQ2" s="1"/>
      <c r="FFR2" s="1"/>
      <c r="FFS2" s="1"/>
      <c r="FFT2" s="1"/>
      <c r="FFU2" s="1"/>
      <c r="FFV2" s="1"/>
      <c r="FFW2" s="1"/>
      <c r="FFX2" s="1"/>
      <c r="FFY2" s="1"/>
      <c r="FFZ2" s="1"/>
      <c r="FGA2" s="1"/>
      <c r="FGB2" s="1"/>
      <c r="FGC2" s="1"/>
      <c r="FGD2" s="1"/>
      <c r="FGE2" s="1"/>
      <c r="FGF2" s="1"/>
      <c r="FGG2" s="1"/>
      <c r="FGH2" s="1"/>
      <c r="FGI2" s="1"/>
      <c r="FGJ2" s="1"/>
      <c r="FGK2" s="1"/>
      <c r="FGL2" s="1"/>
      <c r="FGM2" s="1"/>
      <c r="FGN2" s="1"/>
      <c r="FGO2" s="1"/>
      <c r="FGP2" s="1"/>
      <c r="FGQ2" s="1"/>
      <c r="FGR2" s="1"/>
      <c r="FGS2" s="1"/>
      <c r="FGT2" s="1"/>
      <c r="FGU2" s="1"/>
      <c r="FGV2" s="1"/>
      <c r="FGW2" s="1"/>
      <c r="FGX2" s="1"/>
      <c r="FGY2" s="1"/>
      <c r="FGZ2" s="1"/>
      <c r="FHA2" s="1"/>
      <c r="FHB2" s="1"/>
      <c r="FHC2" s="1"/>
      <c r="FHD2" s="1"/>
      <c r="FHE2" s="1"/>
      <c r="FHF2" s="1"/>
      <c r="FHG2" s="1"/>
      <c r="FHH2" s="1"/>
      <c r="FHI2" s="1"/>
      <c r="FHJ2" s="1"/>
      <c r="FHK2" s="1"/>
      <c r="FHL2" s="1"/>
      <c r="FHM2" s="1"/>
      <c r="FHN2" s="1"/>
      <c r="FHO2" s="1"/>
      <c r="FHP2" s="1"/>
      <c r="FHQ2" s="1"/>
      <c r="FHR2" s="1"/>
      <c r="FHS2" s="1"/>
      <c r="FHT2" s="1"/>
      <c r="FHU2" s="1"/>
      <c r="FHV2" s="1"/>
      <c r="FHW2" s="1"/>
      <c r="FHX2" s="1"/>
      <c r="FHY2" s="1"/>
      <c r="FHZ2" s="1"/>
      <c r="FIA2" s="1"/>
      <c r="FIB2" s="1"/>
      <c r="FIC2" s="1"/>
      <c r="FID2" s="1"/>
      <c r="FIE2" s="1"/>
      <c r="FIF2" s="1"/>
      <c r="FIG2" s="1"/>
      <c r="FIH2" s="1"/>
      <c r="FII2" s="1"/>
      <c r="FIJ2" s="1"/>
      <c r="FIK2" s="1"/>
      <c r="FIL2" s="1"/>
      <c r="FIM2" s="1"/>
      <c r="FIN2" s="1"/>
      <c r="FIO2" s="1"/>
      <c r="FIP2" s="1"/>
      <c r="FIQ2" s="1"/>
      <c r="FIR2" s="1"/>
      <c r="FIS2" s="1"/>
      <c r="FIT2" s="1"/>
      <c r="FIU2" s="1"/>
      <c r="FIV2" s="1"/>
      <c r="FIW2" s="1"/>
      <c r="FIX2" s="1"/>
      <c r="FIY2" s="1"/>
      <c r="FIZ2" s="1"/>
      <c r="FJA2" s="1"/>
      <c r="FJB2" s="1"/>
      <c r="FJC2" s="1"/>
      <c r="FJD2" s="1"/>
      <c r="FJE2" s="1"/>
      <c r="FJF2" s="1"/>
      <c r="FJG2" s="1"/>
      <c r="FJH2" s="1"/>
      <c r="FJI2" s="1"/>
      <c r="FJJ2" s="1"/>
      <c r="FJK2" s="1"/>
      <c r="FJL2" s="1"/>
      <c r="FJM2" s="1"/>
      <c r="FJN2" s="1"/>
      <c r="FJO2" s="1"/>
      <c r="FJP2" s="1"/>
      <c r="FJQ2" s="1"/>
      <c r="FJR2" s="1"/>
      <c r="FJS2" s="1"/>
      <c r="FJT2" s="1"/>
      <c r="FJU2" s="1"/>
      <c r="FJV2" s="1"/>
      <c r="FJW2" s="1"/>
      <c r="FJX2" s="1"/>
      <c r="FJY2" s="1"/>
      <c r="FJZ2" s="1"/>
      <c r="FKA2" s="1"/>
      <c r="FKB2" s="1"/>
      <c r="FKC2" s="1"/>
      <c r="FKD2" s="1"/>
      <c r="FKE2" s="1"/>
      <c r="FKF2" s="1"/>
      <c r="FKG2" s="1"/>
      <c r="FKH2" s="1"/>
      <c r="FKI2" s="1"/>
      <c r="FKJ2" s="1"/>
      <c r="FKK2" s="1"/>
      <c r="FKL2" s="1"/>
      <c r="FKM2" s="1"/>
      <c r="FKN2" s="1"/>
      <c r="FKO2" s="1"/>
      <c r="FKP2" s="1"/>
      <c r="FKQ2" s="1"/>
      <c r="FKR2" s="1"/>
      <c r="FKS2" s="1"/>
      <c r="FKT2" s="1"/>
      <c r="FKU2" s="1"/>
      <c r="FKV2" s="1"/>
      <c r="FKW2" s="1"/>
      <c r="FKX2" s="1"/>
      <c r="FKY2" s="1"/>
      <c r="FKZ2" s="1"/>
      <c r="FLA2" s="1"/>
      <c r="FLB2" s="1"/>
      <c r="FLC2" s="1"/>
      <c r="FLD2" s="1"/>
      <c r="FLE2" s="1"/>
      <c r="FLF2" s="1"/>
      <c r="FLG2" s="1"/>
      <c r="FLH2" s="1"/>
      <c r="FLI2" s="1"/>
      <c r="FLJ2" s="1"/>
      <c r="FLK2" s="1"/>
      <c r="FLL2" s="1"/>
      <c r="FLM2" s="1"/>
      <c r="FLN2" s="1"/>
      <c r="FLO2" s="1"/>
      <c r="FLP2" s="1"/>
      <c r="FLQ2" s="1"/>
      <c r="FLR2" s="1"/>
      <c r="FLS2" s="1"/>
      <c r="FLT2" s="1"/>
      <c r="FLU2" s="1"/>
      <c r="FLV2" s="1"/>
      <c r="FLW2" s="1"/>
      <c r="FLX2" s="1"/>
      <c r="FLY2" s="1"/>
      <c r="FLZ2" s="1"/>
      <c r="FMA2" s="1"/>
      <c r="FMB2" s="1"/>
      <c r="FMC2" s="1"/>
      <c r="FMD2" s="1"/>
      <c r="FME2" s="1"/>
      <c r="FMF2" s="1"/>
      <c r="FMG2" s="1"/>
      <c r="FMH2" s="1"/>
      <c r="FMI2" s="1"/>
      <c r="FMJ2" s="1"/>
      <c r="FMK2" s="1"/>
      <c r="FML2" s="1"/>
      <c r="FMM2" s="1"/>
      <c r="FMN2" s="1"/>
      <c r="FMO2" s="1"/>
      <c r="FMP2" s="1"/>
      <c r="FMQ2" s="1"/>
      <c r="FMR2" s="1"/>
      <c r="FMS2" s="1"/>
      <c r="FMT2" s="1"/>
      <c r="FMU2" s="1"/>
      <c r="FMV2" s="1"/>
      <c r="FMW2" s="1"/>
      <c r="FMX2" s="1"/>
      <c r="FMY2" s="1"/>
      <c r="FMZ2" s="1"/>
      <c r="FNA2" s="1"/>
      <c r="FNB2" s="1"/>
      <c r="FNC2" s="1"/>
      <c r="FND2" s="1"/>
      <c r="FNE2" s="1"/>
      <c r="FNF2" s="1"/>
      <c r="FNG2" s="1"/>
      <c r="FNH2" s="1"/>
      <c r="FNI2" s="1"/>
      <c r="FNJ2" s="1"/>
      <c r="FNK2" s="1"/>
      <c r="FNL2" s="1"/>
      <c r="FNM2" s="1"/>
      <c r="FNN2" s="1"/>
      <c r="FNO2" s="1"/>
      <c r="FNP2" s="1"/>
      <c r="FNQ2" s="1"/>
      <c r="FNR2" s="1"/>
      <c r="FNS2" s="1"/>
      <c r="FNT2" s="1"/>
      <c r="FNU2" s="1"/>
      <c r="FNV2" s="1"/>
      <c r="FNW2" s="1"/>
      <c r="FNX2" s="1"/>
      <c r="FNY2" s="1"/>
      <c r="FNZ2" s="1"/>
      <c r="FOA2" s="1"/>
      <c r="FOB2" s="1"/>
      <c r="FOC2" s="1"/>
      <c r="FOD2" s="1"/>
      <c r="FOE2" s="1"/>
      <c r="FOF2" s="1"/>
      <c r="FOG2" s="1"/>
      <c r="FOH2" s="1"/>
      <c r="FOI2" s="1"/>
      <c r="FOJ2" s="1"/>
      <c r="FOK2" s="1"/>
      <c r="FOL2" s="1"/>
      <c r="FOM2" s="1"/>
      <c r="FON2" s="1"/>
      <c r="FOO2" s="1"/>
      <c r="FOP2" s="1"/>
      <c r="FOQ2" s="1"/>
      <c r="FOR2" s="1"/>
      <c r="FOS2" s="1"/>
      <c r="FOT2" s="1"/>
      <c r="FOU2" s="1"/>
      <c r="FOV2" s="1"/>
      <c r="FOW2" s="1"/>
      <c r="FOX2" s="1"/>
      <c r="FOY2" s="1"/>
      <c r="FOZ2" s="1"/>
      <c r="FPA2" s="1"/>
      <c r="FPB2" s="1"/>
      <c r="FPC2" s="1"/>
      <c r="FPD2" s="1"/>
      <c r="FPE2" s="1"/>
      <c r="FPF2" s="1"/>
      <c r="FPG2" s="1"/>
      <c r="FPH2" s="1"/>
      <c r="FPI2" s="1"/>
      <c r="FPJ2" s="1"/>
      <c r="FPK2" s="1"/>
      <c r="FPL2" s="1"/>
      <c r="FPM2" s="1"/>
      <c r="FPN2" s="1"/>
      <c r="FPO2" s="1"/>
      <c r="FPP2" s="1"/>
      <c r="FPQ2" s="1"/>
      <c r="FPR2" s="1"/>
      <c r="FPS2" s="1"/>
      <c r="FPT2" s="1"/>
      <c r="FPU2" s="1"/>
      <c r="FPV2" s="1"/>
      <c r="FPW2" s="1"/>
      <c r="FPX2" s="1"/>
      <c r="FPY2" s="1"/>
      <c r="FPZ2" s="1"/>
      <c r="FQA2" s="1"/>
      <c r="FQB2" s="1"/>
      <c r="FQC2" s="1"/>
      <c r="FQD2" s="1"/>
      <c r="FQE2" s="1"/>
      <c r="FQF2" s="1"/>
      <c r="FQG2" s="1"/>
      <c r="FQH2" s="1"/>
      <c r="FQI2" s="1"/>
      <c r="FQJ2" s="1"/>
      <c r="FQK2" s="1"/>
      <c r="FQL2" s="1"/>
      <c r="FQM2" s="1"/>
      <c r="FQN2" s="1"/>
      <c r="FQO2" s="1"/>
      <c r="FQP2" s="1"/>
      <c r="FQQ2" s="1"/>
      <c r="FQR2" s="1"/>
      <c r="FQS2" s="1"/>
      <c r="FQT2" s="1"/>
      <c r="FQU2" s="1"/>
      <c r="FQV2" s="1"/>
      <c r="FQW2" s="1"/>
      <c r="FQX2" s="1"/>
      <c r="FQY2" s="1"/>
      <c r="FQZ2" s="1"/>
      <c r="FRA2" s="1"/>
      <c r="FRB2" s="1"/>
      <c r="FRC2" s="1"/>
      <c r="FRD2" s="1"/>
      <c r="FRE2" s="1"/>
      <c r="FRF2" s="1"/>
      <c r="FRG2" s="1"/>
      <c r="FRH2" s="1"/>
      <c r="FRI2" s="1"/>
      <c r="FRJ2" s="1"/>
      <c r="FRK2" s="1"/>
      <c r="FRL2" s="1"/>
      <c r="FRM2" s="1"/>
      <c r="FRN2" s="1"/>
      <c r="FRO2" s="1"/>
      <c r="FRP2" s="1"/>
      <c r="FRQ2" s="1"/>
      <c r="FRR2" s="1"/>
      <c r="FRS2" s="1"/>
      <c r="FRT2" s="1"/>
      <c r="FRU2" s="1"/>
      <c r="FRV2" s="1"/>
      <c r="FRW2" s="1"/>
      <c r="FRX2" s="1"/>
      <c r="FRY2" s="1"/>
      <c r="FRZ2" s="1"/>
      <c r="FSA2" s="1"/>
      <c r="FSB2" s="1"/>
      <c r="FSC2" s="1"/>
      <c r="FSD2" s="1"/>
      <c r="FSE2" s="1"/>
      <c r="FSF2" s="1"/>
      <c r="FSG2" s="1"/>
      <c r="FSH2" s="1"/>
      <c r="FSI2" s="1"/>
      <c r="FSJ2" s="1"/>
      <c r="FSK2" s="1"/>
      <c r="FSL2" s="1"/>
      <c r="FSM2" s="1"/>
      <c r="FSN2" s="1"/>
      <c r="FSO2" s="1"/>
      <c r="FSP2" s="1"/>
      <c r="FSQ2" s="1"/>
      <c r="FSR2" s="1"/>
      <c r="FSS2" s="1"/>
      <c r="FST2" s="1"/>
      <c r="FSU2" s="1"/>
      <c r="FSV2" s="1"/>
      <c r="FSW2" s="1"/>
      <c r="FSX2" s="1"/>
      <c r="FSY2" s="1"/>
      <c r="FSZ2" s="1"/>
      <c r="FTA2" s="1"/>
      <c r="FTB2" s="1"/>
      <c r="FTC2" s="1"/>
      <c r="FTD2" s="1"/>
      <c r="FTE2" s="1"/>
      <c r="FTF2" s="1"/>
      <c r="FTG2" s="1"/>
      <c r="FTH2" s="1"/>
      <c r="FTI2" s="1"/>
      <c r="FTJ2" s="1"/>
      <c r="FTK2" s="1"/>
      <c r="FTL2" s="1"/>
      <c r="FTM2" s="1"/>
      <c r="FTN2" s="1"/>
      <c r="FTO2" s="1"/>
      <c r="FTP2" s="1"/>
      <c r="FTQ2" s="1"/>
      <c r="FTR2" s="1"/>
      <c r="FTS2" s="1"/>
      <c r="FTT2" s="1"/>
      <c r="FTU2" s="1"/>
      <c r="FTV2" s="1"/>
      <c r="FTW2" s="1"/>
      <c r="FTX2" s="1"/>
      <c r="FTY2" s="1"/>
      <c r="FTZ2" s="1"/>
      <c r="FUA2" s="1"/>
      <c r="FUB2" s="1"/>
      <c r="FUC2" s="1"/>
      <c r="FUD2" s="1"/>
      <c r="FUE2" s="1"/>
      <c r="FUF2" s="1"/>
      <c r="FUG2" s="1"/>
      <c r="FUH2" s="1"/>
      <c r="FUI2" s="1"/>
      <c r="FUJ2" s="1"/>
      <c r="FUK2" s="1"/>
      <c r="FUL2" s="1"/>
      <c r="FUM2" s="1"/>
      <c r="FUN2" s="1"/>
      <c r="FUO2" s="1"/>
      <c r="FUP2" s="1"/>
      <c r="FUQ2" s="1"/>
      <c r="FUR2" s="1"/>
      <c r="FUS2" s="1"/>
      <c r="FUT2" s="1"/>
      <c r="FUU2" s="1"/>
      <c r="FUV2" s="1"/>
      <c r="FUW2" s="1"/>
      <c r="FUX2" s="1"/>
      <c r="FUY2" s="1"/>
      <c r="FUZ2" s="1"/>
      <c r="FVA2" s="1"/>
      <c r="FVB2" s="1"/>
      <c r="FVC2" s="1"/>
      <c r="FVD2" s="1"/>
      <c r="FVE2" s="1"/>
      <c r="FVF2" s="1"/>
      <c r="FVG2" s="1"/>
      <c r="FVH2" s="1"/>
      <c r="FVI2" s="1"/>
      <c r="FVJ2" s="1"/>
      <c r="FVK2" s="1"/>
      <c r="FVL2" s="1"/>
      <c r="FVM2" s="1"/>
      <c r="FVN2" s="1"/>
      <c r="FVO2" s="1"/>
      <c r="FVP2" s="1"/>
      <c r="FVQ2" s="1"/>
      <c r="FVR2" s="1"/>
      <c r="FVS2" s="1"/>
      <c r="FVT2" s="1"/>
      <c r="FVU2" s="1"/>
      <c r="FVV2" s="1"/>
      <c r="FVW2" s="1"/>
      <c r="FVX2" s="1"/>
      <c r="FVY2" s="1"/>
      <c r="FVZ2" s="1"/>
      <c r="FWA2" s="1"/>
      <c r="FWB2" s="1"/>
      <c r="FWC2" s="1"/>
      <c r="FWD2" s="1"/>
      <c r="FWE2" s="1"/>
      <c r="FWF2" s="1"/>
      <c r="FWG2" s="1"/>
      <c r="FWH2" s="1"/>
      <c r="FWI2" s="1"/>
      <c r="FWJ2" s="1"/>
      <c r="FWK2" s="1"/>
      <c r="FWL2" s="1"/>
      <c r="FWM2" s="1"/>
      <c r="FWN2" s="1"/>
      <c r="FWO2" s="1"/>
      <c r="FWP2" s="1"/>
      <c r="FWQ2" s="1"/>
      <c r="FWR2" s="1"/>
      <c r="FWS2" s="1"/>
      <c r="FWT2" s="1"/>
      <c r="FWU2" s="1"/>
      <c r="FWV2" s="1"/>
      <c r="FWW2" s="1"/>
      <c r="FWX2" s="1"/>
      <c r="FWY2" s="1"/>
      <c r="FWZ2" s="1"/>
      <c r="FXA2" s="1"/>
      <c r="FXB2" s="1"/>
      <c r="FXC2" s="1"/>
      <c r="FXD2" s="1"/>
      <c r="FXE2" s="1"/>
      <c r="FXF2" s="1"/>
      <c r="FXG2" s="1"/>
      <c r="FXH2" s="1"/>
      <c r="FXI2" s="1"/>
      <c r="FXJ2" s="1"/>
      <c r="FXK2" s="1"/>
      <c r="FXL2" s="1"/>
      <c r="FXM2" s="1"/>
      <c r="FXN2" s="1"/>
      <c r="FXO2" s="1"/>
      <c r="FXP2" s="1"/>
      <c r="FXQ2" s="1"/>
      <c r="FXR2" s="1"/>
      <c r="FXS2" s="1"/>
      <c r="FXT2" s="1"/>
      <c r="FXU2" s="1"/>
      <c r="FXV2" s="1"/>
      <c r="FXW2" s="1"/>
      <c r="FXX2" s="1"/>
      <c r="FXY2" s="1"/>
      <c r="FXZ2" s="1"/>
      <c r="FYA2" s="1"/>
      <c r="FYB2" s="1"/>
      <c r="FYC2" s="1"/>
      <c r="FYD2" s="1"/>
      <c r="FYE2" s="1"/>
      <c r="FYF2" s="1"/>
      <c r="FYG2" s="1"/>
      <c r="FYH2" s="1"/>
      <c r="FYI2" s="1"/>
      <c r="FYJ2" s="1"/>
      <c r="FYK2" s="1"/>
      <c r="FYL2" s="1"/>
      <c r="FYM2" s="1"/>
      <c r="FYN2" s="1"/>
      <c r="FYO2" s="1"/>
      <c r="FYP2" s="1"/>
      <c r="FYQ2" s="1"/>
      <c r="FYR2" s="1"/>
      <c r="FYS2" s="1"/>
      <c r="FYT2" s="1"/>
      <c r="FYU2" s="1"/>
      <c r="FYV2" s="1"/>
      <c r="FYW2" s="1"/>
      <c r="FYX2" s="1"/>
      <c r="FYY2" s="1"/>
      <c r="FYZ2" s="1"/>
      <c r="FZA2" s="1"/>
      <c r="FZB2" s="1"/>
      <c r="FZC2" s="1"/>
      <c r="FZD2" s="1"/>
      <c r="FZE2" s="1"/>
      <c r="FZF2" s="1"/>
      <c r="FZG2" s="1"/>
      <c r="FZH2" s="1"/>
      <c r="FZI2" s="1"/>
      <c r="FZJ2" s="1"/>
      <c r="FZK2" s="1"/>
      <c r="FZL2" s="1"/>
      <c r="FZM2" s="1"/>
      <c r="FZN2" s="1"/>
      <c r="FZO2" s="1"/>
      <c r="FZP2" s="1"/>
      <c r="FZQ2" s="1"/>
      <c r="FZR2" s="1"/>
      <c r="FZS2" s="1"/>
      <c r="FZT2" s="1"/>
      <c r="FZU2" s="1"/>
      <c r="FZV2" s="1"/>
      <c r="FZW2" s="1"/>
      <c r="FZX2" s="1"/>
      <c r="FZY2" s="1"/>
      <c r="FZZ2" s="1"/>
      <c r="GAA2" s="1"/>
      <c r="GAB2" s="1"/>
      <c r="GAC2" s="1"/>
      <c r="GAD2" s="1"/>
      <c r="GAE2" s="1"/>
      <c r="GAF2" s="1"/>
      <c r="GAG2" s="1"/>
      <c r="GAH2" s="1"/>
      <c r="GAI2" s="1"/>
      <c r="GAJ2" s="1"/>
      <c r="GAK2" s="1"/>
      <c r="GAL2" s="1"/>
      <c r="GAM2" s="1"/>
      <c r="GAN2" s="1"/>
      <c r="GAO2" s="1"/>
      <c r="GAP2" s="1"/>
      <c r="GAQ2" s="1"/>
      <c r="GAR2" s="1"/>
      <c r="GAS2" s="1"/>
      <c r="GAT2" s="1"/>
      <c r="GAU2" s="1"/>
      <c r="GAV2" s="1"/>
      <c r="GAW2" s="1"/>
      <c r="GAX2" s="1"/>
      <c r="GAY2" s="1"/>
      <c r="GAZ2" s="1"/>
      <c r="GBA2" s="1"/>
      <c r="GBB2" s="1"/>
      <c r="GBC2" s="1"/>
      <c r="GBD2" s="1"/>
      <c r="GBE2" s="1"/>
      <c r="GBF2" s="1"/>
      <c r="GBG2" s="1"/>
      <c r="GBH2" s="1"/>
      <c r="GBI2" s="1"/>
      <c r="GBJ2" s="1"/>
      <c r="GBK2" s="1"/>
      <c r="GBL2" s="1"/>
      <c r="GBM2" s="1"/>
      <c r="GBN2" s="1"/>
      <c r="GBO2" s="1"/>
      <c r="GBP2" s="1"/>
      <c r="GBQ2" s="1"/>
      <c r="GBR2" s="1"/>
      <c r="GBS2" s="1"/>
      <c r="GBT2" s="1"/>
      <c r="GBU2" s="1"/>
      <c r="GBV2" s="1"/>
      <c r="GBW2" s="1"/>
      <c r="GBX2" s="1"/>
      <c r="GBY2" s="1"/>
      <c r="GBZ2" s="1"/>
      <c r="GCA2" s="1"/>
      <c r="GCB2" s="1"/>
      <c r="GCC2" s="1"/>
      <c r="GCD2" s="1"/>
      <c r="GCE2" s="1"/>
      <c r="GCF2" s="1"/>
      <c r="GCG2" s="1"/>
      <c r="GCH2" s="1"/>
      <c r="GCI2" s="1"/>
      <c r="GCJ2" s="1"/>
      <c r="GCK2" s="1"/>
      <c r="GCL2" s="1"/>
      <c r="GCM2" s="1"/>
      <c r="GCN2" s="1"/>
      <c r="GCO2" s="1"/>
      <c r="GCP2" s="1"/>
      <c r="GCQ2" s="1"/>
      <c r="GCR2" s="1"/>
      <c r="GCS2" s="1"/>
      <c r="GCT2" s="1"/>
      <c r="GCU2" s="1"/>
      <c r="GCV2" s="1"/>
      <c r="GCW2" s="1"/>
      <c r="GCX2" s="1"/>
      <c r="GCY2" s="1"/>
      <c r="GCZ2" s="1"/>
      <c r="GDA2" s="1"/>
      <c r="GDB2" s="1"/>
      <c r="GDC2" s="1"/>
      <c r="GDD2" s="1"/>
      <c r="GDE2" s="1"/>
      <c r="GDF2" s="1"/>
      <c r="GDG2" s="1"/>
      <c r="GDH2" s="1"/>
      <c r="GDI2" s="1"/>
      <c r="GDJ2" s="1"/>
      <c r="GDK2" s="1"/>
      <c r="GDL2" s="1"/>
      <c r="GDM2" s="1"/>
      <c r="GDN2" s="1"/>
      <c r="GDO2" s="1"/>
      <c r="GDP2" s="1"/>
      <c r="GDQ2" s="1"/>
      <c r="GDR2" s="1"/>
      <c r="GDS2" s="1"/>
      <c r="GDT2" s="1"/>
      <c r="GDU2" s="1"/>
      <c r="GDV2" s="1"/>
      <c r="GDW2" s="1"/>
      <c r="GDX2" s="1"/>
      <c r="GDY2" s="1"/>
      <c r="GDZ2" s="1"/>
      <c r="GEA2" s="1"/>
      <c r="GEB2" s="1"/>
      <c r="GEC2" s="1"/>
      <c r="GED2" s="1"/>
      <c r="GEE2" s="1"/>
      <c r="GEF2" s="1"/>
      <c r="GEG2" s="1"/>
      <c r="GEH2" s="1"/>
      <c r="GEI2" s="1"/>
      <c r="GEJ2" s="1"/>
      <c r="GEK2" s="1"/>
      <c r="GEL2" s="1"/>
      <c r="GEM2" s="1"/>
      <c r="GEN2" s="1"/>
      <c r="GEO2" s="1"/>
      <c r="GEP2" s="1"/>
      <c r="GEQ2" s="1"/>
      <c r="GER2" s="1"/>
      <c r="GES2" s="1"/>
      <c r="GET2" s="1"/>
      <c r="GEU2" s="1"/>
      <c r="GEV2" s="1"/>
      <c r="GEW2" s="1"/>
      <c r="GEX2" s="1"/>
      <c r="GEY2" s="1"/>
      <c r="GEZ2" s="1"/>
      <c r="GFA2" s="1"/>
      <c r="GFB2" s="1"/>
      <c r="GFC2" s="1"/>
      <c r="GFD2" s="1"/>
      <c r="GFE2" s="1"/>
      <c r="GFF2" s="1"/>
      <c r="GFG2" s="1"/>
      <c r="GFH2" s="1"/>
      <c r="GFI2" s="1"/>
      <c r="GFJ2" s="1"/>
      <c r="GFK2" s="1"/>
      <c r="GFL2" s="1"/>
      <c r="GFM2" s="1"/>
      <c r="GFN2" s="1"/>
      <c r="GFO2" s="1"/>
      <c r="GFP2" s="1"/>
      <c r="GFQ2" s="1"/>
      <c r="GFR2" s="1"/>
      <c r="GFS2" s="1"/>
      <c r="GFT2" s="1"/>
      <c r="GFU2" s="1"/>
      <c r="GFV2" s="1"/>
      <c r="GFW2" s="1"/>
      <c r="GFX2" s="1"/>
      <c r="GFY2" s="1"/>
      <c r="GFZ2" s="1"/>
      <c r="GGA2" s="1"/>
      <c r="GGB2" s="1"/>
      <c r="GGC2" s="1"/>
      <c r="GGD2" s="1"/>
      <c r="GGE2" s="1"/>
      <c r="GGF2" s="1"/>
      <c r="GGG2" s="1"/>
      <c r="GGH2" s="1"/>
      <c r="GGI2" s="1"/>
      <c r="GGJ2" s="1"/>
      <c r="GGK2" s="1"/>
      <c r="GGL2" s="1"/>
      <c r="GGM2" s="1"/>
      <c r="GGN2" s="1"/>
      <c r="GGO2" s="1"/>
      <c r="GGP2" s="1"/>
      <c r="GGQ2" s="1"/>
      <c r="GGR2" s="1"/>
      <c r="GGS2" s="1"/>
      <c r="GGT2" s="1"/>
      <c r="GGU2" s="1"/>
      <c r="GGV2" s="1"/>
      <c r="GGW2" s="1"/>
      <c r="GGX2" s="1"/>
      <c r="GGY2" s="1"/>
      <c r="GGZ2" s="1"/>
      <c r="GHA2" s="1"/>
      <c r="GHB2" s="1"/>
      <c r="GHC2" s="1"/>
      <c r="GHD2" s="1"/>
      <c r="GHE2" s="1"/>
      <c r="GHF2" s="1"/>
      <c r="GHG2" s="1"/>
      <c r="GHH2" s="1"/>
      <c r="GHI2" s="1"/>
      <c r="GHJ2" s="1"/>
      <c r="GHK2" s="1"/>
      <c r="GHL2" s="1"/>
      <c r="GHM2" s="1"/>
      <c r="GHN2" s="1"/>
      <c r="GHO2" s="1"/>
      <c r="GHP2" s="1"/>
      <c r="GHQ2" s="1"/>
      <c r="GHR2" s="1"/>
      <c r="GHS2" s="1"/>
      <c r="GHT2" s="1"/>
      <c r="GHU2" s="1"/>
      <c r="GHV2" s="1"/>
      <c r="GHW2" s="1"/>
      <c r="GHX2" s="1"/>
      <c r="GHY2" s="1"/>
      <c r="GHZ2" s="1"/>
      <c r="GIA2" s="1"/>
      <c r="GIB2" s="1"/>
      <c r="GIC2" s="1"/>
      <c r="GID2" s="1"/>
      <c r="GIE2" s="1"/>
      <c r="GIF2" s="1"/>
      <c r="GIG2" s="1"/>
      <c r="GIH2" s="1"/>
      <c r="GII2" s="1"/>
      <c r="GIJ2" s="1"/>
      <c r="GIK2" s="1"/>
      <c r="GIL2" s="1"/>
      <c r="GIM2" s="1"/>
      <c r="GIN2" s="1"/>
      <c r="GIO2" s="1"/>
      <c r="GIP2" s="1"/>
      <c r="GIQ2" s="1"/>
      <c r="GIR2" s="1"/>
      <c r="GIS2" s="1"/>
      <c r="GIT2" s="1"/>
      <c r="GIU2" s="1"/>
      <c r="GIV2" s="1"/>
      <c r="GIW2" s="1"/>
      <c r="GIX2" s="1"/>
      <c r="GIY2" s="1"/>
      <c r="GIZ2" s="1"/>
      <c r="GJA2" s="1"/>
      <c r="GJB2" s="1"/>
      <c r="GJC2" s="1"/>
      <c r="GJD2" s="1"/>
      <c r="GJE2" s="1"/>
      <c r="GJF2" s="1"/>
      <c r="GJG2" s="1"/>
      <c r="GJH2" s="1"/>
      <c r="GJI2" s="1"/>
      <c r="GJJ2" s="1"/>
      <c r="GJK2" s="1"/>
      <c r="GJL2" s="1"/>
      <c r="GJM2" s="1"/>
      <c r="GJN2" s="1"/>
      <c r="GJO2" s="1"/>
      <c r="GJP2" s="1"/>
      <c r="GJQ2" s="1"/>
      <c r="GJR2" s="1"/>
      <c r="GJS2" s="1"/>
      <c r="GJT2" s="1"/>
      <c r="GJU2" s="1"/>
      <c r="GJV2" s="1"/>
      <c r="GJW2" s="1"/>
      <c r="GJX2" s="1"/>
      <c r="GJY2" s="1"/>
      <c r="GJZ2" s="1"/>
      <c r="GKA2" s="1"/>
      <c r="GKB2" s="1"/>
      <c r="GKC2" s="1"/>
      <c r="GKD2" s="1"/>
      <c r="GKE2" s="1"/>
      <c r="GKF2" s="1"/>
      <c r="GKG2" s="1"/>
      <c r="GKH2" s="1"/>
      <c r="GKI2" s="1"/>
      <c r="GKJ2" s="1"/>
      <c r="GKK2" s="1"/>
      <c r="GKL2" s="1"/>
      <c r="GKM2" s="1"/>
      <c r="GKN2" s="1"/>
      <c r="GKO2" s="1"/>
      <c r="GKP2" s="1"/>
      <c r="GKQ2" s="1"/>
      <c r="GKR2" s="1"/>
      <c r="GKS2" s="1"/>
      <c r="GKT2" s="1"/>
      <c r="GKU2" s="1"/>
      <c r="GKV2" s="1"/>
      <c r="GKW2" s="1"/>
      <c r="GKX2" s="1"/>
      <c r="GKY2" s="1"/>
      <c r="GKZ2" s="1"/>
      <c r="GLA2" s="1"/>
      <c r="GLB2" s="1"/>
      <c r="GLC2" s="1"/>
      <c r="GLD2" s="1"/>
      <c r="GLE2" s="1"/>
      <c r="GLF2" s="1"/>
      <c r="GLG2" s="1"/>
      <c r="GLH2" s="1"/>
      <c r="GLI2" s="1"/>
      <c r="GLJ2" s="1"/>
      <c r="GLK2" s="1"/>
      <c r="GLL2" s="1"/>
      <c r="GLM2" s="1"/>
      <c r="GLN2" s="1"/>
      <c r="GLO2" s="1"/>
      <c r="GLP2" s="1"/>
      <c r="GLQ2" s="1"/>
      <c r="GLR2" s="1"/>
      <c r="GLS2" s="1"/>
      <c r="GLT2" s="1"/>
      <c r="GLU2" s="1"/>
      <c r="GLV2" s="1"/>
      <c r="GLW2" s="1"/>
      <c r="GLX2" s="1"/>
      <c r="GLY2" s="1"/>
      <c r="GLZ2" s="1"/>
      <c r="GMA2" s="1"/>
      <c r="GMB2" s="1"/>
      <c r="GMC2" s="1"/>
      <c r="GMD2" s="1"/>
      <c r="GME2" s="1"/>
      <c r="GMF2" s="1"/>
      <c r="GMG2" s="1"/>
      <c r="GMH2" s="1"/>
      <c r="GMI2" s="1"/>
      <c r="GMJ2" s="1"/>
      <c r="GMK2" s="1"/>
      <c r="GML2" s="1"/>
      <c r="GMM2" s="1"/>
      <c r="GMN2" s="1"/>
      <c r="GMO2" s="1"/>
      <c r="GMP2" s="1"/>
      <c r="GMQ2" s="1"/>
      <c r="GMR2" s="1"/>
      <c r="GMS2" s="1"/>
      <c r="GMT2" s="1"/>
      <c r="GMU2" s="1"/>
      <c r="GMV2" s="1"/>
      <c r="GMW2" s="1"/>
      <c r="GMX2" s="1"/>
      <c r="GMY2" s="1"/>
      <c r="GMZ2" s="1"/>
      <c r="GNA2" s="1"/>
      <c r="GNB2" s="1"/>
      <c r="GNC2" s="1"/>
      <c r="GND2" s="1"/>
      <c r="GNE2" s="1"/>
      <c r="GNF2" s="1"/>
      <c r="GNG2" s="1"/>
      <c r="GNH2" s="1"/>
      <c r="GNI2" s="1"/>
      <c r="GNJ2" s="1"/>
      <c r="GNK2" s="1"/>
      <c r="GNL2" s="1"/>
      <c r="GNM2" s="1"/>
      <c r="GNN2" s="1"/>
      <c r="GNO2" s="1"/>
      <c r="GNP2" s="1"/>
      <c r="GNQ2" s="1"/>
      <c r="GNR2" s="1"/>
      <c r="GNS2" s="1"/>
      <c r="GNT2" s="1"/>
      <c r="GNU2" s="1"/>
      <c r="GNV2" s="1"/>
      <c r="GNW2" s="1"/>
      <c r="GNX2" s="1"/>
      <c r="GNY2" s="1"/>
      <c r="GNZ2" s="1"/>
      <c r="GOA2" s="1"/>
      <c r="GOB2" s="1"/>
      <c r="GOC2" s="1"/>
      <c r="GOD2" s="1"/>
      <c r="GOE2" s="1"/>
      <c r="GOF2" s="1"/>
      <c r="GOG2" s="1"/>
      <c r="GOH2" s="1"/>
      <c r="GOI2" s="1"/>
      <c r="GOJ2" s="1"/>
      <c r="GOK2" s="1"/>
      <c r="GOL2" s="1"/>
      <c r="GOM2" s="1"/>
      <c r="GON2" s="1"/>
      <c r="GOO2" s="1"/>
      <c r="GOP2" s="1"/>
      <c r="GOQ2" s="1"/>
      <c r="GOR2" s="1"/>
      <c r="GOS2" s="1"/>
      <c r="GOT2" s="1"/>
      <c r="GOU2" s="1"/>
      <c r="GOV2" s="1"/>
      <c r="GOW2" s="1"/>
      <c r="GOX2" s="1"/>
      <c r="GOY2" s="1"/>
      <c r="GOZ2" s="1"/>
      <c r="GPA2" s="1"/>
      <c r="GPB2" s="1"/>
      <c r="GPC2" s="1"/>
      <c r="GPD2" s="1"/>
      <c r="GPE2" s="1"/>
      <c r="GPF2" s="1"/>
      <c r="GPG2" s="1"/>
      <c r="GPH2" s="1"/>
      <c r="GPI2" s="1"/>
      <c r="GPJ2" s="1"/>
      <c r="GPK2" s="1"/>
      <c r="GPL2" s="1"/>
      <c r="GPM2" s="1"/>
      <c r="GPN2" s="1"/>
      <c r="GPO2" s="1"/>
      <c r="GPP2" s="1"/>
      <c r="GPQ2" s="1"/>
      <c r="GPR2" s="1"/>
      <c r="GPS2" s="1"/>
      <c r="GPT2" s="1"/>
      <c r="GPU2" s="1"/>
      <c r="GPV2" s="1"/>
      <c r="GPW2" s="1"/>
      <c r="GPX2" s="1"/>
      <c r="GPY2" s="1"/>
      <c r="GPZ2" s="1"/>
      <c r="GQA2" s="1"/>
      <c r="GQB2" s="1"/>
      <c r="GQC2" s="1"/>
      <c r="GQD2" s="1"/>
      <c r="GQE2" s="1"/>
      <c r="GQF2" s="1"/>
      <c r="GQG2" s="1"/>
      <c r="GQH2" s="1"/>
      <c r="GQI2" s="1"/>
      <c r="GQJ2" s="1"/>
      <c r="GQK2" s="1"/>
      <c r="GQL2" s="1"/>
      <c r="GQM2" s="1"/>
      <c r="GQN2" s="1"/>
      <c r="GQO2" s="1"/>
      <c r="GQP2" s="1"/>
      <c r="GQQ2" s="1"/>
      <c r="GQR2" s="1"/>
      <c r="GQS2" s="1"/>
      <c r="GQT2" s="1"/>
      <c r="GQU2" s="1"/>
      <c r="GQV2" s="1"/>
      <c r="GQW2" s="1"/>
      <c r="GQX2" s="1"/>
      <c r="GQY2" s="1"/>
      <c r="GQZ2" s="1"/>
      <c r="GRA2" s="1"/>
      <c r="GRB2" s="1"/>
      <c r="GRC2" s="1"/>
      <c r="GRD2" s="1"/>
      <c r="GRE2" s="1"/>
      <c r="GRF2" s="1"/>
      <c r="GRG2" s="1"/>
      <c r="GRH2" s="1"/>
      <c r="GRI2" s="1"/>
      <c r="GRJ2" s="1"/>
      <c r="GRK2" s="1"/>
      <c r="GRL2" s="1"/>
      <c r="GRM2" s="1"/>
      <c r="GRN2" s="1"/>
      <c r="GRO2" s="1"/>
      <c r="GRP2" s="1"/>
      <c r="GRQ2" s="1"/>
      <c r="GRR2" s="1"/>
      <c r="GRS2" s="1"/>
      <c r="GRT2" s="1"/>
      <c r="GRU2" s="1"/>
      <c r="GRV2" s="1"/>
      <c r="GRW2" s="1"/>
      <c r="GRX2" s="1"/>
      <c r="GRY2" s="1"/>
      <c r="GRZ2" s="1"/>
      <c r="GSA2" s="1"/>
      <c r="GSB2" s="1"/>
      <c r="GSC2" s="1"/>
      <c r="GSD2" s="1"/>
      <c r="GSE2" s="1"/>
      <c r="GSF2" s="1"/>
      <c r="GSG2" s="1"/>
      <c r="GSH2" s="1"/>
      <c r="GSI2" s="1"/>
      <c r="GSJ2" s="1"/>
      <c r="GSK2" s="1"/>
      <c r="GSL2" s="1"/>
      <c r="GSM2" s="1"/>
      <c r="GSN2" s="1"/>
      <c r="GSO2" s="1"/>
      <c r="GSP2" s="1"/>
      <c r="GSQ2" s="1"/>
      <c r="GSR2" s="1"/>
      <c r="GSS2" s="1"/>
      <c r="GST2" s="1"/>
      <c r="GSU2" s="1"/>
      <c r="GSV2" s="1"/>
      <c r="GSW2" s="1"/>
      <c r="GSX2" s="1"/>
      <c r="GSY2" s="1"/>
      <c r="GSZ2" s="1"/>
      <c r="GTA2" s="1"/>
      <c r="GTB2" s="1"/>
      <c r="GTC2" s="1"/>
      <c r="GTD2" s="1"/>
      <c r="GTE2" s="1"/>
      <c r="GTF2" s="1"/>
      <c r="GTG2" s="1"/>
      <c r="GTH2" s="1"/>
      <c r="GTI2" s="1"/>
      <c r="GTJ2" s="1"/>
      <c r="GTK2" s="1"/>
      <c r="GTL2" s="1"/>
      <c r="GTM2" s="1"/>
      <c r="GTN2" s="1"/>
      <c r="GTO2" s="1"/>
      <c r="GTP2" s="1"/>
      <c r="GTQ2" s="1"/>
      <c r="GTR2" s="1"/>
      <c r="GTS2" s="1"/>
      <c r="GTT2" s="1"/>
      <c r="GTU2" s="1"/>
      <c r="GTV2" s="1"/>
      <c r="GTW2" s="1"/>
      <c r="GTX2" s="1"/>
      <c r="GTY2" s="1"/>
      <c r="GTZ2" s="1"/>
      <c r="GUA2" s="1"/>
      <c r="GUB2" s="1"/>
      <c r="GUC2" s="1"/>
      <c r="GUD2" s="1"/>
      <c r="GUE2" s="1"/>
      <c r="GUF2" s="1"/>
      <c r="GUG2" s="1"/>
      <c r="GUH2" s="1"/>
      <c r="GUI2" s="1"/>
      <c r="GUJ2" s="1"/>
      <c r="GUK2" s="1"/>
      <c r="GUL2" s="1"/>
      <c r="GUM2" s="1"/>
      <c r="GUN2" s="1"/>
      <c r="GUO2" s="1"/>
      <c r="GUP2" s="1"/>
      <c r="GUQ2" s="1"/>
      <c r="GUR2" s="1"/>
      <c r="GUS2" s="1"/>
      <c r="GUT2" s="1"/>
      <c r="GUU2" s="1"/>
      <c r="GUV2" s="1"/>
      <c r="GUW2" s="1"/>
      <c r="GUX2" s="1"/>
      <c r="GUY2" s="1"/>
      <c r="GUZ2" s="1"/>
      <c r="GVA2" s="1"/>
      <c r="GVB2" s="1"/>
      <c r="GVC2" s="1"/>
      <c r="GVD2" s="1"/>
      <c r="GVE2" s="1"/>
      <c r="GVF2" s="1"/>
      <c r="GVG2" s="1"/>
      <c r="GVH2" s="1"/>
      <c r="GVI2" s="1"/>
      <c r="GVJ2" s="1"/>
      <c r="GVK2" s="1"/>
      <c r="GVL2" s="1"/>
      <c r="GVM2" s="1"/>
      <c r="GVN2" s="1"/>
      <c r="GVO2" s="1"/>
      <c r="GVP2" s="1"/>
      <c r="GVQ2" s="1"/>
      <c r="GVR2" s="1"/>
      <c r="GVS2" s="1"/>
      <c r="GVT2" s="1"/>
      <c r="GVU2" s="1"/>
      <c r="GVV2" s="1"/>
      <c r="GVW2" s="1"/>
      <c r="GVX2" s="1"/>
      <c r="GVY2" s="1"/>
      <c r="GVZ2" s="1"/>
      <c r="GWA2" s="1"/>
      <c r="GWB2" s="1"/>
      <c r="GWC2" s="1"/>
      <c r="GWD2" s="1"/>
      <c r="GWE2" s="1"/>
      <c r="GWF2" s="1"/>
      <c r="GWG2" s="1"/>
      <c r="GWH2" s="1"/>
      <c r="GWI2" s="1"/>
      <c r="GWJ2" s="1"/>
      <c r="GWK2" s="1"/>
      <c r="GWL2" s="1"/>
      <c r="GWM2" s="1"/>
      <c r="GWN2" s="1"/>
      <c r="GWO2" s="1"/>
      <c r="GWP2" s="1"/>
      <c r="GWQ2" s="1"/>
      <c r="GWR2" s="1"/>
      <c r="GWS2" s="1"/>
      <c r="GWT2" s="1"/>
      <c r="GWU2" s="1"/>
      <c r="GWV2" s="1"/>
      <c r="GWW2" s="1"/>
      <c r="GWX2" s="1"/>
      <c r="GWY2" s="1"/>
      <c r="GWZ2" s="1"/>
      <c r="GXA2" s="1"/>
      <c r="GXB2" s="1"/>
      <c r="GXC2" s="1"/>
      <c r="GXD2" s="1"/>
      <c r="GXE2" s="1"/>
      <c r="GXF2" s="1"/>
      <c r="GXG2" s="1"/>
      <c r="GXH2" s="1"/>
      <c r="GXI2" s="1"/>
      <c r="GXJ2" s="1"/>
      <c r="GXK2" s="1"/>
      <c r="GXL2" s="1"/>
      <c r="GXM2" s="1"/>
      <c r="GXN2" s="1"/>
      <c r="GXO2" s="1"/>
      <c r="GXP2" s="1"/>
      <c r="GXQ2" s="1"/>
      <c r="GXR2" s="1"/>
      <c r="GXS2" s="1"/>
      <c r="GXT2" s="1"/>
      <c r="GXU2" s="1"/>
      <c r="GXV2" s="1"/>
      <c r="GXW2" s="1"/>
      <c r="GXX2" s="1"/>
      <c r="GXY2" s="1"/>
      <c r="GXZ2" s="1"/>
      <c r="GYA2" s="1"/>
      <c r="GYB2" s="1"/>
      <c r="GYC2" s="1"/>
      <c r="GYD2" s="1"/>
      <c r="GYE2" s="1"/>
      <c r="GYF2" s="1"/>
      <c r="GYG2" s="1"/>
      <c r="GYH2" s="1"/>
      <c r="GYI2" s="1"/>
      <c r="GYJ2" s="1"/>
      <c r="GYK2" s="1"/>
      <c r="GYL2" s="1"/>
      <c r="GYM2" s="1"/>
      <c r="GYN2" s="1"/>
      <c r="GYO2" s="1"/>
      <c r="GYP2" s="1"/>
      <c r="GYQ2" s="1"/>
      <c r="GYR2" s="1"/>
      <c r="GYS2" s="1"/>
      <c r="GYT2" s="1"/>
      <c r="GYU2" s="1"/>
      <c r="GYV2" s="1"/>
      <c r="GYW2" s="1"/>
      <c r="GYX2" s="1"/>
      <c r="GYY2" s="1"/>
      <c r="GYZ2" s="1"/>
      <c r="GZA2" s="1"/>
      <c r="GZB2" s="1"/>
      <c r="GZC2" s="1"/>
      <c r="GZD2" s="1"/>
      <c r="GZE2" s="1"/>
      <c r="GZF2" s="1"/>
      <c r="GZG2" s="1"/>
      <c r="GZH2" s="1"/>
      <c r="GZI2" s="1"/>
      <c r="GZJ2" s="1"/>
      <c r="GZK2" s="1"/>
      <c r="GZL2" s="1"/>
      <c r="GZM2" s="1"/>
      <c r="GZN2" s="1"/>
      <c r="GZO2" s="1"/>
      <c r="GZP2" s="1"/>
      <c r="GZQ2" s="1"/>
      <c r="GZR2" s="1"/>
      <c r="GZS2" s="1"/>
      <c r="GZT2" s="1"/>
      <c r="GZU2" s="1"/>
      <c r="GZV2" s="1"/>
      <c r="GZW2" s="1"/>
      <c r="GZX2" s="1"/>
      <c r="GZY2" s="1"/>
      <c r="GZZ2" s="1"/>
      <c r="HAA2" s="1"/>
      <c r="HAB2" s="1"/>
      <c r="HAC2" s="1"/>
      <c r="HAD2" s="1"/>
      <c r="HAE2" s="1"/>
      <c r="HAF2" s="1"/>
      <c r="HAG2" s="1"/>
      <c r="HAH2" s="1"/>
      <c r="HAI2" s="1"/>
      <c r="HAJ2" s="1"/>
      <c r="HAK2" s="1"/>
      <c r="HAL2" s="1"/>
      <c r="HAM2" s="1"/>
      <c r="HAN2" s="1"/>
      <c r="HAO2" s="1"/>
      <c r="HAP2" s="1"/>
      <c r="HAQ2" s="1"/>
      <c r="HAR2" s="1"/>
      <c r="HAS2" s="1"/>
      <c r="HAT2" s="1"/>
      <c r="HAU2" s="1"/>
      <c r="HAV2" s="1"/>
      <c r="HAW2" s="1"/>
      <c r="HAX2" s="1"/>
      <c r="HAY2" s="1"/>
      <c r="HAZ2" s="1"/>
      <c r="HBA2" s="1"/>
      <c r="HBB2" s="1"/>
      <c r="HBC2" s="1"/>
      <c r="HBD2" s="1"/>
      <c r="HBE2" s="1"/>
      <c r="HBF2" s="1"/>
      <c r="HBG2" s="1"/>
      <c r="HBH2" s="1"/>
      <c r="HBI2" s="1"/>
      <c r="HBJ2" s="1"/>
      <c r="HBK2" s="1"/>
      <c r="HBL2" s="1"/>
      <c r="HBM2" s="1"/>
      <c r="HBN2" s="1"/>
      <c r="HBO2" s="1"/>
      <c r="HBP2" s="1"/>
      <c r="HBQ2" s="1"/>
      <c r="HBR2" s="1"/>
      <c r="HBS2" s="1"/>
      <c r="HBT2" s="1"/>
      <c r="HBU2" s="1"/>
      <c r="HBV2" s="1"/>
      <c r="HBW2" s="1"/>
      <c r="HBX2" s="1"/>
      <c r="HBY2" s="1"/>
      <c r="HBZ2" s="1"/>
      <c r="HCA2" s="1"/>
      <c r="HCB2" s="1"/>
      <c r="HCC2" s="1"/>
      <c r="HCD2" s="1"/>
      <c r="HCE2" s="1"/>
      <c r="HCF2" s="1"/>
      <c r="HCG2" s="1"/>
      <c r="HCH2" s="1"/>
      <c r="HCI2" s="1"/>
      <c r="HCJ2" s="1"/>
      <c r="HCK2" s="1"/>
      <c r="HCL2" s="1"/>
      <c r="HCM2" s="1"/>
      <c r="HCN2" s="1"/>
      <c r="HCO2" s="1"/>
      <c r="HCP2" s="1"/>
      <c r="HCQ2" s="1"/>
      <c r="HCR2" s="1"/>
      <c r="HCS2" s="1"/>
      <c r="HCT2" s="1"/>
      <c r="HCU2" s="1"/>
      <c r="HCV2" s="1"/>
      <c r="HCW2" s="1"/>
      <c r="HCX2" s="1"/>
      <c r="HCY2" s="1"/>
      <c r="HCZ2" s="1"/>
      <c r="HDA2" s="1"/>
      <c r="HDB2" s="1"/>
      <c r="HDC2" s="1"/>
      <c r="HDD2" s="1"/>
      <c r="HDE2" s="1"/>
      <c r="HDF2" s="1"/>
      <c r="HDG2" s="1"/>
      <c r="HDH2" s="1"/>
      <c r="HDI2" s="1"/>
      <c r="HDJ2" s="1"/>
      <c r="HDK2" s="1"/>
      <c r="HDL2" s="1"/>
      <c r="HDM2" s="1"/>
      <c r="HDN2" s="1"/>
      <c r="HDO2" s="1"/>
      <c r="HDP2" s="1"/>
      <c r="HDQ2" s="1"/>
      <c r="HDR2" s="1"/>
      <c r="HDS2" s="1"/>
      <c r="HDT2" s="1"/>
      <c r="HDU2" s="1"/>
      <c r="HDV2" s="1"/>
      <c r="HDW2" s="1"/>
      <c r="HDX2" s="1"/>
      <c r="HDY2" s="1"/>
      <c r="HDZ2" s="1"/>
      <c r="HEA2" s="1"/>
      <c r="HEB2" s="1"/>
      <c r="HEC2" s="1"/>
      <c r="HED2" s="1"/>
      <c r="HEE2" s="1"/>
      <c r="HEF2" s="1"/>
      <c r="HEG2" s="1"/>
      <c r="HEH2" s="1"/>
      <c r="HEI2" s="1"/>
      <c r="HEJ2" s="1"/>
      <c r="HEK2" s="1"/>
      <c r="HEL2" s="1"/>
      <c r="HEM2" s="1"/>
      <c r="HEN2" s="1"/>
      <c r="HEO2" s="1"/>
      <c r="HEP2" s="1"/>
      <c r="HEQ2" s="1"/>
      <c r="HER2" s="1"/>
      <c r="HES2" s="1"/>
      <c r="HET2" s="1"/>
      <c r="HEU2" s="1"/>
      <c r="HEV2" s="1"/>
      <c r="HEW2" s="1"/>
      <c r="HEX2" s="1"/>
      <c r="HEY2" s="1"/>
      <c r="HEZ2" s="1"/>
      <c r="HFA2" s="1"/>
      <c r="HFB2" s="1"/>
      <c r="HFC2" s="1"/>
      <c r="HFD2" s="1"/>
      <c r="HFE2" s="1"/>
      <c r="HFF2" s="1"/>
      <c r="HFG2" s="1"/>
      <c r="HFH2" s="1"/>
      <c r="HFI2" s="1"/>
      <c r="HFJ2" s="1"/>
      <c r="HFK2" s="1"/>
      <c r="HFL2" s="1"/>
      <c r="HFM2" s="1"/>
      <c r="HFN2" s="1"/>
      <c r="HFO2" s="1"/>
      <c r="HFP2" s="1"/>
      <c r="HFQ2" s="1"/>
      <c r="HFR2" s="1"/>
      <c r="HFS2" s="1"/>
      <c r="HFT2" s="1"/>
      <c r="HFU2" s="1"/>
      <c r="HFV2" s="1"/>
      <c r="HFW2" s="1"/>
      <c r="HFX2" s="1"/>
      <c r="HFY2" s="1"/>
      <c r="HFZ2" s="1"/>
      <c r="HGA2" s="1"/>
      <c r="HGB2" s="1"/>
      <c r="HGC2" s="1"/>
      <c r="HGD2" s="1"/>
      <c r="HGE2" s="1"/>
      <c r="HGF2" s="1"/>
      <c r="HGG2" s="1"/>
      <c r="HGH2" s="1"/>
      <c r="HGI2" s="1"/>
      <c r="HGJ2" s="1"/>
      <c r="HGK2" s="1"/>
      <c r="HGL2" s="1"/>
      <c r="HGM2" s="1"/>
      <c r="HGN2" s="1"/>
      <c r="HGO2" s="1"/>
      <c r="HGP2" s="1"/>
      <c r="HGQ2" s="1"/>
      <c r="HGR2" s="1"/>
      <c r="HGS2" s="1"/>
      <c r="HGT2" s="1"/>
      <c r="HGU2" s="1"/>
      <c r="HGV2" s="1"/>
      <c r="HGW2" s="1"/>
      <c r="HGX2" s="1"/>
      <c r="HGY2" s="1"/>
      <c r="HGZ2" s="1"/>
      <c r="HHA2" s="1"/>
      <c r="HHB2" s="1"/>
      <c r="HHC2" s="1"/>
      <c r="HHD2" s="1"/>
      <c r="HHE2" s="1"/>
      <c r="HHF2" s="1"/>
      <c r="HHG2" s="1"/>
      <c r="HHH2" s="1"/>
      <c r="HHI2" s="1"/>
      <c r="HHJ2" s="1"/>
      <c r="HHK2" s="1"/>
      <c r="HHL2" s="1"/>
      <c r="HHM2" s="1"/>
      <c r="HHN2" s="1"/>
      <c r="HHO2" s="1"/>
      <c r="HHP2" s="1"/>
      <c r="HHQ2" s="1"/>
      <c r="HHR2" s="1"/>
      <c r="HHS2" s="1"/>
      <c r="HHT2" s="1"/>
      <c r="HHU2" s="1"/>
      <c r="HHV2" s="1"/>
      <c r="HHW2" s="1"/>
      <c r="HHX2" s="1"/>
      <c r="HHY2" s="1"/>
      <c r="HHZ2" s="1"/>
      <c r="HIA2" s="1"/>
      <c r="HIB2" s="1"/>
      <c r="HIC2" s="1"/>
      <c r="HID2" s="1"/>
      <c r="HIE2" s="1"/>
      <c r="HIF2" s="1"/>
      <c r="HIG2" s="1"/>
      <c r="HIH2" s="1"/>
      <c r="HII2" s="1"/>
      <c r="HIJ2" s="1"/>
      <c r="HIK2" s="1"/>
      <c r="HIL2" s="1"/>
      <c r="HIM2" s="1"/>
      <c r="HIN2" s="1"/>
      <c r="HIO2" s="1"/>
      <c r="HIP2" s="1"/>
      <c r="HIQ2" s="1"/>
      <c r="HIR2" s="1"/>
      <c r="HIS2" s="1"/>
      <c r="HIT2" s="1"/>
      <c r="HIU2" s="1"/>
      <c r="HIV2" s="1"/>
      <c r="HIW2" s="1"/>
      <c r="HIX2" s="1"/>
      <c r="HIY2" s="1"/>
      <c r="HIZ2" s="1"/>
      <c r="HJA2" s="1"/>
      <c r="HJB2" s="1"/>
      <c r="HJC2" s="1"/>
      <c r="HJD2" s="1"/>
      <c r="HJE2" s="1"/>
      <c r="HJF2" s="1"/>
      <c r="HJG2" s="1"/>
      <c r="HJH2" s="1"/>
      <c r="HJI2" s="1"/>
      <c r="HJJ2" s="1"/>
      <c r="HJK2" s="1"/>
      <c r="HJL2" s="1"/>
      <c r="HJM2" s="1"/>
      <c r="HJN2" s="1"/>
      <c r="HJO2" s="1"/>
      <c r="HJP2" s="1"/>
      <c r="HJQ2" s="1"/>
      <c r="HJR2" s="1"/>
      <c r="HJS2" s="1"/>
      <c r="HJT2" s="1"/>
      <c r="HJU2" s="1"/>
      <c r="HJV2" s="1"/>
      <c r="HJW2" s="1"/>
      <c r="HJX2" s="1"/>
      <c r="HJY2" s="1"/>
      <c r="HJZ2" s="1"/>
      <c r="HKA2" s="1"/>
      <c r="HKB2" s="1"/>
      <c r="HKC2" s="1"/>
      <c r="HKD2" s="1"/>
      <c r="HKE2" s="1"/>
      <c r="HKF2" s="1"/>
      <c r="HKG2" s="1"/>
      <c r="HKH2" s="1"/>
      <c r="HKI2" s="1"/>
      <c r="HKJ2" s="1"/>
      <c r="HKK2" s="1"/>
      <c r="HKL2" s="1"/>
      <c r="HKM2" s="1"/>
      <c r="HKN2" s="1"/>
      <c r="HKO2" s="1"/>
      <c r="HKP2" s="1"/>
      <c r="HKQ2" s="1"/>
      <c r="HKR2" s="1"/>
      <c r="HKS2" s="1"/>
      <c r="HKT2" s="1"/>
      <c r="HKU2" s="1"/>
      <c r="HKV2" s="1"/>
      <c r="HKW2" s="1"/>
      <c r="HKX2" s="1"/>
      <c r="HKY2" s="1"/>
      <c r="HKZ2" s="1"/>
      <c r="HLA2" s="1"/>
      <c r="HLB2" s="1"/>
      <c r="HLC2" s="1"/>
      <c r="HLD2" s="1"/>
      <c r="HLE2" s="1"/>
      <c r="HLF2" s="1"/>
      <c r="HLG2" s="1"/>
      <c r="HLH2" s="1"/>
      <c r="HLI2" s="1"/>
      <c r="HLJ2" s="1"/>
      <c r="HLK2" s="1"/>
      <c r="HLL2" s="1"/>
      <c r="HLM2" s="1"/>
      <c r="HLN2" s="1"/>
      <c r="HLO2" s="1"/>
      <c r="HLP2" s="1"/>
      <c r="HLQ2" s="1"/>
      <c r="HLR2" s="1"/>
      <c r="HLS2" s="1"/>
      <c r="HLT2" s="1"/>
      <c r="HLU2" s="1"/>
      <c r="HLV2" s="1"/>
      <c r="HLW2" s="1"/>
      <c r="HLX2" s="1"/>
      <c r="HLY2" s="1"/>
      <c r="HLZ2" s="1"/>
      <c r="HMA2" s="1"/>
      <c r="HMB2" s="1"/>
      <c r="HMC2" s="1"/>
      <c r="HMD2" s="1"/>
      <c r="HME2" s="1"/>
      <c r="HMF2" s="1"/>
      <c r="HMG2" s="1"/>
      <c r="HMH2" s="1"/>
      <c r="HMI2" s="1"/>
      <c r="HMJ2" s="1"/>
      <c r="HMK2" s="1"/>
      <c r="HML2" s="1"/>
      <c r="HMM2" s="1"/>
      <c r="HMN2" s="1"/>
      <c r="HMO2" s="1"/>
      <c r="HMP2" s="1"/>
      <c r="HMQ2" s="1"/>
      <c r="HMR2" s="1"/>
      <c r="HMS2" s="1"/>
      <c r="HMT2" s="1"/>
      <c r="HMU2" s="1"/>
      <c r="HMV2" s="1"/>
      <c r="HMW2" s="1"/>
      <c r="HMX2" s="1"/>
      <c r="HMY2" s="1"/>
      <c r="HMZ2" s="1"/>
      <c r="HNA2" s="1"/>
      <c r="HNB2" s="1"/>
      <c r="HNC2" s="1"/>
      <c r="HND2" s="1"/>
      <c r="HNE2" s="1"/>
      <c r="HNF2" s="1"/>
      <c r="HNG2" s="1"/>
      <c r="HNH2" s="1"/>
      <c r="HNI2" s="1"/>
      <c r="HNJ2" s="1"/>
      <c r="HNK2" s="1"/>
      <c r="HNL2" s="1"/>
      <c r="HNM2" s="1"/>
      <c r="HNN2" s="1"/>
      <c r="HNO2" s="1"/>
      <c r="HNP2" s="1"/>
      <c r="HNQ2" s="1"/>
      <c r="HNR2" s="1"/>
      <c r="HNS2" s="1"/>
      <c r="HNT2" s="1"/>
      <c r="HNU2" s="1"/>
      <c r="HNV2" s="1"/>
      <c r="HNW2" s="1"/>
      <c r="HNX2" s="1"/>
      <c r="HNY2" s="1"/>
      <c r="HNZ2" s="1"/>
      <c r="HOA2" s="1"/>
      <c r="HOB2" s="1"/>
      <c r="HOC2" s="1"/>
      <c r="HOD2" s="1"/>
      <c r="HOE2" s="1"/>
      <c r="HOF2" s="1"/>
      <c r="HOG2" s="1"/>
      <c r="HOH2" s="1"/>
      <c r="HOI2" s="1"/>
      <c r="HOJ2" s="1"/>
      <c r="HOK2" s="1"/>
      <c r="HOL2" s="1"/>
      <c r="HOM2" s="1"/>
      <c r="HON2" s="1"/>
      <c r="HOO2" s="1"/>
      <c r="HOP2" s="1"/>
      <c r="HOQ2" s="1"/>
      <c r="HOR2" s="1"/>
      <c r="HOS2" s="1"/>
      <c r="HOT2" s="1"/>
      <c r="HOU2" s="1"/>
      <c r="HOV2" s="1"/>
      <c r="HOW2" s="1"/>
      <c r="HOX2" s="1"/>
      <c r="HOY2" s="1"/>
      <c r="HOZ2" s="1"/>
      <c r="HPA2" s="1"/>
      <c r="HPB2" s="1"/>
      <c r="HPC2" s="1"/>
      <c r="HPD2" s="1"/>
      <c r="HPE2" s="1"/>
      <c r="HPF2" s="1"/>
      <c r="HPG2" s="1"/>
      <c r="HPH2" s="1"/>
      <c r="HPI2" s="1"/>
      <c r="HPJ2" s="1"/>
      <c r="HPK2" s="1"/>
      <c r="HPL2" s="1"/>
      <c r="HPM2" s="1"/>
      <c r="HPN2" s="1"/>
      <c r="HPO2" s="1"/>
      <c r="HPP2" s="1"/>
      <c r="HPQ2" s="1"/>
      <c r="HPR2" s="1"/>
      <c r="HPS2" s="1"/>
      <c r="HPT2" s="1"/>
      <c r="HPU2" s="1"/>
      <c r="HPV2" s="1"/>
      <c r="HPW2" s="1"/>
      <c r="HPX2" s="1"/>
      <c r="HPY2" s="1"/>
      <c r="HPZ2" s="1"/>
      <c r="HQA2" s="1"/>
      <c r="HQB2" s="1"/>
      <c r="HQC2" s="1"/>
      <c r="HQD2" s="1"/>
      <c r="HQE2" s="1"/>
      <c r="HQF2" s="1"/>
      <c r="HQG2" s="1"/>
      <c r="HQH2" s="1"/>
      <c r="HQI2" s="1"/>
      <c r="HQJ2" s="1"/>
      <c r="HQK2" s="1"/>
      <c r="HQL2" s="1"/>
      <c r="HQM2" s="1"/>
      <c r="HQN2" s="1"/>
      <c r="HQO2" s="1"/>
      <c r="HQP2" s="1"/>
      <c r="HQQ2" s="1"/>
      <c r="HQR2" s="1"/>
      <c r="HQS2" s="1"/>
      <c r="HQT2" s="1"/>
      <c r="HQU2" s="1"/>
      <c r="HQV2" s="1"/>
      <c r="HQW2" s="1"/>
      <c r="HQX2" s="1"/>
      <c r="HQY2" s="1"/>
      <c r="HQZ2" s="1"/>
      <c r="HRA2" s="1"/>
      <c r="HRB2" s="1"/>
      <c r="HRC2" s="1"/>
      <c r="HRD2" s="1"/>
      <c r="HRE2" s="1"/>
      <c r="HRF2" s="1"/>
      <c r="HRG2" s="1"/>
      <c r="HRH2" s="1"/>
      <c r="HRI2" s="1"/>
      <c r="HRJ2" s="1"/>
      <c r="HRK2" s="1"/>
      <c r="HRL2" s="1"/>
      <c r="HRM2" s="1"/>
      <c r="HRN2" s="1"/>
      <c r="HRO2" s="1"/>
      <c r="HRP2" s="1"/>
      <c r="HRQ2" s="1"/>
      <c r="HRR2" s="1"/>
      <c r="HRS2" s="1"/>
      <c r="HRT2" s="1"/>
      <c r="HRU2" s="1"/>
      <c r="HRV2" s="1"/>
      <c r="HRW2" s="1"/>
      <c r="HRX2" s="1"/>
      <c r="HRY2" s="1"/>
      <c r="HRZ2" s="1"/>
      <c r="HSA2" s="1"/>
      <c r="HSB2" s="1"/>
      <c r="HSC2" s="1"/>
      <c r="HSD2" s="1"/>
      <c r="HSE2" s="1"/>
      <c r="HSF2" s="1"/>
      <c r="HSG2" s="1"/>
      <c r="HSH2" s="1"/>
      <c r="HSI2" s="1"/>
      <c r="HSJ2" s="1"/>
      <c r="HSK2" s="1"/>
      <c r="HSL2" s="1"/>
      <c r="HSM2" s="1"/>
      <c r="HSN2" s="1"/>
      <c r="HSO2" s="1"/>
      <c r="HSP2" s="1"/>
      <c r="HSQ2" s="1"/>
      <c r="HSR2" s="1"/>
      <c r="HSS2" s="1"/>
      <c r="HST2" s="1"/>
      <c r="HSU2" s="1"/>
      <c r="HSV2" s="1"/>
      <c r="HSW2" s="1"/>
      <c r="HSX2" s="1"/>
      <c r="HSY2" s="1"/>
      <c r="HSZ2" s="1"/>
      <c r="HTA2" s="1"/>
      <c r="HTB2" s="1"/>
      <c r="HTC2" s="1"/>
      <c r="HTD2" s="1"/>
      <c r="HTE2" s="1"/>
      <c r="HTF2" s="1"/>
      <c r="HTG2" s="1"/>
      <c r="HTH2" s="1"/>
      <c r="HTI2" s="1"/>
      <c r="HTJ2" s="1"/>
      <c r="HTK2" s="1"/>
      <c r="HTL2" s="1"/>
      <c r="HTM2" s="1"/>
      <c r="HTN2" s="1"/>
      <c r="HTO2" s="1"/>
      <c r="HTP2" s="1"/>
      <c r="HTQ2" s="1"/>
      <c r="HTR2" s="1"/>
      <c r="HTS2" s="1"/>
      <c r="HTT2" s="1"/>
      <c r="HTU2" s="1"/>
      <c r="HTV2" s="1"/>
      <c r="HTW2" s="1"/>
      <c r="HTX2" s="1"/>
      <c r="HTY2" s="1"/>
      <c r="HTZ2" s="1"/>
      <c r="HUA2" s="1"/>
      <c r="HUB2" s="1"/>
      <c r="HUC2" s="1"/>
      <c r="HUD2" s="1"/>
      <c r="HUE2" s="1"/>
      <c r="HUF2" s="1"/>
      <c r="HUG2" s="1"/>
      <c r="HUH2" s="1"/>
      <c r="HUI2" s="1"/>
      <c r="HUJ2" s="1"/>
      <c r="HUK2" s="1"/>
      <c r="HUL2" s="1"/>
      <c r="HUM2" s="1"/>
      <c r="HUN2" s="1"/>
      <c r="HUO2" s="1"/>
      <c r="HUP2" s="1"/>
      <c r="HUQ2" s="1"/>
      <c r="HUR2" s="1"/>
      <c r="HUS2" s="1"/>
      <c r="HUT2" s="1"/>
      <c r="HUU2" s="1"/>
      <c r="HUV2" s="1"/>
      <c r="HUW2" s="1"/>
      <c r="HUX2" s="1"/>
      <c r="HUY2" s="1"/>
      <c r="HUZ2" s="1"/>
      <c r="HVA2" s="1"/>
      <c r="HVB2" s="1"/>
      <c r="HVC2" s="1"/>
      <c r="HVD2" s="1"/>
      <c r="HVE2" s="1"/>
      <c r="HVF2" s="1"/>
      <c r="HVG2" s="1"/>
      <c r="HVH2" s="1"/>
      <c r="HVI2" s="1"/>
      <c r="HVJ2" s="1"/>
      <c r="HVK2" s="1"/>
      <c r="HVL2" s="1"/>
      <c r="HVM2" s="1"/>
      <c r="HVN2" s="1"/>
      <c r="HVO2" s="1"/>
      <c r="HVP2" s="1"/>
      <c r="HVQ2" s="1"/>
      <c r="HVR2" s="1"/>
      <c r="HVS2" s="1"/>
      <c r="HVT2" s="1"/>
      <c r="HVU2" s="1"/>
      <c r="HVV2" s="1"/>
      <c r="HVW2" s="1"/>
      <c r="HVX2" s="1"/>
      <c r="HVY2" s="1"/>
      <c r="HVZ2" s="1"/>
      <c r="HWA2" s="1"/>
      <c r="HWB2" s="1"/>
      <c r="HWC2" s="1"/>
      <c r="HWD2" s="1"/>
      <c r="HWE2" s="1"/>
      <c r="HWF2" s="1"/>
      <c r="HWG2" s="1"/>
      <c r="HWH2" s="1"/>
      <c r="HWI2" s="1"/>
      <c r="HWJ2" s="1"/>
      <c r="HWK2" s="1"/>
      <c r="HWL2" s="1"/>
      <c r="HWM2" s="1"/>
      <c r="HWN2" s="1"/>
      <c r="HWO2" s="1"/>
      <c r="HWP2" s="1"/>
      <c r="HWQ2" s="1"/>
      <c r="HWR2" s="1"/>
      <c r="HWS2" s="1"/>
      <c r="HWT2" s="1"/>
      <c r="HWU2" s="1"/>
      <c r="HWV2" s="1"/>
      <c r="HWW2" s="1"/>
      <c r="HWX2" s="1"/>
      <c r="HWY2" s="1"/>
      <c r="HWZ2" s="1"/>
      <c r="HXA2" s="1"/>
      <c r="HXB2" s="1"/>
      <c r="HXC2" s="1"/>
      <c r="HXD2" s="1"/>
      <c r="HXE2" s="1"/>
      <c r="HXF2" s="1"/>
      <c r="HXG2" s="1"/>
      <c r="HXH2" s="1"/>
      <c r="HXI2" s="1"/>
      <c r="HXJ2" s="1"/>
      <c r="HXK2" s="1"/>
      <c r="HXL2" s="1"/>
      <c r="HXM2" s="1"/>
      <c r="HXN2" s="1"/>
      <c r="HXO2" s="1"/>
      <c r="HXP2" s="1"/>
      <c r="HXQ2" s="1"/>
      <c r="HXR2" s="1"/>
      <c r="HXS2" s="1"/>
      <c r="HXT2" s="1"/>
      <c r="HXU2" s="1"/>
      <c r="HXV2" s="1"/>
      <c r="HXW2" s="1"/>
      <c r="HXX2" s="1"/>
      <c r="HXY2" s="1"/>
      <c r="HXZ2" s="1"/>
      <c r="HYA2" s="1"/>
      <c r="HYB2" s="1"/>
      <c r="HYC2" s="1"/>
      <c r="HYD2" s="1"/>
      <c r="HYE2" s="1"/>
      <c r="HYF2" s="1"/>
      <c r="HYG2" s="1"/>
      <c r="HYH2" s="1"/>
      <c r="HYI2" s="1"/>
      <c r="HYJ2" s="1"/>
      <c r="HYK2" s="1"/>
      <c r="HYL2" s="1"/>
      <c r="HYM2" s="1"/>
      <c r="HYN2" s="1"/>
      <c r="HYO2" s="1"/>
      <c r="HYP2" s="1"/>
      <c r="HYQ2" s="1"/>
      <c r="HYR2" s="1"/>
      <c r="HYS2" s="1"/>
      <c r="HYT2" s="1"/>
      <c r="HYU2" s="1"/>
      <c r="HYV2" s="1"/>
      <c r="HYW2" s="1"/>
      <c r="HYX2" s="1"/>
      <c r="HYY2" s="1"/>
      <c r="HYZ2" s="1"/>
      <c r="HZA2" s="1"/>
      <c r="HZB2" s="1"/>
      <c r="HZC2" s="1"/>
      <c r="HZD2" s="1"/>
      <c r="HZE2" s="1"/>
      <c r="HZF2" s="1"/>
      <c r="HZG2" s="1"/>
      <c r="HZH2" s="1"/>
      <c r="HZI2" s="1"/>
      <c r="HZJ2" s="1"/>
      <c r="HZK2" s="1"/>
      <c r="HZL2" s="1"/>
      <c r="HZM2" s="1"/>
      <c r="HZN2" s="1"/>
      <c r="HZO2" s="1"/>
      <c r="HZP2" s="1"/>
      <c r="HZQ2" s="1"/>
      <c r="HZR2" s="1"/>
      <c r="HZS2" s="1"/>
      <c r="HZT2" s="1"/>
      <c r="HZU2" s="1"/>
      <c r="HZV2" s="1"/>
      <c r="HZW2" s="1"/>
      <c r="HZX2" s="1"/>
      <c r="HZY2" s="1"/>
      <c r="HZZ2" s="1"/>
      <c r="IAA2" s="1"/>
      <c r="IAB2" s="1"/>
      <c r="IAC2" s="1"/>
      <c r="IAD2" s="1"/>
      <c r="IAE2" s="1"/>
      <c r="IAF2" s="1"/>
      <c r="IAG2" s="1"/>
      <c r="IAH2" s="1"/>
      <c r="IAI2" s="1"/>
      <c r="IAJ2" s="1"/>
      <c r="IAK2" s="1"/>
      <c r="IAL2" s="1"/>
      <c r="IAM2" s="1"/>
      <c r="IAN2" s="1"/>
      <c r="IAO2" s="1"/>
      <c r="IAP2" s="1"/>
      <c r="IAQ2" s="1"/>
      <c r="IAR2" s="1"/>
      <c r="IAS2" s="1"/>
      <c r="IAT2" s="1"/>
      <c r="IAU2" s="1"/>
      <c r="IAV2" s="1"/>
      <c r="IAW2" s="1"/>
      <c r="IAX2" s="1"/>
      <c r="IAY2" s="1"/>
      <c r="IAZ2" s="1"/>
      <c r="IBA2" s="1"/>
      <c r="IBB2" s="1"/>
      <c r="IBC2" s="1"/>
      <c r="IBD2" s="1"/>
      <c r="IBE2" s="1"/>
      <c r="IBF2" s="1"/>
      <c r="IBG2" s="1"/>
      <c r="IBH2" s="1"/>
      <c r="IBI2" s="1"/>
      <c r="IBJ2" s="1"/>
      <c r="IBK2" s="1"/>
      <c r="IBL2" s="1"/>
      <c r="IBM2" s="1"/>
      <c r="IBN2" s="1"/>
      <c r="IBO2" s="1"/>
      <c r="IBP2" s="1"/>
      <c r="IBQ2" s="1"/>
      <c r="IBR2" s="1"/>
      <c r="IBS2" s="1"/>
      <c r="IBT2" s="1"/>
      <c r="IBU2" s="1"/>
      <c r="IBV2" s="1"/>
      <c r="IBW2" s="1"/>
      <c r="IBX2" s="1"/>
      <c r="IBY2" s="1"/>
      <c r="IBZ2" s="1"/>
      <c r="ICA2" s="1"/>
      <c r="ICB2" s="1"/>
      <c r="ICC2" s="1"/>
      <c r="ICD2" s="1"/>
      <c r="ICE2" s="1"/>
      <c r="ICF2" s="1"/>
      <c r="ICG2" s="1"/>
      <c r="ICH2" s="1"/>
      <c r="ICI2" s="1"/>
      <c r="ICJ2" s="1"/>
      <c r="ICK2" s="1"/>
      <c r="ICL2" s="1"/>
      <c r="ICM2" s="1"/>
      <c r="ICN2" s="1"/>
      <c r="ICO2" s="1"/>
      <c r="ICP2" s="1"/>
      <c r="ICQ2" s="1"/>
      <c r="ICR2" s="1"/>
      <c r="ICS2" s="1"/>
      <c r="ICT2" s="1"/>
      <c r="ICU2" s="1"/>
      <c r="ICV2" s="1"/>
      <c r="ICW2" s="1"/>
      <c r="ICX2" s="1"/>
      <c r="ICY2" s="1"/>
      <c r="ICZ2" s="1"/>
      <c r="IDA2" s="1"/>
      <c r="IDB2" s="1"/>
      <c r="IDC2" s="1"/>
      <c r="IDD2" s="1"/>
      <c r="IDE2" s="1"/>
      <c r="IDF2" s="1"/>
      <c r="IDG2" s="1"/>
      <c r="IDH2" s="1"/>
      <c r="IDI2" s="1"/>
      <c r="IDJ2" s="1"/>
      <c r="IDK2" s="1"/>
      <c r="IDL2" s="1"/>
      <c r="IDM2" s="1"/>
      <c r="IDN2" s="1"/>
      <c r="IDO2" s="1"/>
      <c r="IDP2" s="1"/>
      <c r="IDQ2" s="1"/>
      <c r="IDR2" s="1"/>
      <c r="IDS2" s="1"/>
      <c r="IDT2" s="1"/>
      <c r="IDU2" s="1"/>
      <c r="IDV2" s="1"/>
      <c r="IDW2" s="1"/>
      <c r="IDX2" s="1"/>
      <c r="IDY2" s="1"/>
      <c r="IDZ2" s="1"/>
      <c r="IEA2" s="1"/>
      <c r="IEB2" s="1"/>
      <c r="IEC2" s="1"/>
      <c r="IED2" s="1"/>
      <c r="IEE2" s="1"/>
      <c r="IEF2" s="1"/>
      <c r="IEG2" s="1"/>
      <c r="IEH2" s="1"/>
      <c r="IEI2" s="1"/>
      <c r="IEJ2" s="1"/>
      <c r="IEK2" s="1"/>
      <c r="IEL2" s="1"/>
      <c r="IEM2" s="1"/>
      <c r="IEN2" s="1"/>
      <c r="IEO2" s="1"/>
      <c r="IEP2" s="1"/>
      <c r="IEQ2" s="1"/>
      <c r="IER2" s="1"/>
      <c r="IES2" s="1"/>
      <c r="IET2" s="1"/>
      <c r="IEU2" s="1"/>
      <c r="IEV2" s="1"/>
      <c r="IEW2" s="1"/>
      <c r="IEX2" s="1"/>
      <c r="IEY2" s="1"/>
      <c r="IEZ2" s="1"/>
      <c r="IFA2" s="1"/>
      <c r="IFB2" s="1"/>
      <c r="IFC2" s="1"/>
      <c r="IFD2" s="1"/>
      <c r="IFE2" s="1"/>
      <c r="IFF2" s="1"/>
      <c r="IFG2" s="1"/>
      <c r="IFH2" s="1"/>
      <c r="IFI2" s="1"/>
      <c r="IFJ2" s="1"/>
      <c r="IFK2" s="1"/>
      <c r="IFL2" s="1"/>
      <c r="IFM2" s="1"/>
      <c r="IFN2" s="1"/>
      <c r="IFO2" s="1"/>
      <c r="IFP2" s="1"/>
      <c r="IFQ2" s="1"/>
      <c r="IFR2" s="1"/>
      <c r="IFS2" s="1"/>
      <c r="IFT2" s="1"/>
      <c r="IFU2" s="1"/>
      <c r="IFV2" s="1"/>
      <c r="IFW2" s="1"/>
      <c r="IFX2" s="1"/>
      <c r="IFY2" s="1"/>
      <c r="IFZ2" s="1"/>
      <c r="IGA2" s="1"/>
      <c r="IGB2" s="1"/>
      <c r="IGC2" s="1"/>
      <c r="IGD2" s="1"/>
      <c r="IGE2" s="1"/>
      <c r="IGF2" s="1"/>
      <c r="IGG2" s="1"/>
      <c r="IGH2" s="1"/>
      <c r="IGI2" s="1"/>
      <c r="IGJ2" s="1"/>
      <c r="IGK2" s="1"/>
      <c r="IGL2" s="1"/>
      <c r="IGM2" s="1"/>
      <c r="IGN2" s="1"/>
      <c r="IGO2" s="1"/>
      <c r="IGP2" s="1"/>
      <c r="IGQ2" s="1"/>
      <c r="IGR2" s="1"/>
      <c r="IGS2" s="1"/>
      <c r="IGT2" s="1"/>
      <c r="IGU2" s="1"/>
      <c r="IGV2" s="1"/>
      <c r="IGW2" s="1"/>
      <c r="IGX2" s="1"/>
      <c r="IGY2" s="1"/>
      <c r="IGZ2" s="1"/>
      <c r="IHA2" s="1"/>
      <c r="IHB2" s="1"/>
      <c r="IHC2" s="1"/>
      <c r="IHD2" s="1"/>
      <c r="IHE2" s="1"/>
      <c r="IHF2" s="1"/>
      <c r="IHG2" s="1"/>
      <c r="IHH2" s="1"/>
      <c r="IHI2" s="1"/>
      <c r="IHJ2" s="1"/>
      <c r="IHK2" s="1"/>
      <c r="IHL2" s="1"/>
      <c r="IHM2" s="1"/>
      <c r="IHN2" s="1"/>
      <c r="IHO2" s="1"/>
      <c r="IHP2" s="1"/>
      <c r="IHQ2" s="1"/>
      <c r="IHR2" s="1"/>
      <c r="IHS2" s="1"/>
      <c r="IHT2" s="1"/>
      <c r="IHU2" s="1"/>
      <c r="IHV2" s="1"/>
      <c r="IHW2" s="1"/>
      <c r="IHX2" s="1"/>
      <c r="IHY2" s="1"/>
      <c r="IHZ2" s="1"/>
      <c r="IIA2" s="1"/>
      <c r="IIB2" s="1"/>
      <c r="IIC2" s="1"/>
      <c r="IID2" s="1"/>
      <c r="IIE2" s="1"/>
      <c r="IIF2" s="1"/>
      <c r="IIG2" s="1"/>
      <c r="IIH2" s="1"/>
      <c r="III2" s="1"/>
      <c r="IIJ2" s="1"/>
      <c r="IIK2" s="1"/>
      <c r="IIL2" s="1"/>
      <c r="IIM2" s="1"/>
      <c r="IIN2" s="1"/>
      <c r="IIO2" s="1"/>
      <c r="IIP2" s="1"/>
      <c r="IIQ2" s="1"/>
      <c r="IIR2" s="1"/>
      <c r="IIS2" s="1"/>
      <c r="IIT2" s="1"/>
      <c r="IIU2" s="1"/>
      <c r="IIV2" s="1"/>
      <c r="IIW2" s="1"/>
      <c r="IIX2" s="1"/>
      <c r="IIY2" s="1"/>
      <c r="IIZ2" s="1"/>
      <c r="IJA2" s="1"/>
      <c r="IJB2" s="1"/>
      <c r="IJC2" s="1"/>
      <c r="IJD2" s="1"/>
      <c r="IJE2" s="1"/>
      <c r="IJF2" s="1"/>
      <c r="IJG2" s="1"/>
      <c r="IJH2" s="1"/>
      <c r="IJI2" s="1"/>
      <c r="IJJ2" s="1"/>
      <c r="IJK2" s="1"/>
      <c r="IJL2" s="1"/>
      <c r="IJM2" s="1"/>
      <c r="IJN2" s="1"/>
      <c r="IJO2" s="1"/>
      <c r="IJP2" s="1"/>
      <c r="IJQ2" s="1"/>
      <c r="IJR2" s="1"/>
      <c r="IJS2" s="1"/>
      <c r="IJT2" s="1"/>
      <c r="IJU2" s="1"/>
      <c r="IJV2" s="1"/>
      <c r="IJW2" s="1"/>
      <c r="IJX2" s="1"/>
      <c r="IJY2" s="1"/>
      <c r="IJZ2" s="1"/>
      <c r="IKA2" s="1"/>
      <c r="IKB2" s="1"/>
      <c r="IKC2" s="1"/>
      <c r="IKD2" s="1"/>
      <c r="IKE2" s="1"/>
      <c r="IKF2" s="1"/>
      <c r="IKG2" s="1"/>
      <c r="IKH2" s="1"/>
      <c r="IKI2" s="1"/>
      <c r="IKJ2" s="1"/>
      <c r="IKK2" s="1"/>
      <c r="IKL2" s="1"/>
      <c r="IKM2" s="1"/>
      <c r="IKN2" s="1"/>
      <c r="IKO2" s="1"/>
      <c r="IKP2" s="1"/>
      <c r="IKQ2" s="1"/>
      <c r="IKR2" s="1"/>
      <c r="IKS2" s="1"/>
      <c r="IKT2" s="1"/>
      <c r="IKU2" s="1"/>
      <c r="IKV2" s="1"/>
      <c r="IKW2" s="1"/>
      <c r="IKX2" s="1"/>
      <c r="IKY2" s="1"/>
      <c r="IKZ2" s="1"/>
      <c r="ILA2" s="1"/>
      <c r="ILB2" s="1"/>
      <c r="ILC2" s="1"/>
      <c r="ILD2" s="1"/>
      <c r="ILE2" s="1"/>
      <c r="ILF2" s="1"/>
      <c r="ILG2" s="1"/>
      <c r="ILH2" s="1"/>
      <c r="ILI2" s="1"/>
      <c r="ILJ2" s="1"/>
      <c r="ILK2" s="1"/>
      <c r="ILL2" s="1"/>
      <c r="ILM2" s="1"/>
      <c r="ILN2" s="1"/>
      <c r="ILO2" s="1"/>
      <c r="ILP2" s="1"/>
      <c r="ILQ2" s="1"/>
      <c r="ILR2" s="1"/>
      <c r="ILS2" s="1"/>
      <c r="ILT2" s="1"/>
      <c r="ILU2" s="1"/>
      <c r="ILV2" s="1"/>
      <c r="ILW2" s="1"/>
      <c r="ILX2" s="1"/>
      <c r="ILY2" s="1"/>
      <c r="ILZ2" s="1"/>
      <c r="IMA2" s="1"/>
      <c r="IMB2" s="1"/>
      <c r="IMC2" s="1"/>
      <c r="IMD2" s="1"/>
      <c r="IME2" s="1"/>
      <c r="IMF2" s="1"/>
      <c r="IMG2" s="1"/>
      <c r="IMH2" s="1"/>
      <c r="IMI2" s="1"/>
      <c r="IMJ2" s="1"/>
      <c r="IMK2" s="1"/>
      <c r="IML2" s="1"/>
      <c r="IMM2" s="1"/>
      <c r="IMN2" s="1"/>
      <c r="IMO2" s="1"/>
      <c r="IMP2" s="1"/>
      <c r="IMQ2" s="1"/>
      <c r="IMR2" s="1"/>
      <c r="IMS2" s="1"/>
      <c r="IMT2" s="1"/>
      <c r="IMU2" s="1"/>
      <c r="IMV2" s="1"/>
      <c r="IMW2" s="1"/>
      <c r="IMX2" s="1"/>
      <c r="IMY2" s="1"/>
      <c r="IMZ2" s="1"/>
      <c r="INA2" s="1"/>
      <c r="INB2" s="1"/>
      <c r="INC2" s="1"/>
      <c r="IND2" s="1"/>
      <c r="INE2" s="1"/>
      <c r="INF2" s="1"/>
      <c r="ING2" s="1"/>
      <c r="INH2" s="1"/>
      <c r="INI2" s="1"/>
      <c r="INJ2" s="1"/>
      <c r="INK2" s="1"/>
      <c r="INL2" s="1"/>
      <c r="INM2" s="1"/>
      <c r="INN2" s="1"/>
      <c r="INO2" s="1"/>
      <c r="INP2" s="1"/>
      <c r="INQ2" s="1"/>
      <c r="INR2" s="1"/>
      <c r="INS2" s="1"/>
      <c r="INT2" s="1"/>
      <c r="INU2" s="1"/>
      <c r="INV2" s="1"/>
      <c r="INW2" s="1"/>
      <c r="INX2" s="1"/>
      <c r="INY2" s="1"/>
      <c r="INZ2" s="1"/>
      <c r="IOA2" s="1"/>
      <c r="IOB2" s="1"/>
      <c r="IOC2" s="1"/>
      <c r="IOD2" s="1"/>
      <c r="IOE2" s="1"/>
      <c r="IOF2" s="1"/>
      <c r="IOG2" s="1"/>
      <c r="IOH2" s="1"/>
      <c r="IOI2" s="1"/>
      <c r="IOJ2" s="1"/>
      <c r="IOK2" s="1"/>
      <c r="IOL2" s="1"/>
      <c r="IOM2" s="1"/>
      <c r="ION2" s="1"/>
      <c r="IOO2" s="1"/>
      <c r="IOP2" s="1"/>
      <c r="IOQ2" s="1"/>
      <c r="IOR2" s="1"/>
      <c r="IOS2" s="1"/>
      <c r="IOT2" s="1"/>
      <c r="IOU2" s="1"/>
      <c r="IOV2" s="1"/>
      <c r="IOW2" s="1"/>
      <c r="IOX2" s="1"/>
      <c r="IOY2" s="1"/>
      <c r="IOZ2" s="1"/>
      <c r="IPA2" s="1"/>
      <c r="IPB2" s="1"/>
      <c r="IPC2" s="1"/>
      <c r="IPD2" s="1"/>
      <c r="IPE2" s="1"/>
      <c r="IPF2" s="1"/>
      <c r="IPG2" s="1"/>
      <c r="IPH2" s="1"/>
      <c r="IPI2" s="1"/>
      <c r="IPJ2" s="1"/>
      <c r="IPK2" s="1"/>
      <c r="IPL2" s="1"/>
      <c r="IPM2" s="1"/>
      <c r="IPN2" s="1"/>
      <c r="IPO2" s="1"/>
      <c r="IPP2" s="1"/>
      <c r="IPQ2" s="1"/>
      <c r="IPR2" s="1"/>
      <c r="IPS2" s="1"/>
      <c r="IPT2" s="1"/>
      <c r="IPU2" s="1"/>
      <c r="IPV2" s="1"/>
      <c r="IPW2" s="1"/>
      <c r="IPX2" s="1"/>
      <c r="IPY2" s="1"/>
      <c r="IPZ2" s="1"/>
      <c r="IQA2" s="1"/>
      <c r="IQB2" s="1"/>
      <c r="IQC2" s="1"/>
      <c r="IQD2" s="1"/>
      <c r="IQE2" s="1"/>
      <c r="IQF2" s="1"/>
      <c r="IQG2" s="1"/>
      <c r="IQH2" s="1"/>
      <c r="IQI2" s="1"/>
      <c r="IQJ2" s="1"/>
      <c r="IQK2" s="1"/>
      <c r="IQL2" s="1"/>
      <c r="IQM2" s="1"/>
      <c r="IQN2" s="1"/>
      <c r="IQO2" s="1"/>
      <c r="IQP2" s="1"/>
      <c r="IQQ2" s="1"/>
      <c r="IQR2" s="1"/>
      <c r="IQS2" s="1"/>
      <c r="IQT2" s="1"/>
      <c r="IQU2" s="1"/>
      <c r="IQV2" s="1"/>
      <c r="IQW2" s="1"/>
      <c r="IQX2" s="1"/>
      <c r="IQY2" s="1"/>
      <c r="IQZ2" s="1"/>
      <c r="IRA2" s="1"/>
      <c r="IRB2" s="1"/>
      <c r="IRC2" s="1"/>
      <c r="IRD2" s="1"/>
      <c r="IRE2" s="1"/>
      <c r="IRF2" s="1"/>
      <c r="IRG2" s="1"/>
      <c r="IRH2" s="1"/>
      <c r="IRI2" s="1"/>
      <c r="IRJ2" s="1"/>
      <c r="IRK2" s="1"/>
      <c r="IRL2" s="1"/>
      <c r="IRM2" s="1"/>
      <c r="IRN2" s="1"/>
      <c r="IRO2" s="1"/>
      <c r="IRP2" s="1"/>
      <c r="IRQ2" s="1"/>
      <c r="IRR2" s="1"/>
      <c r="IRS2" s="1"/>
      <c r="IRT2" s="1"/>
      <c r="IRU2" s="1"/>
      <c r="IRV2" s="1"/>
      <c r="IRW2" s="1"/>
      <c r="IRX2" s="1"/>
      <c r="IRY2" s="1"/>
      <c r="IRZ2" s="1"/>
      <c r="ISA2" s="1"/>
      <c r="ISB2" s="1"/>
      <c r="ISC2" s="1"/>
      <c r="ISD2" s="1"/>
      <c r="ISE2" s="1"/>
      <c r="ISF2" s="1"/>
      <c r="ISG2" s="1"/>
      <c r="ISH2" s="1"/>
      <c r="ISI2" s="1"/>
      <c r="ISJ2" s="1"/>
      <c r="ISK2" s="1"/>
      <c r="ISL2" s="1"/>
      <c r="ISM2" s="1"/>
      <c r="ISN2" s="1"/>
      <c r="ISO2" s="1"/>
      <c r="ISP2" s="1"/>
      <c r="ISQ2" s="1"/>
      <c r="ISR2" s="1"/>
      <c r="ISS2" s="1"/>
      <c r="IST2" s="1"/>
      <c r="ISU2" s="1"/>
      <c r="ISV2" s="1"/>
      <c r="ISW2" s="1"/>
      <c r="ISX2" s="1"/>
      <c r="ISY2" s="1"/>
      <c r="ISZ2" s="1"/>
      <c r="ITA2" s="1"/>
      <c r="ITB2" s="1"/>
      <c r="ITC2" s="1"/>
      <c r="ITD2" s="1"/>
      <c r="ITE2" s="1"/>
      <c r="ITF2" s="1"/>
      <c r="ITG2" s="1"/>
      <c r="ITH2" s="1"/>
      <c r="ITI2" s="1"/>
      <c r="ITJ2" s="1"/>
      <c r="ITK2" s="1"/>
      <c r="ITL2" s="1"/>
      <c r="ITM2" s="1"/>
      <c r="ITN2" s="1"/>
      <c r="ITO2" s="1"/>
      <c r="ITP2" s="1"/>
      <c r="ITQ2" s="1"/>
      <c r="ITR2" s="1"/>
      <c r="ITS2" s="1"/>
      <c r="ITT2" s="1"/>
      <c r="ITU2" s="1"/>
      <c r="ITV2" s="1"/>
      <c r="ITW2" s="1"/>
      <c r="ITX2" s="1"/>
      <c r="ITY2" s="1"/>
      <c r="ITZ2" s="1"/>
      <c r="IUA2" s="1"/>
      <c r="IUB2" s="1"/>
      <c r="IUC2" s="1"/>
      <c r="IUD2" s="1"/>
      <c r="IUE2" s="1"/>
      <c r="IUF2" s="1"/>
      <c r="IUG2" s="1"/>
      <c r="IUH2" s="1"/>
      <c r="IUI2" s="1"/>
      <c r="IUJ2" s="1"/>
      <c r="IUK2" s="1"/>
      <c r="IUL2" s="1"/>
      <c r="IUM2" s="1"/>
      <c r="IUN2" s="1"/>
      <c r="IUO2" s="1"/>
      <c r="IUP2" s="1"/>
      <c r="IUQ2" s="1"/>
      <c r="IUR2" s="1"/>
      <c r="IUS2" s="1"/>
      <c r="IUT2" s="1"/>
      <c r="IUU2" s="1"/>
      <c r="IUV2" s="1"/>
      <c r="IUW2" s="1"/>
      <c r="IUX2" s="1"/>
      <c r="IUY2" s="1"/>
      <c r="IUZ2" s="1"/>
      <c r="IVA2" s="1"/>
      <c r="IVB2" s="1"/>
      <c r="IVC2" s="1"/>
      <c r="IVD2" s="1"/>
      <c r="IVE2" s="1"/>
      <c r="IVF2" s="1"/>
      <c r="IVG2" s="1"/>
      <c r="IVH2" s="1"/>
      <c r="IVI2" s="1"/>
      <c r="IVJ2" s="1"/>
      <c r="IVK2" s="1"/>
      <c r="IVL2" s="1"/>
      <c r="IVM2" s="1"/>
      <c r="IVN2" s="1"/>
      <c r="IVO2" s="1"/>
      <c r="IVP2" s="1"/>
      <c r="IVQ2" s="1"/>
      <c r="IVR2" s="1"/>
      <c r="IVS2" s="1"/>
      <c r="IVT2" s="1"/>
      <c r="IVU2" s="1"/>
      <c r="IVV2" s="1"/>
      <c r="IVW2" s="1"/>
      <c r="IVX2" s="1"/>
      <c r="IVY2" s="1"/>
      <c r="IVZ2" s="1"/>
      <c r="IWA2" s="1"/>
      <c r="IWB2" s="1"/>
      <c r="IWC2" s="1"/>
      <c r="IWD2" s="1"/>
      <c r="IWE2" s="1"/>
      <c r="IWF2" s="1"/>
      <c r="IWG2" s="1"/>
      <c r="IWH2" s="1"/>
      <c r="IWI2" s="1"/>
      <c r="IWJ2" s="1"/>
      <c r="IWK2" s="1"/>
      <c r="IWL2" s="1"/>
      <c r="IWM2" s="1"/>
      <c r="IWN2" s="1"/>
      <c r="IWO2" s="1"/>
      <c r="IWP2" s="1"/>
      <c r="IWQ2" s="1"/>
      <c r="IWR2" s="1"/>
      <c r="IWS2" s="1"/>
      <c r="IWT2" s="1"/>
      <c r="IWU2" s="1"/>
      <c r="IWV2" s="1"/>
      <c r="IWW2" s="1"/>
      <c r="IWX2" s="1"/>
      <c r="IWY2" s="1"/>
      <c r="IWZ2" s="1"/>
      <c r="IXA2" s="1"/>
      <c r="IXB2" s="1"/>
      <c r="IXC2" s="1"/>
      <c r="IXD2" s="1"/>
      <c r="IXE2" s="1"/>
      <c r="IXF2" s="1"/>
      <c r="IXG2" s="1"/>
      <c r="IXH2" s="1"/>
      <c r="IXI2" s="1"/>
      <c r="IXJ2" s="1"/>
      <c r="IXK2" s="1"/>
      <c r="IXL2" s="1"/>
      <c r="IXM2" s="1"/>
      <c r="IXN2" s="1"/>
      <c r="IXO2" s="1"/>
      <c r="IXP2" s="1"/>
      <c r="IXQ2" s="1"/>
      <c r="IXR2" s="1"/>
      <c r="IXS2" s="1"/>
      <c r="IXT2" s="1"/>
      <c r="IXU2" s="1"/>
      <c r="IXV2" s="1"/>
      <c r="IXW2" s="1"/>
      <c r="IXX2" s="1"/>
      <c r="IXY2" s="1"/>
      <c r="IXZ2" s="1"/>
      <c r="IYA2" s="1"/>
      <c r="IYB2" s="1"/>
      <c r="IYC2" s="1"/>
      <c r="IYD2" s="1"/>
      <c r="IYE2" s="1"/>
      <c r="IYF2" s="1"/>
      <c r="IYG2" s="1"/>
      <c r="IYH2" s="1"/>
      <c r="IYI2" s="1"/>
      <c r="IYJ2" s="1"/>
      <c r="IYK2" s="1"/>
      <c r="IYL2" s="1"/>
      <c r="IYM2" s="1"/>
      <c r="IYN2" s="1"/>
      <c r="IYO2" s="1"/>
      <c r="IYP2" s="1"/>
      <c r="IYQ2" s="1"/>
      <c r="IYR2" s="1"/>
      <c r="IYS2" s="1"/>
      <c r="IYT2" s="1"/>
      <c r="IYU2" s="1"/>
      <c r="IYV2" s="1"/>
      <c r="IYW2" s="1"/>
      <c r="IYX2" s="1"/>
      <c r="IYY2" s="1"/>
      <c r="IYZ2" s="1"/>
      <c r="IZA2" s="1"/>
      <c r="IZB2" s="1"/>
      <c r="IZC2" s="1"/>
      <c r="IZD2" s="1"/>
      <c r="IZE2" s="1"/>
      <c r="IZF2" s="1"/>
      <c r="IZG2" s="1"/>
      <c r="IZH2" s="1"/>
      <c r="IZI2" s="1"/>
      <c r="IZJ2" s="1"/>
      <c r="IZK2" s="1"/>
      <c r="IZL2" s="1"/>
      <c r="IZM2" s="1"/>
      <c r="IZN2" s="1"/>
      <c r="IZO2" s="1"/>
      <c r="IZP2" s="1"/>
      <c r="IZQ2" s="1"/>
      <c r="IZR2" s="1"/>
      <c r="IZS2" s="1"/>
      <c r="IZT2" s="1"/>
      <c r="IZU2" s="1"/>
      <c r="IZV2" s="1"/>
      <c r="IZW2" s="1"/>
      <c r="IZX2" s="1"/>
      <c r="IZY2" s="1"/>
      <c r="IZZ2" s="1"/>
      <c r="JAA2" s="1"/>
      <c r="JAB2" s="1"/>
      <c r="JAC2" s="1"/>
      <c r="JAD2" s="1"/>
      <c r="JAE2" s="1"/>
      <c r="JAF2" s="1"/>
      <c r="JAG2" s="1"/>
      <c r="JAH2" s="1"/>
      <c r="JAI2" s="1"/>
      <c r="JAJ2" s="1"/>
      <c r="JAK2" s="1"/>
      <c r="JAL2" s="1"/>
      <c r="JAM2" s="1"/>
      <c r="JAN2" s="1"/>
      <c r="JAO2" s="1"/>
      <c r="JAP2" s="1"/>
      <c r="JAQ2" s="1"/>
      <c r="JAR2" s="1"/>
      <c r="JAS2" s="1"/>
      <c r="JAT2" s="1"/>
      <c r="JAU2" s="1"/>
      <c r="JAV2" s="1"/>
      <c r="JAW2" s="1"/>
      <c r="JAX2" s="1"/>
      <c r="JAY2" s="1"/>
      <c r="JAZ2" s="1"/>
      <c r="JBA2" s="1"/>
      <c r="JBB2" s="1"/>
      <c r="JBC2" s="1"/>
      <c r="JBD2" s="1"/>
      <c r="JBE2" s="1"/>
      <c r="JBF2" s="1"/>
      <c r="JBG2" s="1"/>
      <c r="JBH2" s="1"/>
      <c r="JBI2" s="1"/>
      <c r="JBJ2" s="1"/>
      <c r="JBK2" s="1"/>
      <c r="JBL2" s="1"/>
      <c r="JBM2" s="1"/>
      <c r="JBN2" s="1"/>
      <c r="JBO2" s="1"/>
      <c r="JBP2" s="1"/>
      <c r="JBQ2" s="1"/>
      <c r="JBR2" s="1"/>
      <c r="JBS2" s="1"/>
      <c r="JBT2" s="1"/>
      <c r="JBU2" s="1"/>
      <c r="JBV2" s="1"/>
      <c r="JBW2" s="1"/>
      <c r="JBX2" s="1"/>
      <c r="JBY2" s="1"/>
      <c r="JBZ2" s="1"/>
      <c r="JCA2" s="1"/>
      <c r="JCB2" s="1"/>
      <c r="JCC2" s="1"/>
      <c r="JCD2" s="1"/>
      <c r="JCE2" s="1"/>
      <c r="JCF2" s="1"/>
      <c r="JCG2" s="1"/>
      <c r="JCH2" s="1"/>
      <c r="JCI2" s="1"/>
      <c r="JCJ2" s="1"/>
      <c r="JCK2" s="1"/>
      <c r="JCL2" s="1"/>
      <c r="JCM2" s="1"/>
      <c r="JCN2" s="1"/>
      <c r="JCO2" s="1"/>
      <c r="JCP2" s="1"/>
      <c r="JCQ2" s="1"/>
      <c r="JCR2" s="1"/>
      <c r="JCS2" s="1"/>
      <c r="JCT2" s="1"/>
      <c r="JCU2" s="1"/>
      <c r="JCV2" s="1"/>
      <c r="JCW2" s="1"/>
      <c r="JCX2" s="1"/>
      <c r="JCY2" s="1"/>
      <c r="JCZ2" s="1"/>
      <c r="JDA2" s="1"/>
      <c r="JDB2" s="1"/>
      <c r="JDC2" s="1"/>
      <c r="JDD2" s="1"/>
      <c r="JDE2" s="1"/>
      <c r="JDF2" s="1"/>
      <c r="JDG2" s="1"/>
      <c r="JDH2" s="1"/>
      <c r="JDI2" s="1"/>
      <c r="JDJ2" s="1"/>
      <c r="JDK2" s="1"/>
      <c r="JDL2" s="1"/>
      <c r="JDM2" s="1"/>
      <c r="JDN2" s="1"/>
      <c r="JDO2" s="1"/>
      <c r="JDP2" s="1"/>
      <c r="JDQ2" s="1"/>
      <c r="JDR2" s="1"/>
      <c r="JDS2" s="1"/>
      <c r="JDT2" s="1"/>
      <c r="JDU2" s="1"/>
      <c r="JDV2" s="1"/>
      <c r="JDW2" s="1"/>
      <c r="JDX2" s="1"/>
      <c r="JDY2" s="1"/>
      <c r="JDZ2" s="1"/>
      <c r="JEA2" s="1"/>
      <c r="JEB2" s="1"/>
      <c r="JEC2" s="1"/>
      <c r="JED2" s="1"/>
      <c r="JEE2" s="1"/>
      <c r="JEF2" s="1"/>
      <c r="JEG2" s="1"/>
      <c r="JEH2" s="1"/>
      <c r="JEI2" s="1"/>
      <c r="JEJ2" s="1"/>
      <c r="JEK2" s="1"/>
      <c r="JEL2" s="1"/>
      <c r="JEM2" s="1"/>
      <c r="JEN2" s="1"/>
      <c r="JEO2" s="1"/>
      <c r="JEP2" s="1"/>
      <c r="JEQ2" s="1"/>
      <c r="JER2" s="1"/>
      <c r="JES2" s="1"/>
      <c r="JET2" s="1"/>
      <c r="JEU2" s="1"/>
      <c r="JEV2" s="1"/>
      <c r="JEW2" s="1"/>
      <c r="JEX2" s="1"/>
      <c r="JEY2" s="1"/>
      <c r="JEZ2" s="1"/>
      <c r="JFA2" s="1"/>
      <c r="JFB2" s="1"/>
      <c r="JFC2" s="1"/>
      <c r="JFD2" s="1"/>
      <c r="JFE2" s="1"/>
      <c r="JFF2" s="1"/>
      <c r="JFG2" s="1"/>
      <c r="JFH2" s="1"/>
      <c r="JFI2" s="1"/>
      <c r="JFJ2" s="1"/>
      <c r="JFK2" s="1"/>
      <c r="JFL2" s="1"/>
      <c r="JFM2" s="1"/>
      <c r="JFN2" s="1"/>
      <c r="JFO2" s="1"/>
      <c r="JFP2" s="1"/>
      <c r="JFQ2" s="1"/>
      <c r="JFR2" s="1"/>
      <c r="JFS2" s="1"/>
      <c r="JFT2" s="1"/>
      <c r="JFU2" s="1"/>
      <c r="JFV2" s="1"/>
      <c r="JFW2" s="1"/>
      <c r="JFX2" s="1"/>
      <c r="JFY2" s="1"/>
      <c r="JFZ2" s="1"/>
      <c r="JGA2" s="1"/>
      <c r="JGB2" s="1"/>
      <c r="JGC2" s="1"/>
      <c r="JGD2" s="1"/>
      <c r="JGE2" s="1"/>
      <c r="JGF2" s="1"/>
      <c r="JGG2" s="1"/>
      <c r="JGH2" s="1"/>
      <c r="JGI2" s="1"/>
      <c r="JGJ2" s="1"/>
      <c r="JGK2" s="1"/>
      <c r="JGL2" s="1"/>
      <c r="JGM2" s="1"/>
      <c r="JGN2" s="1"/>
      <c r="JGO2" s="1"/>
      <c r="JGP2" s="1"/>
      <c r="JGQ2" s="1"/>
      <c r="JGR2" s="1"/>
      <c r="JGS2" s="1"/>
      <c r="JGT2" s="1"/>
      <c r="JGU2" s="1"/>
      <c r="JGV2" s="1"/>
      <c r="JGW2" s="1"/>
      <c r="JGX2" s="1"/>
      <c r="JGY2" s="1"/>
      <c r="JGZ2" s="1"/>
      <c r="JHA2" s="1"/>
      <c r="JHB2" s="1"/>
      <c r="JHC2" s="1"/>
      <c r="JHD2" s="1"/>
      <c r="JHE2" s="1"/>
      <c r="JHF2" s="1"/>
      <c r="JHG2" s="1"/>
      <c r="JHH2" s="1"/>
      <c r="JHI2" s="1"/>
      <c r="JHJ2" s="1"/>
      <c r="JHK2" s="1"/>
      <c r="JHL2" s="1"/>
      <c r="JHM2" s="1"/>
      <c r="JHN2" s="1"/>
      <c r="JHO2" s="1"/>
      <c r="JHP2" s="1"/>
      <c r="JHQ2" s="1"/>
      <c r="JHR2" s="1"/>
      <c r="JHS2" s="1"/>
      <c r="JHT2" s="1"/>
      <c r="JHU2" s="1"/>
      <c r="JHV2" s="1"/>
      <c r="JHW2" s="1"/>
      <c r="JHX2" s="1"/>
      <c r="JHY2" s="1"/>
      <c r="JHZ2" s="1"/>
      <c r="JIA2" s="1"/>
      <c r="JIB2" s="1"/>
      <c r="JIC2" s="1"/>
      <c r="JID2" s="1"/>
      <c r="JIE2" s="1"/>
      <c r="JIF2" s="1"/>
      <c r="JIG2" s="1"/>
      <c r="JIH2" s="1"/>
      <c r="JII2" s="1"/>
      <c r="JIJ2" s="1"/>
      <c r="JIK2" s="1"/>
      <c r="JIL2" s="1"/>
      <c r="JIM2" s="1"/>
      <c r="JIN2" s="1"/>
      <c r="JIO2" s="1"/>
      <c r="JIP2" s="1"/>
      <c r="JIQ2" s="1"/>
      <c r="JIR2" s="1"/>
      <c r="JIS2" s="1"/>
      <c r="JIT2" s="1"/>
      <c r="JIU2" s="1"/>
      <c r="JIV2" s="1"/>
      <c r="JIW2" s="1"/>
      <c r="JIX2" s="1"/>
      <c r="JIY2" s="1"/>
      <c r="JIZ2" s="1"/>
      <c r="JJA2" s="1"/>
      <c r="JJB2" s="1"/>
      <c r="JJC2" s="1"/>
      <c r="JJD2" s="1"/>
      <c r="JJE2" s="1"/>
      <c r="JJF2" s="1"/>
      <c r="JJG2" s="1"/>
      <c r="JJH2" s="1"/>
      <c r="JJI2" s="1"/>
      <c r="JJJ2" s="1"/>
      <c r="JJK2" s="1"/>
      <c r="JJL2" s="1"/>
      <c r="JJM2" s="1"/>
      <c r="JJN2" s="1"/>
      <c r="JJO2" s="1"/>
      <c r="JJP2" s="1"/>
      <c r="JJQ2" s="1"/>
      <c r="JJR2" s="1"/>
      <c r="JJS2" s="1"/>
      <c r="JJT2" s="1"/>
      <c r="JJU2" s="1"/>
      <c r="JJV2" s="1"/>
      <c r="JJW2" s="1"/>
      <c r="JJX2" s="1"/>
      <c r="JJY2" s="1"/>
      <c r="JJZ2" s="1"/>
      <c r="JKA2" s="1"/>
      <c r="JKB2" s="1"/>
      <c r="JKC2" s="1"/>
      <c r="JKD2" s="1"/>
      <c r="JKE2" s="1"/>
      <c r="JKF2" s="1"/>
      <c r="JKG2" s="1"/>
      <c r="JKH2" s="1"/>
      <c r="JKI2" s="1"/>
      <c r="JKJ2" s="1"/>
      <c r="JKK2" s="1"/>
      <c r="JKL2" s="1"/>
      <c r="JKM2" s="1"/>
      <c r="JKN2" s="1"/>
      <c r="JKO2" s="1"/>
      <c r="JKP2" s="1"/>
      <c r="JKQ2" s="1"/>
      <c r="JKR2" s="1"/>
      <c r="JKS2" s="1"/>
      <c r="JKT2" s="1"/>
      <c r="JKU2" s="1"/>
      <c r="JKV2" s="1"/>
      <c r="JKW2" s="1"/>
      <c r="JKX2" s="1"/>
      <c r="JKY2" s="1"/>
      <c r="JKZ2" s="1"/>
      <c r="JLA2" s="1"/>
      <c r="JLB2" s="1"/>
      <c r="JLC2" s="1"/>
      <c r="JLD2" s="1"/>
      <c r="JLE2" s="1"/>
      <c r="JLF2" s="1"/>
      <c r="JLG2" s="1"/>
      <c r="JLH2" s="1"/>
      <c r="JLI2" s="1"/>
      <c r="JLJ2" s="1"/>
      <c r="JLK2" s="1"/>
      <c r="JLL2" s="1"/>
      <c r="JLM2" s="1"/>
      <c r="JLN2" s="1"/>
      <c r="JLO2" s="1"/>
      <c r="JLP2" s="1"/>
      <c r="JLQ2" s="1"/>
      <c r="JLR2" s="1"/>
      <c r="JLS2" s="1"/>
      <c r="JLT2" s="1"/>
      <c r="JLU2" s="1"/>
      <c r="JLV2" s="1"/>
      <c r="JLW2" s="1"/>
      <c r="JLX2" s="1"/>
      <c r="JLY2" s="1"/>
      <c r="JLZ2" s="1"/>
      <c r="JMA2" s="1"/>
      <c r="JMB2" s="1"/>
      <c r="JMC2" s="1"/>
      <c r="JMD2" s="1"/>
      <c r="JME2" s="1"/>
      <c r="JMF2" s="1"/>
      <c r="JMG2" s="1"/>
      <c r="JMH2" s="1"/>
      <c r="JMI2" s="1"/>
      <c r="JMJ2" s="1"/>
      <c r="JMK2" s="1"/>
      <c r="JML2" s="1"/>
      <c r="JMM2" s="1"/>
      <c r="JMN2" s="1"/>
      <c r="JMO2" s="1"/>
      <c r="JMP2" s="1"/>
      <c r="JMQ2" s="1"/>
      <c r="JMR2" s="1"/>
      <c r="JMS2" s="1"/>
      <c r="JMT2" s="1"/>
      <c r="JMU2" s="1"/>
      <c r="JMV2" s="1"/>
      <c r="JMW2" s="1"/>
      <c r="JMX2" s="1"/>
      <c r="JMY2" s="1"/>
      <c r="JMZ2" s="1"/>
      <c r="JNA2" s="1"/>
      <c r="JNB2" s="1"/>
      <c r="JNC2" s="1"/>
      <c r="JND2" s="1"/>
      <c r="JNE2" s="1"/>
      <c r="JNF2" s="1"/>
      <c r="JNG2" s="1"/>
      <c r="JNH2" s="1"/>
      <c r="JNI2" s="1"/>
      <c r="JNJ2" s="1"/>
      <c r="JNK2" s="1"/>
      <c r="JNL2" s="1"/>
      <c r="JNM2" s="1"/>
      <c r="JNN2" s="1"/>
      <c r="JNO2" s="1"/>
      <c r="JNP2" s="1"/>
      <c r="JNQ2" s="1"/>
      <c r="JNR2" s="1"/>
      <c r="JNS2" s="1"/>
      <c r="JNT2" s="1"/>
      <c r="JNU2" s="1"/>
      <c r="JNV2" s="1"/>
      <c r="JNW2" s="1"/>
      <c r="JNX2" s="1"/>
      <c r="JNY2" s="1"/>
      <c r="JNZ2" s="1"/>
      <c r="JOA2" s="1"/>
      <c r="JOB2" s="1"/>
      <c r="JOC2" s="1"/>
      <c r="JOD2" s="1"/>
      <c r="JOE2" s="1"/>
      <c r="JOF2" s="1"/>
      <c r="JOG2" s="1"/>
      <c r="JOH2" s="1"/>
      <c r="JOI2" s="1"/>
      <c r="JOJ2" s="1"/>
      <c r="JOK2" s="1"/>
      <c r="JOL2" s="1"/>
      <c r="JOM2" s="1"/>
      <c r="JON2" s="1"/>
      <c r="JOO2" s="1"/>
      <c r="JOP2" s="1"/>
      <c r="JOQ2" s="1"/>
      <c r="JOR2" s="1"/>
      <c r="JOS2" s="1"/>
      <c r="JOT2" s="1"/>
      <c r="JOU2" s="1"/>
      <c r="JOV2" s="1"/>
      <c r="JOW2" s="1"/>
      <c r="JOX2" s="1"/>
      <c r="JOY2" s="1"/>
      <c r="JOZ2" s="1"/>
      <c r="JPA2" s="1"/>
      <c r="JPB2" s="1"/>
      <c r="JPC2" s="1"/>
      <c r="JPD2" s="1"/>
      <c r="JPE2" s="1"/>
      <c r="JPF2" s="1"/>
      <c r="JPG2" s="1"/>
      <c r="JPH2" s="1"/>
      <c r="JPI2" s="1"/>
      <c r="JPJ2" s="1"/>
      <c r="JPK2" s="1"/>
      <c r="JPL2" s="1"/>
      <c r="JPM2" s="1"/>
      <c r="JPN2" s="1"/>
      <c r="JPO2" s="1"/>
      <c r="JPP2" s="1"/>
      <c r="JPQ2" s="1"/>
      <c r="JPR2" s="1"/>
      <c r="JPS2" s="1"/>
      <c r="JPT2" s="1"/>
      <c r="JPU2" s="1"/>
      <c r="JPV2" s="1"/>
      <c r="JPW2" s="1"/>
      <c r="JPX2" s="1"/>
      <c r="JPY2" s="1"/>
      <c r="JPZ2" s="1"/>
      <c r="JQA2" s="1"/>
      <c r="JQB2" s="1"/>
      <c r="JQC2" s="1"/>
      <c r="JQD2" s="1"/>
      <c r="JQE2" s="1"/>
      <c r="JQF2" s="1"/>
      <c r="JQG2" s="1"/>
      <c r="JQH2" s="1"/>
      <c r="JQI2" s="1"/>
      <c r="JQJ2" s="1"/>
      <c r="JQK2" s="1"/>
      <c r="JQL2" s="1"/>
      <c r="JQM2" s="1"/>
      <c r="JQN2" s="1"/>
      <c r="JQO2" s="1"/>
      <c r="JQP2" s="1"/>
      <c r="JQQ2" s="1"/>
      <c r="JQR2" s="1"/>
      <c r="JQS2" s="1"/>
      <c r="JQT2" s="1"/>
      <c r="JQU2" s="1"/>
      <c r="JQV2" s="1"/>
      <c r="JQW2" s="1"/>
      <c r="JQX2" s="1"/>
      <c r="JQY2" s="1"/>
      <c r="JQZ2" s="1"/>
      <c r="JRA2" s="1"/>
      <c r="JRB2" s="1"/>
      <c r="JRC2" s="1"/>
      <c r="JRD2" s="1"/>
      <c r="JRE2" s="1"/>
      <c r="JRF2" s="1"/>
      <c r="JRG2" s="1"/>
      <c r="JRH2" s="1"/>
      <c r="JRI2" s="1"/>
      <c r="JRJ2" s="1"/>
      <c r="JRK2" s="1"/>
      <c r="JRL2" s="1"/>
      <c r="JRM2" s="1"/>
      <c r="JRN2" s="1"/>
      <c r="JRO2" s="1"/>
      <c r="JRP2" s="1"/>
      <c r="JRQ2" s="1"/>
      <c r="JRR2" s="1"/>
      <c r="JRS2" s="1"/>
      <c r="JRT2" s="1"/>
      <c r="JRU2" s="1"/>
      <c r="JRV2" s="1"/>
      <c r="JRW2" s="1"/>
      <c r="JRX2" s="1"/>
      <c r="JRY2" s="1"/>
      <c r="JRZ2" s="1"/>
      <c r="JSA2" s="1"/>
      <c r="JSB2" s="1"/>
      <c r="JSC2" s="1"/>
      <c r="JSD2" s="1"/>
      <c r="JSE2" s="1"/>
      <c r="JSF2" s="1"/>
      <c r="JSG2" s="1"/>
      <c r="JSH2" s="1"/>
      <c r="JSI2" s="1"/>
      <c r="JSJ2" s="1"/>
      <c r="JSK2" s="1"/>
      <c r="JSL2" s="1"/>
      <c r="JSM2" s="1"/>
      <c r="JSN2" s="1"/>
      <c r="JSO2" s="1"/>
      <c r="JSP2" s="1"/>
      <c r="JSQ2" s="1"/>
      <c r="JSR2" s="1"/>
      <c r="JSS2" s="1"/>
      <c r="JST2" s="1"/>
      <c r="JSU2" s="1"/>
      <c r="JSV2" s="1"/>
      <c r="JSW2" s="1"/>
      <c r="JSX2" s="1"/>
      <c r="JSY2" s="1"/>
      <c r="JSZ2" s="1"/>
      <c r="JTA2" s="1"/>
      <c r="JTB2" s="1"/>
      <c r="JTC2" s="1"/>
      <c r="JTD2" s="1"/>
      <c r="JTE2" s="1"/>
      <c r="JTF2" s="1"/>
      <c r="JTG2" s="1"/>
      <c r="JTH2" s="1"/>
      <c r="JTI2" s="1"/>
      <c r="JTJ2" s="1"/>
      <c r="JTK2" s="1"/>
      <c r="JTL2" s="1"/>
      <c r="JTM2" s="1"/>
      <c r="JTN2" s="1"/>
      <c r="JTO2" s="1"/>
      <c r="JTP2" s="1"/>
      <c r="JTQ2" s="1"/>
      <c r="JTR2" s="1"/>
      <c r="JTS2" s="1"/>
      <c r="JTT2" s="1"/>
      <c r="JTU2" s="1"/>
      <c r="JTV2" s="1"/>
      <c r="JTW2" s="1"/>
      <c r="JTX2" s="1"/>
      <c r="JTY2" s="1"/>
      <c r="JTZ2" s="1"/>
      <c r="JUA2" s="1"/>
      <c r="JUB2" s="1"/>
      <c r="JUC2" s="1"/>
      <c r="JUD2" s="1"/>
      <c r="JUE2" s="1"/>
      <c r="JUF2" s="1"/>
      <c r="JUG2" s="1"/>
      <c r="JUH2" s="1"/>
      <c r="JUI2" s="1"/>
      <c r="JUJ2" s="1"/>
      <c r="JUK2" s="1"/>
      <c r="JUL2" s="1"/>
      <c r="JUM2" s="1"/>
      <c r="JUN2" s="1"/>
      <c r="JUO2" s="1"/>
      <c r="JUP2" s="1"/>
      <c r="JUQ2" s="1"/>
      <c r="JUR2" s="1"/>
      <c r="JUS2" s="1"/>
      <c r="JUT2" s="1"/>
      <c r="JUU2" s="1"/>
      <c r="JUV2" s="1"/>
      <c r="JUW2" s="1"/>
      <c r="JUX2" s="1"/>
      <c r="JUY2" s="1"/>
      <c r="JUZ2" s="1"/>
      <c r="JVA2" s="1"/>
      <c r="JVB2" s="1"/>
      <c r="JVC2" s="1"/>
      <c r="JVD2" s="1"/>
      <c r="JVE2" s="1"/>
      <c r="JVF2" s="1"/>
      <c r="JVG2" s="1"/>
      <c r="JVH2" s="1"/>
      <c r="JVI2" s="1"/>
      <c r="JVJ2" s="1"/>
      <c r="JVK2" s="1"/>
      <c r="JVL2" s="1"/>
      <c r="JVM2" s="1"/>
      <c r="JVN2" s="1"/>
      <c r="JVO2" s="1"/>
      <c r="JVP2" s="1"/>
      <c r="JVQ2" s="1"/>
      <c r="JVR2" s="1"/>
      <c r="JVS2" s="1"/>
      <c r="JVT2" s="1"/>
      <c r="JVU2" s="1"/>
      <c r="JVV2" s="1"/>
      <c r="JVW2" s="1"/>
      <c r="JVX2" s="1"/>
      <c r="JVY2" s="1"/>
      <c r="JVZ2" s="1"/>
      <c r="JWA2" s="1"/>
      <c r="JWB2" s="1"/>
      <c r="JWC2" s="1"/>
      <c r="JWD2" s="1"/>
      <c r="JWE2" s="1"/>
      <c r="JWF2" s="1"/>
      <c r="JWG2" s="1"/>
      <c r="JWH2" s="1"/>
      <c r="JWI2" s="1"/>
      <c r="JWJ2" s="1"/>
      <c r="JWK2" s="1"/>
      <c r="JWL2" s="1"/>
      <c r="JWM2" s="1"/>
      <c r="JWN2" s="1"/>
      <c r="JWO2" s="1"/>
      <c r="JWP2" s="1"/>
      <c r="JWQ2" s="1"/>
      <c r="JWR2" s="1"/>
      <c r="JWS2" s="1"/>
      <c r="JWT2" s="1"/>
      <c r="JWU2" s="1"/>
      <c r="JWV2" s="1"/>
      <c r="JWW2" s="1"/>
      <c r="JWX2" s="1"/>
      <c r="JWY2" s="1"/>
      <c r="JWZ2" s="1"/>
      <c r="JXA2" s="1"/>
      <c r="JXB2" s="1"/>
      <c r="JXC2" s="1"/>
      <c r="JXD2" s="1"/>
      <c r="JXE2" s="1"/>
      <c r="JXF2" s="1"/>
      <c r="JXG2" s="1"/>
      <c r="JXH2" s="1"/>
      <c r="JXI2" s="1"/>
      <c r="JXJ2" s="1"/>
      <c r="JXK2" s="1"/>
      <c r="JXL2" s="1"/>
      <c r="JXM2" s="1"/>
      <c r="JXN2" s="1"/>
      <c r="JXO2" s="1"/>
      <c r="JXP2" s="1"/>
      <c r="JXQ2" s="1"/>
      <c r="JXR2" s="1"/>
      <c r="JXS2" s="1"/>
      <c r="JXT2" s="1"/>
      <c r="JXU2" s="1"/>
      <c r="JXV2" s="1"/>
      <c r="JXW2" s="1"/>
      <c r="JXX2" s="1"/>
      <c r="JXY2" s="1"/>
      <c r="JXZ2" s="1"/>
      <c r="JYA2" s="1"/>
      <c r="JYB2" s="1"/>
      <c r="JYC2" s="1"/>
      <c r="JYD2" s="1"/>
      <c r="JYE2" s="1"/>
      <c r="JYF2" s="1"/>
      <c r="JYG2" s="1"/>
      <c r="JYH2" s="1"/>
      <c r="JYI2" s="1"/>
      <c r="JYJ2" s="1"/>
      <c r="JYK2" s="1"/>
      <c r="JYL2" s="1"/>
      <c r="JYM2" s="1"/>
      <c r="JYN2" s="1"/>
      <c r="JYO2" s="1"/>
      <c r="JYP2" s="1"/>
      <c r="JYQ2" s="1"/>
      <c r="JYR2" s="1"/>
      <c r="JYS2" s="1"/>
      <c r="JYT2" s="1"/>
      <c r="JYU2" s="1"/>
      <c r="JYV2" s="1"/>
      <c r="JYW2" s="1"/>
      <c r="JYX2" s="1"/>
      <c r="JYY2" s="1"/>
      <c r="JYZ2" s="1"/>
      <c r="JZA2" s="1"/>
      <c r="JZB2" s="1"/>
      <c r="JZC2" s="1"/>
      <c r="JZD2" s="1"/>
      <c r="JZE2" s="1"/>
      <c r="JZF2" s="1"/>
      <c r="JZG2" s="1"/>
      <c r="JZH2" s="1"/>
      <c r="JZI2" s="1"/>
      <c r="JZJ2" s="1"/>
      <c r="JZK2" s="1"/>
      <c r="JZL2" s="1"/>
      <c r="JZM2" s="1"/>
      <c r="JZN2" s="1"/>
      <c r="JZO2" s="1"/>
      <c r="JZP2" s="1"/>
      <c r="JZQ2" s="1"/>
      <c r="JZR2" s="1"/>
      <c r="JZS2" s="1"/>
      <c r="JZT2" s="1"/>
      <c r="JZU2" s="1"/>
      <c r="JZV2" s="1"/>
      <c r="JZW2" s="1"/>
      <c r="JZX2" s="1"/>
      <c r="JZY2" s="1"/>
      <c r="JZZ2" s="1"/>
      <c r="KAA2" s="1"/>
      <c r="KAB2" s="1"/>
      <c r="KAC2" s="1"/>
      <c r="KAD2" s="1"/>
      <c r="KAE2" s="1"/>
      <c r="KAF2" s="1"/>
      <c r="KAG2" s="1"/>
      <c r="KAH2" s="1"/>
      <c r="KAI2" s="1"/>
      <c r="KAJ2" s="1"/>
      <c r="KAK2" s="1"/>
      <c r="KAL2" s="1"/>
      <c r="KAM2" s="1"/>
      <c r="KAN2" s="1"/>
      <c r="KAO2" s="1"/>
      <c r="KAP2" s="1"/>
      <c r="KAQ2" s="1"/>
      <c r="KAR2" s="1"/>
      <c r="KAS2" s="1"/>
      <c r="KAT2" s="1"/>
      <c r="KAU2" s="1"/>
      <c r="KAV2" s="1"/>
      <c r="KAW2" s="1"/>
      <c r="KAX2" s="1"/>
      <c r="KAY2" s="1"/>
      <c r="KAZ2" s="1"/>
      <c r="KBA2" s="1"/>
      <c r="KBB2" s="1"/>
      <c r="KBC2" s="1"/>
      <c r="KBD2" s="1"/>
      <c r="KBE2" s="1"/>
      <c r="KBF2" s="1"/>
      <c r="KBG2" s="1"/>
      <c r="KBH2" s="1"/>
      <c r="KBI2" s="1"/>
      <c r="KBJ2" s="1"/>
      <c r="KBK2" s="1"/>
      <c r="KBL2" s="1"/>
      <c r="KBM2" s="1"/>
      <c r="KBN2" s="1"/>
      <c r="KBO2" s="1"/>
      <c r="KBP2" s="1"/>
      <c r="KBQ2" s="1"/>
      <c r="KBR2" s="1"/>
      <c r="KBS2" s="1"/>
      <c r="KBT2" s="1"/>
      <c r="KBU2" s="1"/>
      <c r="KBV2" s="1"/>
      <c r="KBW2" s="1"/>
      <c r="KBX2" s="1"/>
      <c r="KBY2" s="1"/>
      <c r="KBZ2" s="1"/>
      <c r="KCA2" s="1"/>
      <c r="KCB2" s="1"/>
      <c r="KCC2" s="1"/>
      <c r="KCD2" s="1"/>
      <c r="KCE2" s="1"/>
      <c r="KCF2" s="1"/>
      <c r="KCG2" s="1"/>
      <c r="KCH2" s="1"/>
      <c r="KCI2" s="1"/>
      <c r="KCJ2" s="1"/>
      <c r="KCK2" s="1"/>
      <c r="KCL2" s="1"/>
      <c r="KCM2" s="1"/>
      <c r="KCN2" s="1"/>
      <c r="KCO2" s="1"/>
      <c r="KCP2" s="1"/>
      <c r="KCQ2" s="1"/>
      <c r="KCR2" s="1"/>
      <c r="KCS2" s="1"/>
      <c r="KCT2" s="1"/>
      <c r="KCU2" s="1"/>
      <c r="KCV2" s="1"/>
      <c r="KCW2" s="1"/>
      <c r="KCX2" s="1"/>
      <c r="KCY2" s="1"/>
      <c r="KCZ2" s="1"/>
      <c r="KDA2" s="1"/>
      <c r="KDB2" s="1"/>
      <c r="KDC2" s="1"/>
      <c r="KDD2" s="1"/>
      <c r="KDE2" s="1"/>
      <c r="KDF2" s="1"/>
      <c r="KDG2" s="1"/>
      <c r="KDH2" s="1"/>
      <c r="KDI2" s="1"/>
      <c r="KDJ2" s="1"/>
      <c r="KDK2" s="1"/>
      <c r="KDL2" s="1"/>
      <c r="KDM2" s="1"/>
      <c r="KDN2" s="1"/>
      <c r="KDO2" s="1"/>
      <c r="KDP2" s="1"/>
      <c r="KDQ2" s="1"/>
      <c r="KDR2" s="1"/>
      <c r="KDS2" s="1"/>
      <c r="KDT2" s="1"/>
      <c r="KDU2" s="1"/>
      <c r="KDV2" s="1"/>
      <c r="KDW2" s="1"/>
      <c r="KDX2" s="1"/>
      <c r="KDY2" s="1"/>
      <c r="KDZ2" s="1"/>
      <c r="KEA2" s="1"/>
      <c r="KEB2" s="1"/>
      <c r="KEC2" s="1"/>
      <c r="KED2" s="1"/>
      <c r="KEE2" s="1"/>
      <c r="KEF2" s="1"/>
      <c r="KEG2" s="1"/>
      <c r="KEH2" s="1"/>
      <c r="KEI2" s="1"/>
      <c r="KEJ2" s="1"/>
      <c r="KEK2" s="1"/>
      <c r="KEL2" s="1"/>
      <c r="KEM2" s="1"/>
      <c r="KEN2" s="1"/>
      <c r="KEO2" s="1"/>
      <c r="KEP2" s="1"/>
      <c r="KEQ2" s="1"/>
      <c r="KER2" s="1"/>
      <c r="KES2" s="1"/>
      <c r="KET2" s="1"/>
      <c r="KEU2" s="1"/>
      <c r="KEV2" s="1"/>
      <c r="KEW2" s="1"/>
      <c r="KEX2" s="1"/>
      <c r="KEY2" s="1"/>
      <c r="KEZ2" s="1"/>
      <c r="KFA2" s="1"/>
      <c r="KFB2" s="1"/>
      <c r="KFC2" s="1"/>
      <c r="KFD2" s="1"/>
      <c r="KFE2" s="1"/>
      <c r="KFF2" s="1"/>
      <c r="KFG2" s="1"/>
      <c r="KFH2" s="1"/>
      <c r="KFI2" s="1"/>
      <c r="KFJ2" s="1"/>
      <c r="KFK2" s="1"/>
      <c r="KFL2" s="1"/>
      <c r="KFM2" s="1"/>
      <c r="KFN2" s="1"/>
      <c r="KFO2" s="1"/>
      <c r="KFP2" s="1"/>
      <c r="KFQ2" s="1"/>
      <c r="KFR2" s="1"/>
      <c r="KFS2" s="1"/>
      <c r="KFT2" s="1"/>
      <c r="KFU2" s="1"/>
      <c r="KFV2" s="1"/>
      <c r="KFW2" s="1"/>
      <c r="KFX2" s="1"/>
      <c r="KFY2" s="1"/>
      <c r="KFZ2" s="1"/>
      <c r="KGA2" s="1"/>
      <c r="KGB2" s="1"/>
      <c r="KGC2" s="1"/>
      <c r="KGD2" s="1"/>
      <c r="KGE2" s="1"/>
      <c r="KGF2" s="1"/>
      <c r="KGG2" s="1"/>
      <c r="KGH2" s="1"/>
      <c r="KGI2" s="1"/>
      <c r="KGJ2" s="1"/>
      <c r="KGK2" s="1"/>
      <c r="KGL2" s="1"/>
      <c r="KGM2" s="1"/>
      <c r="KGN2" s="1"/>
      <c r="KGO2" s="1"/>
      <c r="KGP2" s="1"/>
      <c r="KGQ2" s="1"/>
      <c r="KGR2" s="1"/>
      <c r="KGS2" s="1"/>
      <c r="KGT2" s="1"/>
      <c r="KGU2" s="1"/>
      <c r="KGV2" s="1"/>
      <c r="KGW2" s="1"/>
      <c r="KGX2" s="1"/>
      <c r="KGY2" s="1"/>
      <c r="KGZ2" s="1"/>
      <c r="KHA2" s="1"/>
      <c r="KHB2" s="1"/>
      <c r="KHC2" s="1"/>
      <c r="KHD2" s="1"/>
      <c r="KHE2" s="1"/>
      <c r="KHF2" s="1"/>
      <c r="KHG2" s="1"/>
      <c r="KHH2" s="1"/>
      <c r="KHI2" s="1"/>
      <c r="KHJ2" s="1"/>
      <c r="KHK2" s="1"/>
      <c r="KHL2" s="1"/>
      <c r="KHM2" s="1"/>
      <c r="KHN2" s="1"/>
      <c r="KHO2" s="1"/>
      <c r="KHP2" s="1"/>
      <c r="KHQ2" s="1"/>
      <c r="KHR2" s="1"/>
      <c r="KHS2" s="1"/>
      <c r="KHT2" s="1"/>
      <c r="KHU2" s="1"/>
      <c r="KHV2" s="1"/>
      <c r="KHW2" s="1"/>
      <c r="KHX2" s="1"/>
      <c r="KHY2" s="1"/>
      <c r="KHZ2" s="1"/>
      <c r="KIA2" s="1"/>
      <c r="KIB2" s="1"/>
      <c r="KIC2" s="1"/>
      <c r="KID2" s="1"/>
      <c r="KIE2" s="1"/>
      <c r="KIF2" s="1"/>
      <c r="KIG2" s="1"/>
      <c r="KIH2" s="1"/>
      <c r="KII2" s="1"/>
      <c r="KIJ2" s="1"/>
      <c r="KIK2" s="1"/>
      <c r="KIL2" s="1"/>
      <c r="KIM2" s="1"/>
      <c r="KIN2" s="1"/>
      <c r="KIO2" s="1"/>
      <c r="KIP2" s="1"/>
      <c r="KIQ2" s="1"/>
      <c r="KIR2" s="1"/>
      <c r="KIS2" s="1"/>
      <c r="KIT2" s="1"/>
      <c r="KIU2" s="1"/>
      <c r="KIV2" s="1"/>
      <c r="KIW2" s="1"/>
      <c r="KIX2" s="1"/>
      <c r="KIY2" s="1"/>
      <c r="KIZ2" s="1"/>
      <c r="KJA2" s="1"/>
      <c r="KJB2" s="1"/>
      <c r="KJC2" s="1"/>
      <c r="KJD2" s="1"/>
      <c r="KJE2" s="1"/>
      <c r="KJF2" s="1"/>
      <c r="KJG2" s="1"/>
      <c r="KJH2" s="1"/>
      <c r="KJI2" s="1"/>
      <c r="KJJ2" s="1"/>
      <c r="KJK2" s="1"/>
      <c r="KJL2" s="1"/>
      <c r="KJM2" s="1"/>
      <c r="KJN2" s="1"/>
      <c r="KJO2" s="1"/>
      <c r="KJP2" s="1"/>
      <c r="KJQ2" s="1"/>
      <c r="KJR2" s="1"/>
      <c r="KJS2" s="1"/>
      <c r="KJT2" s="1"/>
      <c r="KJU2" s="1"/>
      <c r="KJV2" s="1"/>
      <c r="KJW2" s="1"/>
      <c r="KJX2" s="1"/>
      <c r="KJY2" s="1"/>
      <c r="KJZ2" s="1"/>
      <c r="KKA2" s="1"/>
      <c r="KKB2" s="1"/>
      <c r="KKC2" s="1"/>
      <c r="KKD2" s="1"/>
      <c r="KKE2" s="1"/>
      <c r="KKF2" s="1"/>
      <c r="KKG2" s="1"/>
      <c r="KKH2" s="1"/>
      <c r="KKI2" s="1"/>
      <c r="KKJ2" s="1"/>
      <c r="KKK2" s="1"/>
      <c r="KKL2" s="1"/>
      <c r="KKM2" s="1"/>
      <c r="KKN2" s="1"/>
      <c r="KKO2" s="1"/>
      <c r="KKP2" s="1"/>
      <c r="KKQ2" s="1"/>
      <c r="KKR2" s="1"/>
      <c r="KKS2" s="1"/>
      <c r="KKT2" s="1"/>
      <c r="KKU2" s="1"/>
      <c r="KKV2" s="1"/>
      <c r="KKW2" s="1"/>
      <c r="KKX2" s="1"/>
      <c r="KKY2" s="1"/>
      <c r="KKZ2" s="1"/>
      <c r="KLA2" s="1"/>
      <c r="KLB2" s="1"/>
      <c r="KLC2" s="1"/>
      <c r="KLD2" s="1"/>
      <c r="KLE2" s="1"/>
      <c r="KLF2" s="1"/>
      <c r="KLG2" s="1"/>
      <c r="KLH2" s="1"/>
      <c r="KLI2" s="1"/>
      <c r="KLJ2" s="1"/>
      <c r="KLK2" s="1"/>
      <c r="KLL2" s="1"/>
      <c r="KLM2" s="1"/>
      <c r="KLN2" s="1"/>
      <c r="KLO2" s="1"/>
      <c r="KLP2" s="1"/>
      <c r="KLQ2" s="1"/>
      <c r="KLR2" s="1"/>
      <c r="KLS2" s="1"/>
      <c r="KLT2" s="1"/>
      <c r="KLU2" s="1"/>
      <c r="KLV2" s="1"/>
      <c r="KLW2" s="1"/>
      <c r="KLX2" s="1"/>
      <c r="KLY2" s="1"/>
      <c r="KLZ2" s="1"/>
      <c r="KMA2" s="1"/>
      <c r="KMB2" s="1"/>
      <c r="KMC2" s="1"/>
      <c r="KMD2" s="1"/>
      <c r="KME2" s="1"/>
      <c r="KMF2" s="1"/>
      <c r="KMG2" s="1"/>
      <c r="KMH2" s="1"/>
      <c r="KMI2" s="1"/>
      <c r="KMJ2" s="1"/>
      <c r="KMK2" s="1"/>
      <c r="KML2" s="1"/>
      <c r="KMM2" s="1"/>
      <c r="KMN2" s="1"/>
      <c r="KMO2" s="1"/>
      <c r="KMP2" s="1"/>
      <c r="KMQ2" s="1"/>
      <c r="KMR2" s="1"/>
      <c r="KMS2" s="1"/>
      <c r="KMT2" s="1"/>
      <c r="KMU2" s="1"/>
      <c r="KMV2" s="1"/>
      <c r="KMW2" s="1"/>
      <c r="KMX2" s="1"/>
      <c r="KMY2" s="1"/>
      <c r="KMZ2" s="1"/>
      <c r="KNA2" s="1"/>
      <c r="KNB2" s="1"/>
      <c r="KNC2" s="1"/>
      <c r="KND2" s="1"/>
      <c r="KNE2" s="1"/>
      <c r="KNF2" s="1"/>
      <c r="KNG2" s="1"/>
      <c r="KNH2" s="1"/>
      <c r="KNI2" s="1"/>
      <c r="KNJ2" s="1"/>
      <c r="KNK2" s="1"/>
      <c r="KNL2" s="1"/>
      <c r="KNM2" s="1"/>
      <c r="KNN2" s="1"/>
      <c r="KNO2" s="1"/>
      <c r="KNP2" s="1"/>
      <c r="KNQ2" s="1"/>
      <c r="KNR2" s="1"/>
      <c r="KNS2" s="1"/>
      <c r="KNT2" s="1"/>
      <c r="KNU2" s="1"/>
      <c r="KNV2" s="1"/>
      <c r="KNW2" s="1"/>
      <c r="KNX2" s="1"/>
      <c r="KNY2" s="1"/>
      <c r="KNZ2" s="1"/>
      <c r="KOA2" s="1"/>
      <c r="KOB2" s="1"/>
      <c r="KOC2" s="1"/>
      <c r="KOD2" s="1"/>
      <c r="KOE2" s="1"/>
      <c r="KOF2" s="1"/>
      <c r="KOG2" s="1"/>
      <c r="KOH2" s="1"/>
      <c r="KOI2" s="1"/>
      <c r="KOJ2" s="1"/>
      <c r="KOK2" s="1"/>
      <c r="KOL2" s="1"/>
      <c r="KOM2" s="1"/>
      <c r="KON2" s="1"/>
      <c r="KOO2" s="1"/>
      <c r="KOP2" s="1"/>
      <c r="KOQ2" s="1"/>
      <c r="KOR2" s="1"/>
      <c r="KOS2" s="1"/>
      <c r="KOT2" s="1"/>
      <c r="KOU2" s="1"/>
      <c r="KOV2" s="1"/>
      <c r="KOW2" s="1"/>
      <c r="KOX2" s="1"/>
      <c r="KOY2" s="1"/>
      <c r="KOZ2" s="1"/>
      <c r="KPA2" s="1"/>
      <c r="KPB2" s="1"/>
      <c r="KPC2" s="1"/>
      <c r="KPD2" s="1"/>
      <c r="KPE2" s="1"/>
      <c r="KPF2" s="1"/>
      <c r="KPG2" s="1"/>
      <c r="KPH2" s="1"/>
      <c r="KPI2" s="1"/>
      <c r="KPJ2" s="1"/>
      <c r="KPK2" s="1"/>
      <c r="KPL2" s="1"/>
      <c r="KPM2" s="1"/>
      <c r="KPN2" s="1"/>
      <c r="KPO2" s="1"/>
      <c r="KPP2" s="1"/>
      <c r="KPQ2" s="1"/>
      <c r="KPR2" s="1"/>
      <c r="KPS2" s="1"/>
      <c r="KPT2" s="1"/>
      <c r="KPU2" s="1"/>
      <c r="KPV2" s="1"/>
      <c r="KPW2" s="1"/>
      <c r="KPX2" s="1"/>
      <c r="KPY2" s="1"/>
      <c r="KPZ2" s="1"/>
      <c r="KQA2" s="1"/>
      <c r="KQB2" s="1"/>
      <c r="KQC2" s="1"/>
      <c r="KQD2" s="1"/>
      <c r="KQE2" s="1"/>
      <c r="KQF2" s="1"/>
      <c r="KQG2" s="1"/>
      <c r="KQH2" s="1"/>
      <c r="KQI2" s="1"/>
      <c r="KQJ2" s="1"/>
      <c r="KQK2" s="1"/>
      <c r="KQL2" s="1"/>
      <c r="KQM2" s="1"/>
      <c r="KQN2" s="1"/>
      <c r="KQO2" s="1"/>
      <c r="KQP2" s="1"/>
      <c r="KQQ2" s="1"/>
      <c r="KQR2" s="1"/>
      <c r="KQS2" s="1"/>
      <c r="KQT2" s="1"/>
      <c r="KQU2" s="1"/>
      <c r="KQV2" s="1"/>
      <c r="KQW2" s="1"/>
      <c r="KQX2" s="1"/>
      <c r="KQY2" s="1"/>
      <c r="KQZ2" s="1"/>
      <c r="KRA2" s="1"/>
      <c r="KRB2" s="1"/>
      <c r="KRC2" s="1"/>
      <c r="KRD2" s="1"/>
      <c r="KRE2" s="1"/>
      <c r="KRF2" s="1"/>
      <c r="KRG2" s="1"/>
      <c r="KRH2" s="1"/>
      <c r="KRI2" s="1"/>
      <c r="KRJ2" s="1"/>
      <c r="KRK2" s="1"/>
      <c r="KRL2" s="1"/>
      <c r="KRM2" s="1"/>
      <c r="KRN2" s="1"/>
      <c r="KRO2" s="1"/>
      <c r="KRP2" s="1"/>
      <c r="KRQ2" s="1"/>
      <c r="KRR2" s="1"/>
      <c r="KRS2" s="1"/>
      <c r="KRT2" s="1"/>
      <c r="KRU2" s="1"/>
      <c r="KRV2" s="1"/>
      <c r="KRW2" s="1"/>
      <c r="KRX2" s="1"/>
      <c r="KRY2" s="1"/>
      <c r="KRZ2" s="1"/>
      <c r="KSA2" s="1"/>
      <c r="KSB2" s="1"/>
      <c r="KSC2" s="1"/>
      <c r="KSD2" s="1"/>
      <c r="KSE2" s="1"/>
      <c r="KSF2" s="1"/>
      <c r="KSG2" s="1"/>
      <c r="KSH2" s="1"/>
      <c r="KSI2" s="1"/>
      <c r="KSJ2" s="1"/>
      <c r="KSK2" s="1"/>
      <c r="KSL2" s="1"/>
      <c r="KSM2" s="1"/>
      <c r="KSN2" s="1"/>
      <c r="KSO2" s="1"/>
      <c r="KSP2" s="1"/>
      <c r="KSQ2" s="1"/>
      <c r="KSR2" s="1"/>
      <c r="KSS2" s="1"/>
      <c r="KST2" s="1"/>
      <c r="KSU2" s="1"/>
      <c r="KSV2" s="1"/>
      <c r="KSW2" s="1"/>
      <c r="KSX2" s="1"/>
      <c r="KSY2" s="1"/>
      <c r="KSZ2" s="1"/>
      <c r="KTA2" s="1"/>
      <c r="KTB2" s="1"/>
      <c r="KTC2" s="1"/>
      <c r="KTD2" s="1"/>
      <c r="KTE2" s="1"/>
      <c r="KTF2" s="1"/>
      <c r="KTG2" s="1"/>
      <c r="KTH2" s="1"/>
      <c r="KTI2" s="1"/>
      <c r="KTJ2" s="1"/>
      <c r="KTK2" s="1"/>
      <c r="KTL2" s="1"/>
      <c r="KTM2" s="1"/>
      <c r="KTN2" s="1"/>
      <c r="KTO2" s="1"/>
      <c r="KTP2" s="1"/>
      <c r="KTQ2" s="1"/>
      <c r="KTR2" s="1"/>
      <c r="KTS2" s="1"/>
      <c r="KTT2" s="1"/>
      <c r="KTU2" s="1"/>
      <c r="KTV2" s="1"/>
      <c r="KTW2" s="1"/>
      <c r="KTX2" s="1"/>
      <c r="KTY2" s="1"/>
      <c r="KTZ2" s="1"/>
      <c r="KUA2" s="1"/>
      <c r="KUB2" s="1"/>
      <c r="KUC2" s="1"/>
      <c r="KUD2" s="1"/>
      <c r="KUE2" s="1"/>
      <c r="KUF2" s="1"/>
      <c r="KUG2" s="1"/>
      <c r="KUH2" s="1"/>
      <c r="KUI2" s="1"/>
      <c r="KUJ2" s="1"/>
      <c r="KUK2" s="1"/>
      <c r="KUL2" s="1"/>
      <c r="KUM2" s="1"/>
      <c r="KUN2" s="1"/>
      <c r="KUO2" s="1"/>
      <c r="KUP2" s="1"/>
      <c r="KUQ2" s="1"/>
      <c r="KUR2" s="1"/>
      <c r="KUS2" s="1"/>
      <c r="KUT2" s="1"/>
      <c r="KUU2" s="1"/>
      <c r="KUV2" s="1"/>
      <c r="KUW2" s="1"/>
      <c r="KUX2" s="1"/>
      <c r="KUY2" s="1"/>
      <c r="KUZ2" s="1"/>
      <c r="KVA2" s="1"/>
      <c r="KVB2" s="1"/>
      <c r="KVC2" s="1"/>
      <c r="KVD2" s="1"/>
      <c r="KVE2" s="1"/>
      <c r="KVF2" s="1"/>
      <c r="KVG2" s="1"/>
      <c r="KVH2" s="1"/>
      <c r="KVI2" s="1"/>
      <c r="KVJ2" s="1"/>
      <c r="KVK2" s="1"/>
      <c r="KVL2" s="1"/>
      <c r="KVM2" s="1"/>
      <c r="KVN2" s="1"/>
      <c r="KVO2" s="1"/>
      <c r="KVP2" s="1"/>
      <c r="KVQ2" s="1"/>
      <c r="KVR2" s="1"/>
      <c r="KVS2" s="1"/>
      <c r="KVT2" s="1"/>
      <c r="KVU2" s="1"/>
      <c r="KVV2" s="1"/>
      <c r="KVW2" s="1"/>
      <c r="KVX2" s="1"/>
      <c r="KVY2" s="1"/>
      <c r="KVZ2" s="1"/>
      <c r="KWA2" s="1"/>
      <c r="KWB2" s="1"/>
      <c r="KWC2" s="1"/>
      <c r="KWD2" s="1"/>
      <c r="KWE2" s="1"/>
      <c r="KWF2" s="1"/>
      <c r="KWG2" s="1"/>
      <c r="KWH2" s="1"/>
      <c r="KWI2" s="1"/>
      <c r="KWJ2" s="1"/>
      <c r="KWK2" s="1"/>
      <c r="KWL2" s="1"/>
      <c r="KWM2" s="1"/>
      <c r="KWN2" s="1"/>
      <c r="KWO2" s="1"/>
      <c r="KWP2" s="1"/>
      <c r="KWQ2" s="1"/>
      <c r="KWR2" s="1"/>
      <c r="KWS2" s="1"/>
      <c r="KWT2" s="1"/>
      <c r="KWU2" s="1"/>
      <c r="KWV2" s="1"/>
      <c r="KWW2" s="1"/>
      <c r="KWX2" s="1"/>
      <c r="KWY2" s="1"/>
      <c r="KWZ2" s="1"/>
      <c r="KXA2" s="1"/>
      <c r="KXB2" s="1"/>
      <c r="KXC2" s="1"/>
      <c r="KXD2" s="1"/>
      <c r="KXE2" s="1"/>
      <c r="KXF2" s="1"/>
      <c r="KXG2" s="1"/>
      <c r="KXH2" s="1"/>
      <c r="KXI2" s="1"/>
      <c r="KXJ2" s="1"/>
      <c r="KXK2" s="1"/>
      <c r="KXL2" s="1"/>
      <c r="KXM2" s="1"/>
      <c r="KXN2" s="1"/>
      <c r="KXO2" s="1"/>
      <c r="KXP2" s="1"/>
      <c r="KXQ2" s="1"/>
      <c r="KXR2" s="1"/>
      <c r="KXS2" s="1"/>
      <c r="KXT2" s="1"/>
      <c r="KXU2" s="1"/>
      <c r="KXV2" s="1"/>
      <c r="KXW2" s="1"/>
      <c r="KXX2" s="1"/>
      <c r="KXY2" s="1"/>
      <c r="KXZ2" s="1"/>
      <c r="KYA2" s="1"/>
      <c r="KYB2" s="1"/>
      <c r="KYC2" s="1"/>
      <c r="KYD2" s="1"/>
      <c r="KYE2" s="1"/>
      <c r="KYF2" s="1"/>
      <c r="KYG2" s="1"/>
      <c r="KYH2" s="1"/>
      <c r="KYI2" s="1"/>
      <c r="KYJ2" s="1"/>
      <c r="KYK2" s="1"/>
      <c r="KYL2" s="1"/>
      <c r="KYM2" s="1"/>
      <c r="KYN2" s="1"/>
      <c r="KYO2" s="1"/>
      <c r="KYP2" s="1"/>
      <c r="KYQ2" s="1"/>
      <c r="KYR2" s="1"/>
      <c r="KYS2" s="1"/>
      <c r="KYT2" s="1"/>
      <c r="KYU2" s="1"/>
      <c r="KYV2" s="1"/>
      <c r="KYW2" s="1"/>
      <c r="KYX2" s="1"/>
      <c r="KYY2" s="1"/>
      <c r="KYZ2" s="1"/>
      <c r="KZA2" s="1"/>
      <c r="KZB2" s="1"/>
      <c r="KZC2" s="1"/>
      <c r="KZD2" s="1"/>
      <c r="KZE2" s="1"/>
      <c r="KZF2" s="1"/>
      <c r="KZG2" s="1"/>
      <c r="KZH2" s="1"/>
      <c r="KZI2" s="1"/>
      <c r="KZJ2" s="1"/>
      <c r="KZK2" s="1"/>
      <c r="KZL2" s="1"/>
      <c r="KZM2" s="1"/>
      <c r="KZN2" s="1"/>
      <c r="KZO2" s="1"/>
      <c r="KZP2" s="1"/>
      <c r="KZQ2" s="1"/>
      <c r="KZR2" s="1"/>
      <c r="KZS2" s="1"/>
      <c r="KZT2" s="1"/>
      <c r="KZU2" s="1"/>
      <c r="KZV2" s="1"/>
      <c r="KZW2" s="1"/>
      <c r="KZX2" s="1"/>
      <c r="KZY2" s="1"/>
      <c r="KZZ2" s="1"/>
      <c r="LAA2" s="1"/>
      <c r="LAB2" s="1"/>
      <c r="LAC2" s="1"/>
      <c r="LAD2" s="1"/>
      <c r="LAE2" s="1"/>
      <c r="LAF2" s="1"/>
      <c r="LAG2" s="1"/>
      <c r="LAH2" s="1"/>
      <c r="LAI2" s="1"/>
      <c r="LAJ2" s="1"/>
      <c r="LAK2" s="1"/>
      <c r="LAL2" s="1"/>
      <c r="LAM2" s="1"/>
      <c r="LAN2" s="1"/>
      <c r="LAO2" s="1"/>
      <c r="LAP2" s="1"/>
      <c r="LAQ2" s="1"/>
      <c r="LAR2" s="1"/>
      <c r="LAS2" s="1"/>
      <c r="LAT2" s="1"/>
      <c r="LAU2" s="1"/>
      <c r="LAV2" s="1"/>
      <c r="LAW2" s="1"/>
      <c r="LAX2" s="1"/>
      <c r="LAY2" s="1"/>
      <c r="LAZ2" s="1"/>
      <c r="LBA2" s="1"/>
      <c r="LBB2" s="1"/>
      <c r="LBC2" s="1"/>
      <c r="LBD2" s="1"/>
      <c r="LBE2" s="1"/>
      <c r="LBF2" s="1"/>
      <c r="LBG2" s="1"/>
      <c r="LBH2" s="1"/>
      <c r="LBI2" s="1"/>
      <c r="LBJ2" s="1"/>
      <c r="LBK2" s="1"/>
      <c r="LBL2" s="1"/>
      <c r="LBM2" s="1"/>
      <c r="LBN2" s="1"/>
      <c r="LBO2" s="1"/>
      <c r="LBP2" s="1"/>
      <c r="LBQ2" s="1"/>
      <c r="LBR2" s="1"/>
      <c r="LBS2" s="1"/>
      <c r="LBT2" s="1"/>
      <c r="LBU2" s="1"/>
      <c r="LBV2" s="1"/>
      <c r="LBW2" s="1"/>
      <c r="LBX2" s="1"/>
      <c r="LBY2" s="1"/>
      <c r="LBZ2" s="1"/>
      <c r="LCA2" s="1"/>
      <c r="LCB2" s="1"/>
      <c r="LCC2" s="1"/>
      <c r="LCD2" s="1"/>
      <c r="LCE2" s="1"/>
      <c r="LCF2" s="1"/>
      <c r="LCG2" s="1"/>
      <c r="LCH2" s="1"/>
      <c r="LCI2" s="1"/>
      <c r="LCJ2" s="1"/>
      <c r="LCK2" s="1"/>
      <c r="LCL2" s="1"/>
      <c r="LCM2" s="1"/>
      <c r="LCN2" s="1"/>
      <c r="LCO2" s="1"/>
      <c r="LCP2" s="1"/>
      <c r="LCQ2" s="1"/>
      <c r="LCR2" s="1"/>
      <c r="LCS2" s="1"/>
      <c r="LCT2" s="1"/>
      <c r="LCU2" s="1"/>
      <c r="LCV2" s="1"/>
      <c r="LCW2" s="1"/>
      <c r="LCX2" s="1"/>
      <c r="LCY2" s="1"/>
      <c r="LCZ2" s="1"/>
      <c r="LDA2" s="1"/>
      <c r="LDB2" s="1"/>
      <c r="LDC2" s="1"/>
      <c r="LDD2" s="1"/>
      <c r="LDE2" s="1"/>
      <c r="LDF2" s="1"/>
      <c r="LDG2" s="1"/>
      <c r="LDH2" s="1"/>
      <c r="LDI2" s="1"/>
      <c r="LDJ2" s="1"/>
      <c r="LDK2" s="1"/>
      <c r="LDL2" s="1"/>
      <c r="LDM2" s="1"/>
      <c r="LDN2" s="1"/>
      <c r="LDO2" s="1"/>
      <c r="LDP2" s="1"/>
      <c r="LDQ2" s="1"/>
      <c r="LDR2" s="1"/>
      <c r="LDS2" s="1"/>
      <c r="LDT2" s="1"/>
      <c r="LDU2" s="1"/>
      <c r="LDV2" s="1"/>
      <c r="LDW2" s="1"/>
      <c r="LDX2" s="1"/>
      <c r="LDY2" s="1"/>
      <c r="LDZ2" s="1"/>
      <c r="LEA2" s="1"/>
      <c r="LEB2" s="1"/>
      <c r="LEC2" s="1"/>
      <c r="LED2" s="1"/>
      <c r="LEE2" s="1"/>
      <c r="LEF2" s="1"/>
      <c r="LEG2" s="1"/>
      <c r="LEH2" s="1"/>
      <c r="LEI2" s="1"/>
      <c r="LEJ2" s="1"/>
      <c r="LEK2" s="1"/>
      <c r="LEL2" s="1"/>
      <c r="LEM2" s="1"/>
      <c r="LEN2" s="1"/>
      <c r="LEO2" s="1"/>
      <c r="LEP2" s="1"/>
      <c r="LEQ2" s="1"/>
      <c r="LER2" s="1"/>
      <c r="LES2" s="1"/>
      <c r="LET2" s="1"/>
      <c r="LEU2" s="1"/>
      <c r="LEV2" s="1"/>
      <c r="LEW2" s="1"/>
      <c r="LEX2" s="1"/>
      <c r="LEY2" s="1"/>
      <c r="LEZ2" s="1"/>
      <c r="LFA2" s="1"/>
      <c r="LFB2" s="1"/>
      <c r="LFC2" s="1"/>
      <c r="LFD2" s="1"/>
      <c r="LFE2" s="1"/>
      <c r="LFF2" s="1"/>
      <c r="LFG2" s="1"/>
      <c r="LFH2" s="1"/>
      <c r="LFI2" s="1"/>
      <c r="LFJ2" s="1"/>
      <c r="LFK2" s="1"/>
      <c r="LFL2" s="1"/>
      <c r="LFM2" s="1"/>
      <c r="LFN2" s="1"/>
      <c r="LFO2" s="1"/>
      <c r="LFP2" s="1"/>
      <c r="LFQ2" s="1"/>
      <c r="LFR2" s="1"/>
      <c r="LFS2" s="1"/>
      <c r="LFT2" s="1"/>
      <c r="LFU2" s="1"/>
      <c r="LFV2" s="1"/>
      <c r="LFW2" s="1"/>
      <c r="LFX2" s="1"/>
      <c r="LFY2" s="1"/>
      <c r="LFZ2" s="1"/>
      <c r="LGA2" s="1"/>
      <c r="LGB2" s="1"/>
      <c r="LGC2" s="1"/>
      <c r="LGD2" s="1"/>
      <c r="LGE2" s="1"/>
      <c r="LGF2" s="1"/>
      <c r="LGG2" s="1"/>
      <c r="LGH2" s="1"/>
      <c r="LGI2" s="1"/>
      <c r="LGJ2" s="1"/>
      <c r="LGK2" s="1"/>
      <c r="LGL2" s="1"/>
      <c r="LGM2" s="1"/>
      <c r="LGN2" s="1"/>
      <c r="LGO2" s="1"/>
      <c r="LGP2" s="1"/>
      <c r="LGQ2" s="1"/>
      <c r="LGR2" s="1"/>
      <c r="LGS2" s="1"/>
      <c r="LGT2" s="1"/>
      <c r="LGU2" s="1"/>
      <c r="LGV2" s="1"/>
      <c r="LGW2" s="1"/>
      <c r="LGX2" s="1"/>
      <c r="LGY2" s="1"/>
      <c r="LGZ2" s="1"/>
      <c r="LHA2" s="1"/>
      <c r="LHB2" s="1"/>
      <c r="LHC2" s="1"/>
      <c r="LHD2" s="1"/>
      <c r="LHE2" s="1"/>
      <c r="LHF2" s="1"/>
      <c r="LHG2" s="1"/>
      <c r="LHH2" s="1"/>
      <c r="LHI2" s="1"/>
      <c r="LHJ2" s="1"/>
      <c r="LHK2" s="1"/>
      <c r="LHL2" s="1"/>
      <c r="LHM2" s="1"/>
      <c r="LHN2" s="1"/>
      <c r="LHO2" s="1"/>
      <c r="LHP2" s="1"/>
      <c r="LHQ2" s="1"/>
      <c r="LHR2" s="1"/>
      <c r="LHS2" s="1"/>
      <c r="LHT2" s="1"/>
      <c r="LHU2" s="1"/>
      <c r="LHV2" s="1"/>
      <c r="LHW2" s="1"/>
      <c r="LHX2" s="1"/>
      <c r="LHY2" s="1"/>
      <c r="LHZ2" s="1"/>
      <c r="LIA2" s="1"/>
      <c r="LIB2" s="1"/>
      <c r="LIC2" s="1"/>
      <c r="LID2" s="1"/>
      <c r="LIE2" s="1"/>
      <c r="LIF2" s="1"/>
      <c r="LIG2" s="1"/>
      <c r="LIH2" s="1"/>
      <c r="LII2" s="1"/>
      <c r="LIJ2" s="1"/>
      <c r="LIK2" s="1"/>
      <c r="LIL2" s="1"/>
      <c r="LIM2" s="1"/>
      <c r="LIN2" s="1"/>
      <c r="LIO2" s="1"/>
      <c r="LIP2" s="1"/>
      <c r="LIQ2" s="1"/>
      <c r="LIR2" s="1"/>
      <c r="LIS2" s="1"/>
      <c r="LIT2" s="1"/>
      <c r="LIU2" s="1"/>
      <c r="LIV2" s="1"/>
      <c r="LIW2" s="1"/>
      <c r="LIX2" s="1"/>
      <c r="LIY2" s="1"/>
      <c r="LIZ2" s="1"/>
      <c r="LJA2" s="1"/>
      <c r="LJB2" s="1"/>
      <c r="LJC2" s="1"/>
      <c r="LJD2" s="1"/>
      <c r="LJE2" s="1"/>
      <c r="LJF2" s="1"/>
      <c r="LJG2" s="1"/>
      <c r="LJH2" s="1"/>
      <c r="LJI2" s="1"/>
      <c r="LJJ2" s="1"/>
      <c r="LJK2" s="1"/>
      <c r="LJL2" s="1"/>
      <c r="LJM2" s="1"/>
      <c r="LJN2" s="1"/>
      <c r="LJO2" s="1"/>
      <c r="LJP2" s="1"/>
      <c r="LJQ2" s="1"/>
      <c r="LJR2" s="1"/>
      <c r="LJS2" s="1"/>
      <c r="LJT2" s="1"/>
      <c r="LJU2" s="1"/>
      <c r="LJV2" s="1"/>
      <c r="LJW2" s="1"/>
      <c r="LJX2" s="1"/>
      <c r="LJY2" s="1"/>
      <c r="LJZ2" s="1"/>
      <c r="LKA2" s="1"/>
      <c r="LKB2" s="1"/>
      <c r="LKC2" s="1"/>
      <c r="LKD2" s="1"/>
      <c r="LKE2" s="1"/>
      <c r="LKF2" s="1"/>
      <c r="LKG2" s="1"/>
      <c r="LKH2" s="1"/>
      <c r="LKI2" s="1"/>
      <c r="LKJ2" s="1"/>
      <c r="LKK2" s="1"/>
      <c r="LKL2" s="1"/>
      <c r="LKM2" s="1"/>
      <c r="LKN2" s="1"/>
      <c r="LKO2" s="1"/>
      <c r="LKP2" s="1"/>
      <c r="LKQ2" s="1"/>
      <c r="LKR2" s="1"/>
      <c r="LKS2" s="1"/>
      <c r="LKT2" s="1"/>
      <c r="LKU2" s="1"/>
      <c r="LKV2" s="1"/>
      <c r="LKW2" s="1"/>
      <c r="LKX2" s="1"/>
      <c r="LKY2" s="1"/>
      <c r="LKZ2" s="1"/>
      <c r="LLA2" s="1"/>
      <c r="LLB2" s="1"/>
      <c r="LLC2" s="1"/>
      <c r="LLD2" s="1"/>
      <c r="LLE2" s="1"/>
      <c r="LLF2" s="1"/>
      <c r="LLG2" s="1"/>
      <c r="LLH2" s="1"/>
      <c r="LLI2" s="1"/>
      <c r="LLJ2" s="1"/>
      <c r="LLK2" s="1"/>
      <c r="LLL2" s="1"/>
      <c r="LLM2" s="1"/>
      <c r="LLN2" s="1"/>
      <c r="LLO2" s="1"/>
      <c r="LLP2" s="1"/>
      <c r="LLQ2" s="1"/>
      <c r="LLR2" s="1"/>
      <c r="LLS2" s="1"/>
      <c r="LLT2" s="1"/>
      <c r="LLU2" s="1"/>
      <c r="LLV2" s="1"/>
      <c r="LLW2" s="1"/>
      <c r="LLX2" s="1"/>
      <c r="LLY2" s="1"/>
      <c r="LLZ2" s="1"/>
      <c r="LMA2" s="1"/>
      <c r="LMB2" s="1"/>
      <c r="LMC2" s="1"/>
      <c r="LMD2" s="1"/>
      <c r="LME2" s="1"/>
      <c r="LMF2" s="1"/>
      <c r="LMG2" s="1"/>
      <c r="LMH2" s="1"/>
      <c r="LMI2" s="1"/>
      <c r="LMJ2" s="1"/>
      <c r="LMK2" s="1"/>
      <c r="LML2" s="1"/>
      <c r="LMM2" s="1"/>
      <c r="LMN2" s="1"/>
      <c r="LMO2" s="1"/>
      <c r="LMP2" s="1"/>
      <c r="LMQ2" s="1"/>
      <c r="LMR2" s="1"/>
      <c r="LMS2" s="1"/>
      <c r="LMT2" s="1"/>
      <c r="LMU2" s="1"/>
      <c r="LMV2" s="1"/>
      <c r="LMW2" s="1"/>
      <c r="LMX2" s="1"/>
      <c r="LMY2" s="1"/>
      <c r="LMZ2" s="1"/>
      <c r="LNA2" s="1"/>
      <c r="LNB2" s="1"/>
      <c r="LNC2" s="1"/>
      <c r="LND2" s="1"/>
      <c r="LNE2" s="1"/>
      <c r="LNF2" s="1"/>
      <c r="LNG2" s="1"/>
      <c r="LNH2" s="1"/>
      <c r="LNI2" s="1"/>
      <c r="LNJ2" s="1"/>
      <c r="LNK2" s="1"/>
      <c r="LNL2" s="1"/>
      <c r="LNM2" s="1"/>
      <c r="LNN2" s="1"/>
      <c r="LNO2" s="1"/>
      <c r="LNP2" s="1"/>
      <c r="LNQ2" s="1"/>
      <c r="LNR2" s="1"/>
      <c r="LNS2" s="1"/>
      <c r="LNT2" s="1"/>
      <c r="LNU2" s="1"/>
      <c r="LNV2" s="1"/>
      <c r="LNW2" s="1"/>
      <c r="LNX2" s="1"/>
      <c r="LNY2" s="1"/>
      <c r="LNZ2" s="1"/>
      <c r="LOA2" s="1"/>
      <c r="LOB2" s="1"/>
      <c r="LOC2" s="1"/>
      <c r="LOD2" s="1"/>
      <c r="LOE2" s="1"/>
      <c r="LOF2" s="1"/>
      <c r="LOG2" s="1"/>
      <c r="LOH2" s="1"/>
      <c r="LOI2" s="1"/>
      <c r="LOJ2" s="1"/>
      <c r="LOK2" s="1"/>
      <c r="LOL2" s="1"/>
      <c r="LOM2" s="1"/>
      <c r="LON2" s="1"/>
      <c r="LOO2" s="1"/>
      <c r="LOP2" s="1"/>
      <c r="LOQ2" s="1"/>
      <c r="LOR2" s="1"/>
      <c r="LOS2" s="1"/>
      <c r="LOT2" s="1"/>
      <c r="LOU2" s="1"/>
      <c r="LOV2" s="1"/>
      <c r="LOW2" s="1"/>
      <c r="LOX2" s="1"/>
      <c r="LOY2" s="1"/>
      <c r="LOZ2" s="1"/>
      <c r="LPA2" s="1"/>
      <c r="LPB2" s="1"/>
      <c r="LPC2" s="1"/>
      <c r="LPD2" s="1"/>
      <c r="LPE2" s="1"/>
      <c r="LPF2" s="1"/>
      <c r="LPG2" s="1"/>
      <c r="LPH2" s="1"/>
      <c r="LPI2" s="1"/>
      <c r="LPJ2" s="1"/>
      <c r="LPK2" s="1"/>
      <c r="LPL2" s="1"/>
      <c r="LPM2" s="1"/>
      <c r="LPN2" s="1"/>
      <c r="LPO2" s="1"/>
      <c r="LPP2" s="1"/>
      <c r="LPQ2" s="1"/>
      <c r="LPR2" s="1"/>
      <c r="LPS2" s="1"/>
      <c r="LPT2" s="1"/>
      <c r="LPU2" s="1"/>
      <c r="LPV2" s="1"/>
      <c r="LPW2" s="1"/>
      <c r="LPX2" s="1"/>
      <c r="LPY2" s="1"/>
      <c r="LPZ2" s="1"/>
      <c r="LQA2" s="1"/>
      <c r="LQB2" s="1"/>
      <c r="LQC2" s="1"/>
      <c r="LQD2" s="1"/>
      <c r="LQE2" s="1"/>
      <c r="LQF2" s="1"/>
      <c r="LQG2" s="1"/>
      <c r="LQH2" s="1"/>
      <c r="LQI2" s="1"/>
      <c r="LQJ2" s="1"/>
      <c r="LQK2" s="1"/>
      <c r="LQL2" s="1"/>
      <c r="LQM2" s="1"/>
      <c r="LQN2" s="1"/>
      <c r="LQO2" s="1"/>
      <c r="LQP2" s="1"/>
      <c r="LQQ2" s="1"/>
      <c r="LQR2" s="1"/>
      <c r="LQS2" s="1"/>
      <c r="LQT2" s="1"/>
      <c r="LQU2" s="1"/>
      <c r="LQV2" s="1"/>
      <c r="LQW2" s="1"/>
      <c r="LQX2" s="1"/>
      <c r="LQY2" s="1"/>
      <c r="LQZ2" s="1"/>
      <c r="LRA2" s="1"/>
      <c r="LRB2" s="1"/>
      <c r="LRC2" s="1"/>
      <c r="LRD2" s="1"/>
      <c r="LRE2" s="1"/>
      <c r="LRF2" s="1"/>
      <c r="LRG2" s="1"/>
      <c r="LRH2" s="1"/>
      <c r="LRI2" s="1"/>
      <c r="LRJ2" s="1"/>
      <c r="LRK2" s="1"/>
      <c r="LRL2" s="1"/>
      <c r="LRM2" s="1"/>
      <c r="LRN2" s="1"/>
      <c r="LRO2" s="1"/>
      <c r="LRP2" s="1"/>
      <c r="LRQ2" s="1"/>
      <c r="LRR2" s="1"/>
      <c r="LRS2" s="1"/>
      <c r="LRT2" s="1"/>
      <c r="LRU2" s="1"/>
      <c r="LRV2" s="1"/>
      <c r="LRW2" s="1"/>
      <c r="LRX2" s="1"/>
      <c r="LRY2" s="1"/>
      <c r="LRZ2" s="1"/>
      <c r="LSA2" s="1"/>
      <c r="LSB2" s="1"/>
      <c r="LSC2" s="1"/>
      <c r="LSD2" s="1"/>
      <c r="LSE2" s="1"/>
      <c r="LSF2" s="1"/>
      <c r="LSG2" s="1"/>
      <c r="LSH2" s="1"/>
      <c r="LSI2" s="1"/>
      <c r="LSJ2" s="1"/>
      <c r="LSK2" s="1"/>
      <c r="LSL2" s="1"/>
      <c r="LSM2" s="1"/>
      <c r="LSN2" s="1"/>
      <c r="LSO2" s="1"/>
      <c r="LSP2" s="1"/>
      <c r="LSQ2" s="1"/>
      <c r="LSR2" s="1"/>
      <c r="LSS2" s="1"/>
      <c r="LST2" s="1"/>
      <c r="LSU2" s="1"/>
      <c r="LSV2" s="1"/>
      <c r="LSW2" s="1"/>
      <c r="LSX2" s="1"/>
      <c r="LSY2" s="1"/>
      <c r="LSZ2" s="1"/>
      <c r="LTA2" s="1"/>
      <c r="LTB2" s="1"/>
      <c r="LTC2" s="1"/>
      <c r="LTD2" s="1"/>
      <c r="LTE2" s="1"/>
      <c r="LTF2" s="1"/>
      <c r="LTG2" s="1"/>
      <c r="LTH2" s="1"/>
      <c r="LTI2" s="1"/>
      <c r="LTJ2" s="1"/>
      <c r="LTK2" s="1"/>
      <c r="LTL2" s="1"/>
      <c r="LTM2" s="1"/>
      <c r="LTN2" s="1"/>
      <c r="LTO2" s="1"/>
      <c r="LTP2" s="1"/>
      <c r="LTQ2" s="1"/>
      <c r="LTR2" s="1"/>
      <c r="LTS2" s="1"/>
      <c r="LTT2" s="1"/>
      <c r="LTU2" s="1"/>
      <c r="LTV2" s="1"/>
      <c r="LTW2" s="1"/>
      <c r="LTX2" s="1"/>
      <c r="LTY2" s="1"/>
      <c r="LTZ2" s="1"/>
      <c r="LUA2" s="1"/>
      <c r="LUB2" s="1"/>
      <c r="LUC2" s="1"/>
      <c r="LUD2" s="1"/>
      <c r="LUE2" s="1"/>
      <c r="LUF2" s="1"/>
      <c r="LUG2" s="1"/>
      <c r="LUH2" s="1"/>
      <c r="LUI2" s="1"/>
      <c r="LUJ2" s="1"/>
      <c r="LUK2" s="1"/>
      <c r="LUL2" s="1"/>
      <c r="LUM2" s="1"/>
      <c r="LUN2" s="1"/>
      <c r="LUO2" s="1"/>
      <c r="LUP2" s="1"/>
      <c r="LUQ2" s="1"/>
      <c r="LUR2" s="1"/>
      <c r="LUS2" s="1"/>
      <c r="LUT2" s="1"/>
      <c r="LUU2" s="1"/>
      <c r="LUV2" s="1"/>
      <c r="LUW2" s="1"/>
      <c r="LUX2" s="1"/>
      <c r="LUY2" s="1"/>
      <c r="LUZ2" s="1"/>
      <c r="LVA2" s="1"/>
      <c r="LVB2" s="1"/>
      <c r="LVC2" s="1"/>
      <c r="LVD2" s="1"/>
      <c r="LVE2" s="1"/>
      <c r="LVF2" s="1"/>
      <c r="LVG2" s="1"/>
      <c r="LVH2" s="1"/>
      <c r="LVI2" s="1"/>
      <c r="LVJ2" s="1"/>
      <c r="LVK2" s="1"/>
      <c r="LVL2" s="1"/>
      <c r="LVM2" s="1"/>
      <c r="LVN2" s="1"/>
      <c r="LVO2" s="1"/>
      <c r="LVP2" s="1"/>
      <c r="LVQ2" s="1"/>
      <c r="LVR2" s="1"/>
      <c r="LVS2" s="1"/>
      <c r="LVT2" s="1"/>
      <c r="LVU2" s="1"/>
      <c r="LVV2" s="1"/>
      <c r="LVW2" s="1"/>
      <c r="LVX2" s="1"/>
      <c r="LVY2" s="1"/>
      <c r="LVZ2" s="1"/>
      <c r="LWA2" s="1"/>
      <c r="LWB2" s="1"/>
      <c r="LWC2" s="1"/>
      <c r="LWD2" s="1"/>
      <c r="LWE2" s="1"/>
      <c r="LWF2" s="1"/>
      <c r="LWG2" s="1"/>
      <c r="LWH2" s="1"/>
      <c r="LWI2" s="1"/>
      <c r="LWJ2" s="1"/>
      <c r="LWK2" s="1"/>
      <c r="LWL2" s="1"/>
      <c r="LWM2" s="1"/>
      <c r="LWN2" s="1"/>
      <c r="LWO2" s="1"/>
      <c r="LWP2" s="1"/>
      <c r="LWQ2" s="1"/>
      <c r="LWR2" s="1"/>
      <c r="LWS2" s="1"/>
      <c r="LWT2" s="1"/>
      <c r="LWU2" s="1"/>
      <c r="LWV2" s="1"/>
      <c r="LWW2" s="1"/>
      <c r="LWX2" s="1"/>
      <c r="LWY2" s="1"/>
      <c r="LWZ2" s="1"/>
      <c r="LXA2" s="1"/>
      <c r="LXB2" s="1"/>
      <c r="LXC2" s="1"/>
      <c r="LXD2" s="1"/>
      <c r="LXE2" s="1"/>
      <c r="LXF2" s="1"/>
      <c r="LXG2" s="1"/>
      <c r="LXH2" s="1"/>
      <c r="LXI2" s="1"/>
      <c r="LXJ2" s="1"/>
      <c r="LXK2" s="1"/>
      <c r="LXL2" s="1"/>
      <c r="LXM2" s="1"/>
      <c r="LXN2" s="1"/>
      <c r="LXO2" s="1"/>
      <c r="LXP2" s="1"/>
      <c r="LXQ2" s="1"/>
      <c r="LXR2" s="1"/>
      <c r="LXS2" s="1"/>
      <c r="LXT2" s="1"/>
      <c r="LXU2" s="1"/>
      <c r="LXV2" s="1"/>
      <c r="LXW2" s="1"/>
      <c r="LXX2" s="1"/>
      <c r="LXY2" s="1"/>
      <c r="LXZ2" s="1"/>
      <c r="LYA2" s="1"/>
      <c r="LYB2" s="1"/>
      <c r="LYC2" s="1"/>
      <c r="LYD2" s="1"/>
      <c r="LYE2" s="1"/>
      <c r="LYF2" s="1"/>
      <c r="LYG2" s="1"/>
      <c r="LYH2" s="1"/>
      <c r="LYI2" s="1"/>
      <c r="LYJ2" s="1"/>
      <c r="LYK2" s="1"/>
      <c r="LYL2" s="1"/>
      <c r="LYM2" s="1"/>
      <c r="LYN2" s="1"/>
      <c r="LYO2" s="1"/>
      <c r="LYP2" s="1"/>
      <c r="LYQ2" s="1"/>
      <c r="LYR2" s="1"/>
      <c r="LYS2" s="1"/>
      <c r="LYT2" s="1"/>
      <c r="LYU2" s="1"/>
      <c r="LYV2" s="1"/>
      <c r="LYW2" s="1"/>
      <c r="LYX2" s="1"/>
      <c r="LYY2" s="1"/>
      <c r="LYZ2" s="1"/>
      <c r="LZA2" s="1"/>
      <c r="LZB2" s="1"/>
      <c r="LZC2" s="1"/>
      <c r="LZD2" s="1"/>
      <c r="LZE2" s="1"/>
      <c r="LZF2" s="1"/>
      <c r="LZG2" s="1"/>
      <c r="LZH2" s="1"/>
      <c r="LZI2" s="1"/>
      <c r="LZJ2" s="1"/>
      <c r="LZK2" s="1"/>
      <c r="LZL2" s="1"/>
      <c r="LZM2" s="1"/>
      <c r="LZN2" s="1"/>
      <c r="LZO2" s="1"/>
      <c r="LZP2" s="1"/>
      <c r="LZQ2" s="1"/>
      <c r="LZR2" s="1"/>
      <c r="LZS2" s="1"/>
      <c r="LZT2" s="1"/>
      <c r="LZU2" s="1"/>
      <c r="LZV2" s="1"/>
      <c r="LZW2" s="1"/>
      <c r="LZX2" s="1"/>
      <c r="LZY2" s="1"/>
      <c r="LZZ2" s="1"/>
      <c r="MAA2" s="1"/>
      <c r="MAB2" s="1"/>
      <c r="MAC2" s="1"/>
      <c r="MAD2" s="1"/>
      <c r="MAE2" s="1"/>
      <c r="MAF2" s="1"/>
      <c r="MAG2" s="1"/>
      <c r="MAH2" s="1"/>
      <c r="MAI2" s="1"/>
      <c r="MAJ2" s="1"/>
      <c r="MAK2" s="1"/>
      <c r="MAL2" s="1"/>
      <c r="MAM2" s="1"/>
      <c r="MAN2" s="1"/>
      <c r="MAO2" s="1"/>
      <c r="MAP2" s="1"/>
      <c r="MAQ2" s="1"/>
      <c r="MAR2" s="1"/>
      <c r="MAS2" s="1"/>
      <c r="MAT2" s="1"/>
      <c r="MAU2" s="1"/>
      <c r="MAV2" s="1"/>
      <c r="MAW2" s="1"/>
      <c r="MAX2" s="1"/>
      <c r="MAY2" s="1"/>
      <c r="MAZ2" s="1"/>
      <c r="MBA2" s="1"/>
      <c r="MBB2" s="1"/>
      <c r="MBC2" s="1"/>
      <c r="MBD2" s="1"/>
      <c r="MBE2" s="1"/>
      <c r="MBF2" s="1"/>
      <c r="MBG2" s="1"/>
      <c r="MBH2" s="1"/>
      <c r="MBI2" s="1"/>
      <c r="MBJ2" s="1"/>
      <c r="MBK2" s="1"/>
      <c r="MBL2" s="1"/>
      <c r="MBM2" s="1"/>
      <c r="MBN2" s="1"/>
      <c r="MBO2" s="1"/>
      <c r="MBP2" s="1"/>
      <c r="MBQ2" s="1"/>
      <c r="MBR2" s="1"/>
      <c r="MBS2" s="1"/>
      <c r="MBT2" s="1"/>
      <c r="MBU2" s="1"/>
      <c r="MBV2" s="1"/>
      <c r="MBW2" s="1"/>
      <c r="MBX2" s="1"/>
      <c r="MBY2" s="1"/>
      <c r="MBZ2" s="1"/>
      <c r="MCA2" s="1"/>
      <c r="MCB2" s="1"/>
      <c r="MCC2" s="1"/>
      <c r="MCD2" s="1"/>
      <c r="MCE2" s="1"/>
      <c r="MCF2" s="1"/>
      <c r="MCG2" s="1"/>
      <c r="MCH2" s="1"/>
      <c r="MCI2" s="1"/>
      <c r="MCJ2" s="1"/>
      <c r="MCK2" s="1"/>
      <c r="MCL2" s="1"/>
      <c r="MCM2" s="1"/>
      <c r="MCN2" s="1"/>
      <c r="MCO2" s="1"/>
      <c r="MCP2" s="1"/>
      <c r="MCQ2" s="1"/>
      <c r="MCR2" s="1"/>
      <c r="MCS2" s="1"/>
      <c r="MCT2" s="1"/>
      <c r="MCU2" s="1"/>
      <c r="MCV2" s="1"/>
      <c r="MCW2" s="1"/>
      <c r="MCX2" s="1"/>
      <c r="MCY2" s="1"/>
      <c r="MCZ2" s="1"/>
      <c r="MDA2" s="1"/>
      <c r="MDB2" s="1"/>
      <c r="MDC2" s="1"/>
      <c r="MDD2" s="1"/>
      <c r="MDE2" s="1"/>
      <c r="MDF2" s="1"/>
      <c r="MDG2" s="1"/>
      <c r="MDH2" s="1"/>
      <c r="MDI2" s="1"/>
      <c r="MDJ2" s="1"/>
      <c r="MDK2" s="1"/>
      <c r="MDL2" s="1"/>
      <c r="MDM2" s="1"/>
      <c r="MDN2" s="1"/>
      <c r="MDO2" s="1"/>
      <c r="MDP2" s="1"/>
      <c r="MDQ2" s="1"/>
      <c r="MDR2" s="1"/>
      <c r="MDS2" s="1"/>
      <c r="MDT2" s="1"/>
      <c r="MDU2" s="1"/>
      <c r="MDV2" s="1"/>
      <c r="MDW2" s="1"/>
      <c r="MDX2" s="1"/>
      <c r="MDY2" s="1"/>
      <c r="MDZ2" s="1"/>
      <c r="MEA2" s="1"/>
      <c r="MEB2" s="1"/>
      <c r="MEC2" s="1"/>
      <c r="MED2" s="1"/>
      <c r="MEE2" s="1"/>
      <c r="MEF2" s="1"/>
      <c r="MEG2" s="1"/>
      <c r="MEH2" s="1"/>
      <c r="MEI2" s="1"/>
      <c r="MEJ2" s="1"/>
      <c r="MEK2" s="1"/>
      <c r="MEL2" s="1"/>
      <c r="MEM2" s="1"/>
      <c r="MEN2" s="1"/>
      <c r="MEO2" s="1"/>
      <c r="MEP2" s="1"/>
      <c r="MEQ2" s="1"/>
      <c r="MER2" s="1"/>
      <c r="MES2" s="1"/>
      <c r="MET2" s="1"/>
      <c r="MEU2" s="1"/>
      <c r="MEV2" s="1"/>
      <c r="MEW2" s="1"/>
      <c r="MEX2" s="1"/>
      <c r="MEY2" s="1"/>
      <c r="MEZ2" s="1"/>
      <c r="MFA2" s="1"/>
      <c r="MFB2" s="1"/>
      <c r="MFC2" s="1"/>
      <c r="MFD2" s="1"/>
      <c r="MFE2" s="1"/>
      <c r="MFF2" s="1"/>
      <c r="MFG2" s="1"/>
      <c r="MFH2" s="1"/>
      <c r="MFI2" s="1"/>
      <c r="MFJ2" s="1"/>
      <c r="MFK2" s="1"/>
      <c r="MFL2" s="1"/>
      <c r="MFM2" s="1"/>
      <c r="MFN2" s="1"/>
      <c r="MFO2" s="1"/>
      <c r="MFP2" s="1"/>
      <c r="MFQ2" s="1"/>
      <c r="MFR2" s="1"/>
      <c r="MFS2" s="1"/>
      <c r="MFT2" s="1"/>
      <c r="MFU2" s="1"/>
      <c r="MFV2" s="1"/>
      <c r="MFW2" s="1"/>
      <c r="MFX2" s="1"/>
      <c r="MFY2" s="1"/>
      <c r="MFZ2" s="1"/>
      <c r="MGA2" s="1"/>
      <c r="MGB2" s="1"/>
      <c r="MGC2" s="1"/>
      <c r="MGD2" s="1"/>
      <c r="MGE2" s="1"/>
      <c r="MGF2" s="1"/>
      <c r="MGG2" s="1"/>
      <c r="MGH2" s="1"/>
      <c r="MGI2" s="1"/>
      <c r="MGJ2" s="1"/>
      <c r="MGK2" s="1"/>
      <c r="MGL2" s="1"/>
      <c r="MGM2" s="1"/>
      <c r="MGN2" s="1"/>
      <c r="MGO2" s="1"/>
      <c r="MGP2" s="1"/>
      <c r="MGQ2" s="1"/>
      <c r="MGR2" s="1"/>
      <c r="MGS2" s="1"/>
      <c r="MGT2" s="1"/>
      <c r="MGU2" s="1"/>
      <c r="MGV2" s="1"/>
      <c r="MGW2" s="1"/>
      <c r="MGX2" s="1"/>
      <c r="MGY2" s="1"/>
      <c r="MGZ2" s="1"/>
      <c r="MHA2" s="1"/>
      <c r="MHB2" s="1"/>
      <c r="MHC2" s="1"/>
      <c r="MHD2" s="1"/>
      <c r="MHE2" s="1"/>
      <c r="MHF2" s="1"/>
      <c r="MHG2" s="1"/>
      <c r="MHH2" s="1"/>
      <c r="MHI2" s="1"/>
      <c r="MHJ2" s="1"/>
      <c r="MHK2" s="1"/>
      <c r="MHL2" s="1"/>
      <c r="MHM2" s="1"/>
      <c r="MHN2" s="1"/>
      <c r="MHO2" s="1"/>
      <c r="MHP2" s="1"/>
      <c r="MHQ2" s="1"/>
      <c r="MHR2" s="1"/>
      <c r="MHS2" s="1"/>
      <c r="MHT2" s="1"/>
      <c r="MHU2" s="1"/>
      <c r="MHV2" s="1"/>
      <c r="MHW2" s="1"/>
      <c r="MHX2" s="1"/>
      <c r="MHY2" s="1"/>
      <c r="MHZ2" s="1"/>
      <c r="MIA2" s="1"/>
      <c r="MIB2" s="1"/>
      <c r="MIC2" s="1"/>
      <c r="MID2" s="1"/>
      <c r="MIE2" s="1"/>
      <c r="MIF2" s="1"/>
      <c r="MIG2" s="1"/>
      <c r="MIH2" s="1"/>
      <c r="MII2" s="1"/>
      <c r="MIJ2" s="1"/>
      <c r="MIK2" s="1"/>
      <c r="MIL2" s="1"/>
      <c r="MIM2" s="1"/>
      <c r="MIN2" s="1"/>
      <c r="MIO2" s="1"/>
      <c r="MIP2" s="1"/>
      <c r="MIQ2" s="1"/>
      <c r="MIR2" s="1"/>
      <c r="MIS2" s="1"/>
      <c r="MIT2" s="1"/>
      <c r="MIU2" s="1"/>
      <c r="MIV2" s="1"/>
      <c r="MIW2" s="1"/>
      <c r="MIX2" s="1"/>
      <c r="MIY2" s="1"/>
      <c r="MIZ2" s="1"/>
      <c r="MJA2" s="1"/>
      <c r="MJB2" s="1"/>
      <c r="MJC2" s="1"/>
      <c r="MJD2" s="1"/>
      <c r="MJE2" s="1"/>
      <c r="MJF2" s="1"/>
      <c r="MJG2" s="1"/>
      <c r="MJH2" s="1"/>
      <c r="MJI2" s="1"/>
      <c r="MJJ2" s="1"/>
      <c r="MJK2" s="1"/>
      <c r="MJL2" s="1"/>
      <c r="MJM2" s="1"/>
      <c r="MJN2" s="1"/>
      <c r="MJO2" s="1"/>
      <c r="MJP2" s="1"/>
      <c r="MJQ2" s="1"/>
      <c r="MJR2" s="1"/>
      <c r="MJS2" s="1"/>
      <c r="MJT2" s="1"/>
      <c r="MJU2" s="1"/>
      <c r="MJV2" s="1"/>
      <c r="MJW2" s="1"/>
      <c r="MJX2" s="1"/>
      <c r="MJY2" s="1"/>
      <c r="MJZ2" s="1"/>
      <c r="MKA2" s="1"/>
      <c r="MKB2" s="1"/>
      <c r="MKC2" s="1"/>
      <c r="MKD2" s="1"/>
      <c r="MKE2" s="1"/>
      <c r="MKF2" s="1"/>
      <c r="MKG2" s="1"/>
      <c r="MKH2" s="1"/>
      <c r="MKI2" s="1"/>
      <c r="MKJ2" s="1"/>
      <c r="MKK2" s="1"/>
      <c r="MKL2" s="1"/>
      <c r="MKM2" s="1"/>
      <c r="MKN2" s="1"/>
      <c r="MKO2" s="1"/>
      <c r="MKP2" s="1"/>
      <c r="MKQ2" s="1"/>
      <c r="MKR2" s="1"/>
      <c r="MKS2" s="1"/>
      <c r="MKT2" s="1"/>
      <c r="MKU2" s="1"/>
      <c r="MKV2" s="1"/>
      <c r="MKW2" s="1"/>
      <c r="MKX2" s="1"/>
      <c r="MKY2" s="1"/>
      <c r="MKZ2" s="1"/>
      <c r="MLA2" s="1"/>
      <c r="MLB2" s="1"/>
      <c r="MLC2" s="1"/>
      <c r="MLD2" s="1"/>
      <c r="MLE2" s="1"/>
      <c r="MLF2" s="1"/>
      <c r="MLG2" s="1"/>
      <c r="MLH2" s="1"/>
      <c r="MLI2" s="1"/>
      <c r="MLJ2" s="1"/>
      <c r="MLK2" s="1"/>
      <c r="MLL2" s="1"/>
      <c r="MLM2" s="1"/>
      <c r="MLN2" s="1"/>
      <c r="MLO2" s="1"/>
      <c r="MLP2" s="1"/>
      <c r="MLQ2" s="1"/>
      <c r="MLR2" s="1"/>
      <c r="MLS2" s="1"/>
      <c r="MLT2" s="1"/>
      <c r="MLU2" s="1"/>
      <c r="MLV2" s="1"/>
      <c r="MLW2" s="1"/>
      <c r="MLX2" s="1"/>
      <c r="MLY2" s="1"/>
      <c r="MLZ2" s="1"/>
      <c r="MMA2" s="1"/>
      <c r="MMB2" s="1"/>
      <c r="MMC2" s="1"/>
      <c r="MMD2" s="1"/>
      <c r="MME2" s="1"/>
      <c r="MMF2" s="1"/>
      <c r="MMG2" s="1"/>
      <c r="MMH2" s="1"/>
      <c r="MMI2" s="1"/>
      <c r="MMJ2" s="1"/>
      <c r="MMK2" s="1"/>
      <c r="MML2" s="1"/>
      <c r="MMM2" s="1"/>
      <c r="MMN2" s="1"/>
      <c r="MMO2" s="1"/>
      <c r="MMP2" s="1"/>
      <c r="MMQ2" s="1"/>
      <c r="MMR2" s="1"/>
      <c r="MMS2" s="1"/>
      <c r="MMT2" s="1"/>
      <c r="MMU2" s="1"/>
      <c r="MMV2" s="1"/>
      <c r="MMW2" s="1"/>
      <c r="MMX2" s="1"/>
      <c r="MMY2" s="1"/>
      <c r="MMZ2" s="1"/>
      <c r="MNA2" s="1"/>
      <c r="MNB2" s="1"/>
      <c r="MNC2" s="1"/>
      <c r="MND2" s="1"/>
      <c r="MNE2" s="1"/>
      <c r="MNF2" s="1"/>
      <c r="MNG2" s="1"/>
      <c r="MNH2" s="1"/>
      <c r="MNI2" s="1"/>
      <c r="MNJ2" s="1"/>
      <c r="MNK2" s="1"/>
      <c r="MNL2" s="1"/>
      <c r="MNM2" s="1"/>
      <c r="MNN2" s="1"/>
      <c r="MNO2" s="1"/>
      <c r="MNP2" s="1"/>
      <c r="MNQ2" s="1"/>
      <c r="MNR2" s="1"/>
      <c r="MNS2" s="1"/>
      <c r="MNT2" s="1"/>
      <c r="MNU2" s="1"/>
      <c r="MNV2" s="1"/>
      <c r="MNW2" s="1"/>
      <c r="MNX2" s="1"/>
      <c r="MNY2" s="1"/>
      <c r="MNZ2" s="1"/>
      <c r="MOA2" s="1"/>
      <c r="MOB2" s="1"/>
      <c r="MOC2" s="1"/>
      <c r="MOD2" s="1"/>
      <c r="MOE2" s="1"/>
      <c r="MOF2" s="1"/>
      <c r="MOG2" s="1"/>
      <c r="MOH2" s="1"/>
      <c r="MOI2" s="1"/>
      <c r="MOJ2" s="1"/>
      <c r="MOK2" s="1"/>
      <c r="MOL2" s="1"/>
      <c r="MOM2" s="1"/>
      <c r="MON2" s="1"/>
      <c r="MOO2" s="1"/>
      <c r="MOP2" s="1"/>
      <c r="MOQ2" s="1"/>
      <c r="MOR2" s="1"/>
      <c r="MOS2" s="1"/>
      <c r="MOT2" s="1"/>
      <c r="MOU2" s="1"/>
      <c r="MOV2" s="1"/>
      <c r="MOW2" s="1"/>
      <c r="MOX2" s="1"/>
      <c r="MOY2" s="1"/>
      <c r="MOZ2" s="1"/>
      <c r="MPA2" s="1"/>
      <c r="MPB2" s="1"/>
      <c r="MPC2" s="1"/>
      <c r="MPD2" s="1"/>
      <c r="MPE2" s="1"/>
      <c r="MPF2" s="1"/>
      <c r="MPG2" s="1"/>
      <c r="MPH2" s="1"/>
      <c r="MPI2" s="1"/>
      <c r="MPJ2" s="1"/>
      <c r="MPK2" s="1"/>
      <c r="MPL2" s="1"/>
      <c r="MPM2" s="1"/>
      <c r="MPN2" s="1"/>
      <c r="MPO2" s="1"/>
      <c r="MPP2" s="1"/>
      <c r="MPQ2" s="1"/>
      <c r="MPR2" s="1"/>
      <c r="MPS2" s="1"/>
      <c r="MPT2" s="1"/>
      <c r="MPU2" s="1"/>
      <c r="MPV2" s="1"/>
      <c r="MPW2" s="1"/>
      <c r="MPX2" s="1"/>
      <c r="MPY2" s="1"/>
      <c r="MPZ2" s="1"/>
      <c r="MQA2" s="1"/>
      <c r="MQB2" s="1"/>
      <c r="MQC2" s="1"/>
      <c r="MQD2" s="1"/>
      <c r="MQE2" s="1"/>
      <c r="MQF2" s="1"/>
      <c r="MQG2" s="1"/>
      <c r="MQH2" s="1"/>
      <c r="MQI2" s="1"/>
      <c r="MQJ2" s="1"/>
      <c r="MQK2" s="1"/>
      <c r="MQL2" s="1"/>
      <c r="MQM2" s="1"/>
      <c r="MQN2" s="1"/>
      <c r="MQO2" s="1"/>
      <c r="MQP2" s="1"/>
      <c r="MQQ2" s="1"/>
      <c r="MQR2" s="1"/>
      <c r="MQS2" s="1"/>
      <c r="MQT2" s="1"/>
      <c r="MQU2" s="1"/>
      <c r="MQV2" s="1"/>
      <c r="MQW2" s="1"/>
      <c r="MQX2" s="1"/>
      <c r="MQY2" s="1"/>
      <c r="MQZ2" s="1"/>
      <c r="MRA2" s="1"/>
      <c r="MRB2" s="1"/>
      <c r="MRC2" s="1"/>
      <c r="MRD2" s="1"/>
      <c r="MRE2" s="1"/>
      <c r="MRF2" s="1"/>
      <c r="MRG2" s="1"/>
      <c r="MRH2" s="1"/>
      <c r="MRI2" s="1"/>
      <c r="MRJ2" s="1"/>
      <c r="MRK2" s="1"/>
      <c r="MRL2" s="1"/>
      <c r="MRM2" s="1"/>
      <c r="MRN2" s="1"/>
      <c r="MRO2" s="1"/>
      <c r="MRP2" s="1"/>
      <c r="MRQ2" s="1"/>
      <c r="MRR2" s="1"/>
      <c r="MRS2" s="1"/>
      <c r="MRT2" s="1"/>
      <c r="MRU2" s="1"/>
      <c r="MRV2" s="1"/>
      <c r="MRW2" s="1"/>
      <c r="MRX2" s="1"/>
      <c r="MRY2" s="1"/>
      <c r="MRZ2" s="1"/>
      <c r="MSA2" s="1"/>
      <c r="MSB2" s="1"/>
      <c r="MSC2" s="1"/>
      <c r="MSD2" s="1"/>
      <c r="MSE2" s="1"/>
      <c r="MSF2" s="1"/>
      <c r="MSG2" s="1"/>
      <c r="MSH2" s="1"/>
      <c r="MSI2" s="1"/>
      <c r="MSJ2" s="1"/>
      <c r="MSK2" s="1"/>
      <c r="MSL2" s="1"/>
      <c r="MSM2" s="1"/>
      <c r="MSN2" s="1"/>
      <c r="MSO2" s="1"/>
      <c r="MSP2" s="1"/>
      <c r="MSQ2" s="1"/>
      <c r="MSR2" s="1"/>
      <c r="MSS2" s="1"/>
      <c r="MST2" s="1"/>
      <c r="MSU2" s="1"/>
      <c r="MSV2" s="1"/>
      <c r="MSW2" s="1"/>
      <c r="MSX2" s="1"/>
      <c r="MSY2" s="1"/>
      <c r="MSZ2" s="1"/>
      <c r="MTA2" s="1"/>
      <c r="MTB2" s="1"/>
      <c r="MTC2" s="1"/>
      <c r="MTD2" s="1"/>
      <c r="MTE2" s="1"/>
      <c r="MTF2" s="1"/>
      <c r="MTG2" s="1"/>
      <c r="MTH2" s="1"/>
      <c r="MTI2" s="1"/>
      <c r="MTJ2" s="1"/>
      <c r="MTK2" s="1"/>
      <c r="MTL2" s="1"/>
      <c r="MTM2" s="1"/>
      <c r="MTN2" s="1"/>
      <c r="MTO2" s="1"/>
      <c r="MTP2" s="1"/>
      <c r="MTQ2" s="1"/>
      <c r="MTR2" s="1"/>
      <c r="MTS2" s="1"/>
      <c r="MTT2" s="1"/>
      <c r="MTU2" s="1"/>
      <c r="MTV2" s="1"/>
      <c r="MTW2" s="1"/>
      <c r="MTX2" s="1"/>
      <c r="MTY2" s="1"/>
      <c r="MTZ2" s="1"/>
      <c r="MUA2" s="1"/>
      <c r="MUB2" s="1"/>
      <c r="MUC2" s="1"/>
      <c r="MUD2" s="1"/>
      <c r="MUE2" s="1"/>
      <c r="MUF2" s="1"/>
      <c r="MUG2" s="1"/>
      <c r="MUH2" s="1"/>
      <c r="MUI2" s="1"/>
      <c r="MUJ2" s="1"/>
      <c r="MUK2" s="1"/>
      <c r="MUL2" s="1"/>
      <c r="MUM2" s="1"/>
      <c r="MUN2" s="1"/>
      <c r="MUO2" s="1"/>
      <c r="MUP2" s="1"/>
      <c r="MUQ2" s="1"/>
      <c r="MUR2" s="1"/>
      <c r="MUS2" s="1"/>
      <c r="MUT2" s="1"/>
      <c r="MUU2" s="1"/>
      <c r="MUV2" s="1"/>
      <c r="MUW2" s="1"/>
      <c r="MUX2" s="1"/>
      <c r="MUY2" s="1"/>
      <c r="MUZ2" s="1"/>
      <c r="MVA2" s="1"/>
      <c r="MVB2" s="1"/>
      <c r="MVC2" s="1"/>
      <c r="MVD2" s="1"/>
      <c r="MVE2" s="1"/>
      <c r="MVF2" s="1"/>
      <c r="MVG2" s="1"/>
      <c r="MVH2" s="1"/>
      <c r="MVI2" s="1"/>
      <c r="MVJ2" s="1"/>
      <c r="MVK2" s="1"/>
      <c r="MVL2" s="1"/>
      <c r="MVM2" s="1"/>
      <c r="MVN2" s="1"/>
      <c r="MVO2" s="1"/>
      <c r="MVP2" s="1"/>
      <c r="MVQ2" s="1"/>
      <c r="MVR2" s="1"/>
      <c r="MVS2" s="1"/>
      <c r="MVT2" s="1"/>
      <c r="MVU2" s="1"/>
      <c r="MVV2" s="1"/>
      <c r="MVW2" s="1"/>
      <c r="MVX2" s="1"/>
      <c r="MVY2" s="1"/>
      <c r="MVZ2" s="1"/>
      <c r="MWA2" s="1"/>
      <c r="MWB2" s="1"/>
      <c r="MWC2" s="1"/>
      <c r="MWD2" s="1"/>
      <c r="MWE2" s="1"/>
      <c r="MWF2" s="1"/>
      <c r="MWG2" s="1"/>
      <c r="MWH2" s="1"/>
      <c r="MWI2" s="1"/>
      <c r="MWJ2" s="1"/>
      <c r="MWK2" s="1"/>
      <c r="MWL2" s="1"/>
      <c r="MWM2" s="1"/>
      <c r="MWN2" s="1"/>
      <c r="MWO2" s="1"/>
      <c r="MWP2" s="1"/>
      <c r="MWQ2" s="1"/>
      <c r="MWR2" s="1"/>
      <c r="MWS2" s="1"/>
      <c r="MWT2" s="1"/>
      <c r="MWU2" s="1"/>
      <c r="MWV2" s="1"/>
      <c r="MWW2" s="1"/>
      <c r="MWX2" s="1"/>
      <c r="MWY2" s="1"/>
      <c r="MWZ2" s="1"/>
      <c r="MXA2" s="1"/>
      <c r="MXB2" s="1"/>
      <c r="MXC2" s="1"/>
      <c r="MXD2" s="1"/>
      <c r="MXE2" s="1"/>
      <c r="MXF2" s="1"/>
      <c r="MXG2" s="1"/>
      <c r="MXH2" s="1"/>
      <c r="MXI2" s="1"/>
      <c r="MXJ2" s="1"/>
      <c r="MXK2" s="1"/>
      <c r="MXL2" s="1"/>
      <c r="MXM2" s="1"/>
      <c r="MXN2" s="1"/>
      <c r="MXO2" s="1"/>
      <c r="MXP2" s="1"/>
      <c r="MXQ2" s="1"/>
      <c r="MXR2" s="1"/>
      <c r="MXS2" s="1"/>
      <c r="MXT2" s="1"/>
      <c r="MXU2" s="1"/>
      <c r="MXV2" s="1"/>
      <c r="MXW2" s="1"/>
      <c r="MXX2" s="1"/>
      <c r="MXY2" s="1"/>
      <c r="MXZ2" s="1"/>
      <c r="MYA2" s="1"/>
      <c r="MYB2" s="1"/>
      <c r="MYC2" s="1"/>
      <c r="MYD2" s="1"/>
      <c r="MYE2" s="1"/>
      <c r="MYF2" s="1"/>
      <c r="MYG2" s="1"/>
      <c r="MYH2" s="1"/>
      <c r="MYI2" s="1"/>
      <c r="MYJ2" s="1"/>
      <c r="MYK2" s="1"/>
      <c r="MYL2" s="1"/>
      <c r="MYM2" s="1"/>
      <c r="MYN2" s="1"/>
      <c r="MYO2" s="1"/>
      <c r="MYP2" s="1"/>
      <c r="MYQ2" s="1"/>
      <c r="MYR2" s="1"/>
      <c r="MYS2" s="1"/>
      <c r="MYT2" s="1"/>
      <c r="MYU2" s="1"/>
      <c r="MYV2" s="1"/>
      <c r="MYW2" s="1"/>
      <c r="MYX2" s="1"/>
      <c r="MYY2" s="1"/>
      <c r="MYZ2" s="1"/>
      <c r="MZA2" s="1"/>
      <c r="MZB2" s="1"/>
      <c r="MZC2" s="1"/>
      <c r="MZD2" s="1"/>
      <c r="MZE2" s="1"/>
      <c r="MZF2" s="1"/>
      <c r="MZG2" s="1"/>
      <c r="MZH2" s="1"/>
      <c r="MZI2" s="1"/>
      <c r="MZJ2" s="1"/>
      <c r="MZK2" s="1"/>
      <c r="MZL2" s="1"/>
      <c r="MZM2" s="1"/>
      <c r="MZN2" s="1"/>
      <c r="MZO2" s="1"/>
      <c r="MZP2" s="1"/>
      <c r="MZQ2" s="1"/>
      <c r="MZR2" s="1"/>
      <c r="MZS2" s="1"/>
      <c r="MZT2" s="1"/>
      <c r="MZU2" s="1"/>
      <c r="MZV2" s="1"/>
      <c r="MZW2" s="1"/>
      <c r="MZX2" s="1"/>
      <c r="MZY2" s="1"/>
      <c r="MZZ2" s="1"/>
      <c r="NAA2" s="1"/>
      <c r="NAB2" s="1"/>
      <c r="NAC2" s="1"/>
      <c r="NAD2" s="1"/>
      <c r="NAE2" s="1"/>
      <c r="NAF2" s="1"/>
      <c r="NAG2" s="1"/>
      <c r="NAH2" s="1"/>
      <c r="NAI2" s="1"/>
      <c r="NAJ2" s="1"/>
      <c r="NAK2" s="1"/>
      <c r="NAL2" s="1"/>
      <c r="NAM2" s="1"/>
      <c r="NAN2" s="1"/>
      <c r="NAO2" s="1"/>
      <c r="NAP2" s="1"/>
      <c r="NAQ2" s="1"/>
      <c r="NAR2" s="1"/>
      <c r="NAS2" s="1"/>
      <c r="NAT2" s="1"/>
      <c r="NAU2" s="1"/>
      <c r="NAV2" s="1"/>
      <c r="NAW2" s="1"/>
      <c r="NAX2" s="1"/>
      <c r="NAY2" s="1"/>
      <c r="NAZ2" s="1"/>
      <c r="NBA2" s="1"/>
      <c r="NBB2" s="1"/>
      <c r="NBC2" s="1"/>
      <c r="NBD2" s="1"/>
      <c r="NBE2" s="1"/>
      <c r="NBF2" s="1"/>
      <c r="NBG2" s="1"/>
      <c r="NBH2" s="1"/>
      <c r="NBI2" s="1"/>
      <c r="NBJ2" s="1"/>
      <c r="NBK2" s="1"/>
      <c r="NBL2" s="1"/>
      <c r="NBM2" s="1"/>
      <c r="NBN2" s="1"/>
      <c r="NBO2" s="1"/>
      <c r="NBP2" s="1"/>
      <c r="NBQ2" s="1"/>
      <c r="NBR2" s="1"/>
      <c r="NBS2" s="1"/>
      <c r="NBT2" s="1"/>
      <c r="NBU2" s="1"/>
      <c r="NBV2" s="1"/>
      <c r="NBW2" s="1"/>
      <c r="NBX2" s="1"/>
      <c r="NBY2" s="1"/>
      <c r="NBZ2" s="1"/>
      <c r="NCA2" s="1"/>
      <c r="NCB2" s="1"/>
      <c r="NCC2" s="1"/>
      <c r="NCD2" s="1"/>
      <c r="NCE2" s="1"/>
      <c r="NCF2" s="1"/>
      <c r="NCG2" s="1"/>
      <c r="NCH2" s="1"/>
      <c r="NCI2" s="1"/>
      <c r="NCJ2" s="1"/>
      <c r="NCK2" s="1"/>
      <c r="NCL2" s="1"/>
      <c r="NCM2" s="1"/>
      <c r="NCN2" s="1"/>
      <c r="NCO2" s="1"/>
      <c r="NCP2" s="1"/>
      <c r="NCQ2" s="1"/>
      <c r="NCR2" s="1"/>
      <c r="NCS2" s="1"/>
      <c r="NCT2" s="1"/>
      <c r="NCU2" s="1"/>
      <c r="NCV2" s="1"/>
      <c r="NCW2" s="1"/>
      <c r="NCX2" s="1"/>
      <c r="NCY2" s="1"/>
      <c r="NCZ2" s="1"/>
      <c r="NDA2" s="1"/>
      <c r="NDB2" s="1"/>
      <c r="NDC2" s="1"/>
      <c r="NDD2" s="1"/>
      <c r="NDE2" s="1"/>
      <c r="NDF2" s="1"/>
      <c r="NDG2" s="1"/>
      <c r="NDH2" s="1"/>
      <c r="NDI2" s="1"/>
      <c r="NDJ2" s="1"/>
      <c r="NDK2" s="1"/>
      <c r="NDL2" s="1"/>
      <c r="NDM2" s="1"/>
      <c r="NDN2" s="1"/>
      <c r="NDO2" s="1"/>
      <c r="NDP2" s="1"/>
      <c r="NDQ2" s="1"/>
      <c r="NDR2" s="1"/>
      <c r="NDS2" s="1"/>
      <c r="NDT2" s="1"/>
      <c r="NDU2" s="1"/>
      <c r="NDV2" s="1"/>
      <c r="NDW2" s="1"/>
      <c r="NDX2" s="1"/>
      <c r="NDY2" s="1"/>
      <c r="NDZ2" s="1"/>
      <c r="NEA2" s="1"/>
      <c r="NEB2" s="1"/>
      <c r="NEC2" s="1"/>
      <c r="NED2" s="1"/>
      <c r="NEE2" s="1"/>
      <c r="NEF2" s="1"/>
      <c r="NEG2" s="1"/>
      <c r="NEH2" s="1"/>
      <c r="NEI2" s="1"/>
      <c r="NEJ2" s="1"/>
      <c r="NEK2" s="1"/>
      <c r="NEL2" s="1"/>
      <c r="NEM2" s="1"/>
      <c r="NEN2" s="1"/>
      <c r="NEO2" s="1"/>
      <c r="NEP2" s="1"/>
      <c r="NEQ2" s="1"/>
      <c r="NER2" s="1"/>
      <c r="NES2" s="1"/>
      <c r="NET2" s="1"/>
      <c r="NEU2" s="1"/>
      <c r="NEV2" s="1"/>
      <c r="NEW2" s="1"/>
      <c r="NEX2" s="1"/>
      <c r="NEY2" s="1"/>
      <c r="NEZ2" s="1"/>
      <c r="NFA2" s="1"/>
      <c r="NFB2" s="1"/>
      <c r="NFC2" s="1"/>
      <c r="NFD2" s="1"/>
      <c r="NFE2" s="1"/>
      <c r="NFF2" s="1"/>
      <c r="NFG2" s="1"/>
      <c r="NFH2" s="1"/>
      <c r="NFI2" s="1"/>
      <c r="NFJ2" s="1"/>
      <c r="NFK2" s="1"/>
      <c r="NFL2" s="1"/>
      <c r="NFM2" s="1"/>
      <c r="NFN2" s="1"/>
      <c r="NFO2" s="1"/>
      <c r="NFP2" s="1"/>
      <c r="NFQ2" s="1"/>
      <c r="NFR2" s="1"/>
      <c r="NFS2" s="1"/>
      <c r="NFT2" s="1"/>
      <c r="NFU2" s="1"/>
      <c r="NFV2" s="1"/>
      <c r="NFW2" s="1"/>
      <c r="NFX2" s="1"/>
      <c r="NFY2" s="1"/>
      <c r="NFZ2" s="1"/>
      <c r="NGA2" s="1"/>
      <c r="NGB2" s="1"/>
      <c r="NGC2" s="1"/>
      <c r="NGD2" s="1"/>
      <c r="NGE2" s="1"/>
      <c r="NGF2" s="1"/>
      <c r="NGG2" s="1"/>
      <c r="NGH2" s="1"/>
      <c r="NGI2" s="1"/>
      <c r="NGJ2" s="1"/>
      <c r="NGK2" s="1"/>
      <c r="NGL2" s="1"/>
      <c r="NGM2" s="1"/>
      <c r="NGN2" s="1"/>
      <c r="NGO2" s="1"/>
      <c r="NGP2" s="1"/>
      <c r="NGQ2" s="1"/>
      <c r="NGR2" s="1"/>
      <c r="NGS2" s="1"/>
      <c r="NGT2" s="1"/>
      <c r="NGU2" s="1"/>
      <c r="NGV2" s="1"/>
      <c r="NGW2" s="1"/>
      <c r="NGX2" s="1"/>
      <c r="NGY2" s="1"/>
      <c r="NGZ2" s="1"/>
      <c r="NHA2" s="1"/>
      <c r="NHB2" s="1"/>
      <c r="NHC2" s="1"/>
      <c r="NHD2" s="1"/>
      <c r="NHE2" s="1"/>
      <c r="NHF2" s="1"/>
      <c r="NHG2" s="1"/>
      <c r="NHH2" s="1"/>
      <c r="NHI2" s="1"/>
      <c r="NHJ2" s="1"/>
      <c r="NHK2" s="1"/>
      <c r="NHL2" s="1"/>
      <c r="NHM2" s="1"/>
      <c r="NHN2" s="1"/>
      <c r="NHO2" s="1"/>
      <c r="NHP2" s="1"/>
      <c r="NHQ2" s="1"/>
      <c r="NHR2" s="1"/>
      <c r="NHS2" s="1"/>
      <c r="NHT2" s="1"/>
      <c r="NHU2" s="1"/>
      <c r="NHV2" s="1"/>
      <c r="NHW2" s="1"/>
      <c r="NHX2" s="1"/>
      <c r="NHY2" s="1"/>
      <c r="NHZ2" s="1"/>
      <c r="NIA2" s="1"/>
      <c r="NIB2" s="1"/>
      <c r="NIC2" s="1"/>
      <c r="NID2" s="1"/>
      <c r="NIE2" s="1"/>
      <c r="NIF2" s="1"/>
      <c r="NIG2" s="1"/>
      <c r="NIH2" s="1"/>
      <c r="NII2" s="1"/>
      <c r="NIJ2" s="1"/>
      <c r="NIK2" s="1"/>
      <c r="NIL2" s="1"/>
      <c r="NIM2" s="1"/>
      <c r="NIN2" s="1"/>
      <c r="NIO2" s="1"/>
      <c r="NIP2" s="1"/>
      <c r="NIQ2" s="1"/>
      <c r="NIR2" s="1"/>
      <c r="NIS2" s="1"/>
      <c r="NIT2" s="1"/>
      <c r="NIU2" s="1"/>
      <c r="NIV2" s="1"/>
      <c r="NIW2" s="1"/>
      <c r="NIX2" s="1"/>
      <c r="NIY2" s="1"/>
      <c r="NIZ2" s="1"/>
      <c r="NJA2" s="1"/>
      <c r="NJB2" s="1"/>
      <c r="NJC2" s="1"/>
      <c r="NJD2" s="1"/>
      <c r="NJE2" s="1"/>
      <c r="NJF2" s="1"/>
      <c r="NJG2" s="1"/>
      <c r="NJH2" s="1"/>
      <c r="NJI2" s="1"/>
      <c r="NJJ2" s="1"/>
      <c r="NJK2" s="1"/>
      <c r="NJL2" s="1"/>
      <c r="NJM2" s="1"/>
      <c r="NJN2" s="1"/>
      <c r="NJO2" s="1"/>
      <c r="NJP2" s="1"/>
      <c r="NJQ2" s="1"/>
      <c r="NJR2" s="1"/>
      <c r="NJS2" s="1"/>
      <c r="NJT2" s="1"/>
      <c r="NJU2" s="1"/>
      <c r="NJV2" s="1"/>
      <c r="NJW2" s="1"/>
      <c r="NJX2" s="1"/>
      <c r="NJY2" s="1"/>
      <c r="NJZ2" s="1"/>
      <c r="NKA2" s="1"/>
      <c r="NKB2" s="1"/>
      <c r="NKC2" s="1"/>
      <c r="NKD2" s="1"/>
      <c r="NKE2" s="1"/>
      <c r="NKF2" s="1"/>
      <c r="NKG2" s="1"/>
      <c r="NKH2" s="1"/>
      <c r="NKI2" s="1"/>
      <c r="NKJ2" s="1"/>
      <c r="NKK2" s="1"/>
      <c r="NKL2" s="1"/>
      <c r="NKM2" s="1"/>
      <c r="NKN2" s="1"/>
      <c r="NKO2" s="1"/>
      <c r="NKP2" s="1"/>
      <c r="NKQ2" s="1"/>
      <c r="NKR2" s="1"/>
      <c r="NKS2" s="1"/>
      <c r="NKT2" s="1"/>
      <c r="NKU2" s="1"/>
      <c r="NKV2" s="1"/>
      <c r="NKW2" s="1"/>
      <c r="NKX2" s="1"/>
      <c r="NKY2" s="1"/>
      <c r="NKZ2" s="1"/>
      <c r="NLA2" s="1"/>
      <c r="NLB2" s="1"/>
      <c r="NLC2" s="1"/>
      <c r="NLD2" s="1"/>
      <c r="NLE2" s="1"/>
      <c r="NLF2" s="1"/>
      <c r="NLG2" s="1"/>
      <c r="NLH2" s="1"/>
      <c r="NLI2" s="1"/>
      <c r="NLJ2" s="1"/>
      <c r="NLK2" s="1"/>
      <c r="NLL2" s="1"/>
      <c r="NLM2" s="1"/>
      <c r="NLN2" s="1"/>
      <c r="NLO2" s="1"/>
      <c r="NLP2" s="1"/>
      <c r="NLQ2" s="1"/>
      <c r="NLR2" s="1"/>
      <c r="NLS2" s="1"/>
      <c r="NLT2" s="1"/>
      <c r="NLU2" s="1"/>
      <c r="NLV2" s="1"/>
      <c r="NLW2" s="1"/>
      <c r="NLX2" s="1"/>
      <c r="NLY2" s="1"/>
      <c r="NLZ2" s="1"/>
      <c r="NMA2" s="1"/>
      <c r="NMB2" s="1"/>
      <c r="NMC2" s="1"/>
      <c r="NMD2" s="1"/>
      <c r="NME2" s="1"/>
      <c r="NMF2" s="1"/>
      <c r="NMG2" s="1"/>
      <c r="NMH2" s="1"/>
      <c r="NMI2" s="1"/>
      <c r="NMJ2" s="1"/>
      <c r="NMK2" s="1"/>
      <c r="NML2" s="1"/>
      <c r="NMM2" s="1"/>
      <c r="NMN2" s="1"/>
      <c r="NMO2" s="1"/>
      <c r="NMP2" s="1"/>
      <c r="NMQ2" s="1"/>
      <c r="NMR2" s="1"/>
      <c r="NMS2" s="1"/>
      <c r="NMT2" s="1"/>
      <c r="NMU2" s="1"/>
      <c r="NMV2" s="1"/>
      <c r="NMW2" s="1"/>
      <c r="NMX2" s="1"/>
      <c r="NMY2" s="1"/>
      <c r="NMZ2" s="1"/>
      <c r="NNA2" s="1"/>
      <c r="NNB2" s="1"/>
      <c r="NNC2" s="1"/>
      <c r="NND2" s="1"/>
      <c r="NNE2" s="1"/>
      <c r="NNF2" s="1"/>
      <c r="NNG2" s="1"/>
      <c r="NNH2" s="1"/>
      <c r="NNI2" s="1"/>
      <c r="NNJ2" s="1"/>
      <c r="NNK2" s="1"/>
      <c r="NNL2" s="1"/>
      <c r="NNM2" s="1"/>
      <c r="NNN2" s="1"/>
      <c r="NNO2" s="1"/>
      <c r="NNP2" s="1"/>
      <c r="NNQ2" s="1"/>
      <c r="NNR2" s="1"/>
      <c r="NNS2" s="1"/>
      <c r="NNT2" s="1"/>
      <c r="NNU2" s="1"/>
      <c r="NNV2" s="1"/>
      <c r="NNW2" s="1"/>
      <c r="NNX2" s="1"/>
      <c r="NNY2" s="1"/>
      <c r="NNZ2" s="1"/>
      <c r="NOA2" s="1"/>
      <c r="NOB2" s="1"/>
      <c r="NOC2" s="1"/>
      <c r="NOD2" s="1"/>
      <c r="NOE2" s="1"/>
      <c r="NOF2" s="1"/>
      <c r="NOG2" s="1"/>
      <c r="NOH2" s="1"/>
      <c r="NOI2" s="1"/>
      <c r="NOJ2" s="1"/>
      <c r="NOK2" s="1"/>
      <c r="NOL2" s="1"/>
      <c r="NOM2" s="1"/>
      <c r="NON2" s="1"/>
      <c r="NOO2" s="1"/>
      <c r="NOP2" s="1"/>
      <c r="NOQ2" s="1"/>
      <c r="NOR2" s="1"/>
      <c r="NOS2" s="1"/>
      <c r="NOT2" s="1"/>
      <c r="NOU2" s="1"/>
      <c r="NOV2" s="1"/>
      <c r="NOW2" s="1"/>
      <c r="NOX2" s="1"/>
      <c r="NOY2" s="1"/>
      <c r="NOZ2" s="1"/>
      <c r="NPA2" s="1"/>
      <c r="NPB2" s="1"/>
      <c r="NPC2" s="1"/>
      <c r="NPD2" s="1"/>
      <c r="NPE2" s="1"/>
      <c r="NPF2" s="1"/>
      <c r="NPG2" s="1"/>
      <c r="NPH2" s="1"/>
      <c r="NPI2" s="1"/>
      <c r="NPJ2" s="1"/>
      <c r="NPK2" s="1"/>
      <c r="NPL2" s="1"/>
      <c r="NPM2" s="1"/>
      <c r="NPN2" s="1"/>
      <c r="NPO2" s="1"/>
      <c r="NPP2" s="1"/>
      <c r="NPQ2" s="1"/>
      <c r="NPR2" s="1"/>
      <c r="NPS2" s="1"/>
      <c r="NPT2" s="1"/>
      <c r="NPU2" s="1"/>
      <c r="NPV2" s="1"/>
      <c r="NPW2" s="1"/>
      <c r="NPX2" s="1"/>
      <c r="NPY2" s="1"/>
      <c r="NPZ2" s="1"/>
      <c r="NQA2" s="1"/>
      <c r="NQB2" s="1"/>
      <c r="NQC2" s="1"/>
      <c r="NQD2" s="1"/>
      <c r="NQE2" s="1"/>
      <c r="NQF2" s="1"/>
      <c r="NQG2" s="1"/>
      <c r="NQH2" s="1"/>
      <c r="NQI2" s="1"/>
      <c r="NQJ2" s="1"/>
      <c r="NQK2" s="1"/>
      <c r="NQL2" s="1"/>
      <c r="NQM2" s="1"/>
      <c r="NQN2" s="1"/>
      <c r="NQO2" s="1"/>
      <c r="NQP2" s="1"/>
      <c r="NQQ2" s="1"/>
      <c r="NQR2" s="1"/>
      <c r="NQS2" s="1"/>
      <c r="NQT2" s="1"/>
      <c r="NQU2" s="1"/>
      <c r="NQV2" s="1"/>
      <c r="NQW2" s="1"/>
      <c r="NQX2" s="1"/>
      <c r="NQY2" s="1"/>
      <c r="NQZ2" s="1"/>
      <c r="NRA2" s="1"/>
      <c r="NRB2" s="1"/>
      <c r="NRC2" s="1"/>
      <c r="NRD2" s="1"/>
      <c r="NRE2" s="1"/>
      <c r="NRF2" s="1"/>
      <c r="NRG2" s="1"/>
      <c r="NRH2" s="1"/>
      <c r="NRI2" s="1"/>
      <c r="NRJ2" s="1"/>
      <c r="NRK2" s="1"/>
      <c r="NRL2" s="1"/>
      <c r="NRM2" s="1"/>
      <c r="NRN2" s="1"/>
      <c r="NRO2" s="1"/>
      <c r="NRP2" s="1"/>
      <c r="NRQ2" s="1"/>
      <c r="NRR2" s="1"/>
      <c r="NRS2" s="1"/>
      <c r="NRT2" s="1"/>
      <c r="NRU2" s="1"/>
      <c r="NRV2" s="1"/>
      <c r="NRW2" s="1"/>
      <c r="NRX2" s="1"/>
      <c r="NRY2" s="1"/>
      <c r="NRZ2" s="1"/>
      <c r="NSA2" s="1"/>
      <c r="NSB2" s="1"/>
      <c r="NSC2" s="1"/>
      <c r="NSD2" s="1"/>
      <c r="NSE2" s="1"/>
      <c r="NSF2" s="1"/>
      <c r="NSG2" s="1"/>
      <c r="NSH2" s="1"/>
      <c r="NSI2" s="1"/>
      <c r="NSJ2" s="1"/>
      <c r="NSK2" s="1"/>
      <c r="NSL2" s="1"/>
      <c r="NSM2" s="1"/>
      <c r="NSN2" s="1"/>
      <c r="NSO2" s="1"/>
      <c r="NSP2" s="1"/>
      <c r="NSQ2" s="1"/>
      <c r="NSR2" s="1"/>
      <c r="NSS2" s="1"/>
      <c r="NST2" s="1"/>
      <c r="NSU2" s="1"/>
      <c r="NSV2" s="1"/>
      <c r="NSW2" s="1"/>
      <c r="NSX2" s="1"/>
      <c r="NSY2" s="1"/>
      <c r="NSZ2" s="1"/>
      <c r="NTA2" s="1"/>
      <c r="NTB2" s="1"/>
      <c r="NTC2" s="1"/>
      <c r="NTD2" s="1"/>
      <c r="NTE2" s="1"/>
      <c r="NTF2" s="1"/>
      <c r="NTG2" s="1"/>
      <c r="NTH2" s="1"/>
      <c r="NTI2" s="1"/>
      <c r="NTJ2" s="1"/>
      <c r="NTK2" s="1"/>
      <c r="NTL2" s="1"/>
      <c r="NTM2" s="1"/>
      <c r="NTN2" s="1"/>
      <c r="NTO2" s="1"/>
      <c r="NTP2" s="1"/>
      <c r="NTQ2" s="1"/>
      <c r="NTR2" s="1"/>
      <c r="NTS2" s="1"/>
      <c r="NTT2" s="1"/>
      <c r="NTU2" s="1"/>
      <c r="NTV2" s="1"/>
      <c r="NTW2" s="1"/>
      <c r="NTX2" s="1"/>
      <c r="NTY2" s="1"/>
      <c r="NTZ2" s="1"/>
      <c r="NUA2" s="1"/>
      <c r="NUB2" s="1"/>
      <c r="NUC2" s="1"/>
      <c r="NUD2" s="1"/>
      <c r="NUE2" s="1"/>
      <c r="NUF2" s="1"/>
      <c r="NUG2" s="1"/>
      <c r="NUH2" s="1"/>
      <c r="NUI2" s="1"/>
      <c r="NUJ2" s="1"/>
      <c r="NUK2" s="1"/>
      <c r="NUL2" s="1"/>
      <c r="NUM2" s="1"/>
      <c r="NUN2" s="1"/>
      <c r="NUO2" s="1"/>
      <c r="NUP2" s="1"/>
      <c r="NUQ2" s="1"/>
      <c r="NUR2" s="1"/>
      <c r="NUS2" s="1"/>
      <c r="NUT2" s="1"/>
      <c r="NUU2" s="1"/>
      <c r="NUV2" s="1"/>
      <c r="NUW2" s="1"/>
      <c r="NUX2" s="1"/>
      <c r="NUY2" s="1"/>
      <c r="NUZ2" s="1"/>
      <c r="NVA2" s="1"/>
      <c r="NVB2" s="1"/>
      <c r="NVC2" s="1"/>
      <c r="NVD2" s="1"/>
      <c r="NVE2" s="1"/>
      <c r="NVF2" s="1"/>
      <c r="NVG2" s="1"/>
      <c r="NVH2" s="1"/>
      <c r="NVI2" s="1"/>
      <c r="NVJ2" s="1"/>
      <c r="NVK2" s="1"/>
      <c r="NVL2" s="1"/>
      <c r="NVM2" s="1"/>
      <c r="NVN2" s="1"/>
      <c r="NVO2" s="1"/>
      <c r="NVP2" s="1"/>
      <c r="NVQ2" s="1"/>
      <c r="NVR2" s="1"/>
      <c r="NVS2" s="1"/>
      <c r="NVT2" s="1"/>
      <c r="NVU2" s="1"/>
      <c r="NVV2" s="1"/>
      <c r="NVW2" s="1"/>
      <c r="NVX2" s="1"/>
      <c r="NVY2" s="1"/>
      <c r="NVZ2" s="1"/>
      <c r="NWA2" s="1"/>
      <c r="NWB2" s="1"/>
      <c r="NWC2" s="1"/>
      <c r="NWD2" s="1"/>
      <c r="NWE2" s="1"/>
      <c r="NWF2" s="1"/>
      <c r="NWG2" s="1"/>
      <c r="NWH2" s="1"/>
      <c r="NWI2" s="1"/>
      <c r="NWJ2" s="1"/>
      <c r="NWK2" s="1"/>
      <c r="NWL2" s="1"/>
      <c r="NWM2" s="1"/>
      <c r="NWN2" s="1"/>
      <c r="NWO2" s="1"/>
      <c r="NWP2" s="1"/>
      <c r="NWQ2" s="1"/>
      <c r="NWR2" s="1"/>
      <c r="NWS2" s="1"/>
      <c r="NWT2" s="1"/>
      <c r="NWU2" s="1"/>
      <c r="NWV2" s="1"/>
      <c r="NWW2" s="1"/>
      <c r="NWX2" s="1"/>
      <c r="NWY2" s="1"/>
      <c r="NWZ2" s="1"/>
      <c r="NXA2" s="1"/>
      <c r="NXB2" s="1"/>
      <c r="NXC2" s="1"/>
      <c r="NXD2" s="1"/>
      <c r="NXE2" s="1"/>
      <c r="NXF2" s="1"/>
      <c r="NXG2" s="1"/>
      <c r="NXH2" s="1"/>
      <c r="NXI2" s="1"/>
      <c r="NXJ2" s="1"/>
      <c r="NXK2" s="1"/>
      <c r="NXL2" s="1"/>
      <c r="NXM2" s="1"/>
      <c r="NXN2" s="1"/>
      <c r="NXO2" s="1"/>
      <c r="NXP2" s="1"/>
      <c r="NXQ2" s="1"/>
      <c r="NXR2" s="1"/>
      <c r="NXS2" s="1"/>
      <c r="NXT2" s="1"/>
      <c r="NXU2" s="1"/>
      <c r="NXV2" s="1"/>
      <c r="NXW2" s="1"/>
      <c r="NXX2" s="1"/>
      <c r="NXY2" s="1"/>
      <c r="NXZ2" s="1"/>
      <c r="NYA2" s="1"/>
      <c r="NYB2" s="1"/>
      <c r="NYC2" s="1"/>
      <c r="NYD2" s="1"/>
      <c r="NYE2" s="1"/>
      <c r="NYF2" s="1"/>
      <c r="NYG2" s="1"/>
      <c r="NYH2" s="1"/>
      <c r="NYI2" s="1"/>
      <c r="NYJ2" s="1"/>
      <c r="NYK2" s="1"/>
      <c r="NYL2" s="1"/>
      <c r="NYM2" s="1"/>
      <c r="NYN2" s="1"/>
      <c r="NYO2" s="1"/>
      <c r="NYP2" s="1"/>
      <c r="NYQ2" s="1"/>
      <c r="NYR2" s="1"/>
      <c r="NYS2" s="1"/>
      <c r="NYT2" s="1"/>
      <c r="NYU2" s="1"/>
      <c r="NYV2" s="1"/>
      <c r="NYW2" s="1"/>
      <c r="NYX2" s="1"/>
      <c r="NYY2" s="1"/>
      <c r="NYZ2" s="1"/>
      <c r="NZA2" s="1"/>
      <c r="NZB2" s="1"/>
      <c r="NZC2" s="1"/>
      <c r="NZD2" s="1"/>
      <c r="NZE2" s="1"/>
      <c r="NZF2" s="1"/>
      <c r="NZG2" s="1"/>
      <c r="NZH2" s="1"/>
      <c r="NZI2" s="1"/>
      <c r="NZJ2" s="1"/>
      <c r="NZK2" s="1"/>
      <c r="NZL2" s="1"/>
      <c r="NZM2" s="1"/>
      <c r="NZN2" s="1"/>
      <c r="NZO2" s="1"/>
      <c r="NZP2" s="1"/>
      <c r="NZQ2" s="1"/>
      <c r="NZR2" s="1"/>
      <c r="NZS2" s="1"/>
      <c r="NZT2" s="1"/>
      <c r="NZU2" s="1"/>
      <c r="NZV2" s="1"/>
      <c r="NZW2" s="1"/>
      <c r="NZX2" s="1"/>
      <c r="NZY2" s="1"/>
      <c r="NZZ2" s="1"/>
      <c r="OAA2" s="1"/>
      <c r="OAB2" s="1"/>
      <c r="OAC2" s="1"/>
      <c r="OAD2" s="1"/>
      <c r="OAE2" s="1"/>
      <c r="OAF2" s="1"/>
      <c r="OAG2" s="1"/>
      <c r="OAH2" s="1"/>
      <c r="OAI2" s="1"/>
      <c r="OAJ2" s="1"/>
      <c r="OAK2" s="1"/>
      <c r="OAL2" s="1"/>
      <c r="OAM2" s="1"/>
      <c r="OAN2" s="1"/>
      <c r="OAO2" s="1"/>
      <c r="OAP2" s="1"/>
      <c r="OAQ2" s="1"/>
      <c r="OAR2" s="1"/>
      <c r="OAS2" s="1"/>
      <c r="OAT2" s="1"/>
      <c r="OAU2" s="1"/>
      <c r="OAV2" s="1"/>
      <c r="OAW2" s="1"/>
      <c r="OAX2" s="1"/>
      <c r="OAY2" s="1"/>
      <c r="OAZ2" s="1"/>
      <c r="OBA2" s="1"/>
      <c r="OBB2" s="1"/>
      <c r="OBC2" s="1"/>
      <c r="OBD2" s="1"/>
      <c r="OBE2" s="1"/>
      <c r="OBF2" s="1"/>
      <c r="OBG2" s="1"/>
      <c r="OBH2" s="1"/>
      <c r="OBI2" s="1"/>
      <c r="OBJ2" s="1"/>
      <c r="OBK2" s="1"/>
      <c r="OBL2" s="1"/>
      <c r="OBM2" s="1"/>
      <c r="OBN2" s="1"/>
      <c r="OBO2" s="1"/>
      <c r="OBP2" s="1"/>
      <c r="OBQ2" s="1"/>
      <c r="OBR2" s="1"/>
      <c r="OBS2" s="1"/>
      <c r="OBT2" s="1"/>
      <c r="OBU2" s="1"/>
      <c r="OBV2" s="1"/>
      <c r="OBW2" s="1"/>
      <c r="OBX2" s="1"/>
      <c r="OBY2" s="1"/>
      <c r="OBZ2" s="1"/>
      <c r="OCA2" s="1"/>
      <c r="OCB2" s="1"/>
      <c r="OCC2" s="1"/>
      <c r="OCD2" s="1"/>
      <c r="OCE2" s="1"/>
      <c r="OCF2" s="1"/>
      <c r="OCG2" s="1"/>
      <c r="OCH2" s="1"/>
      <c r="OCI2" s="1"/>
      <c r="OCJ2" s="1"/>
      <c r="OCK2" s="1"/>
      <c r="OCL2" s="1"/>
      <c r="OCM2" s="1"/>
      <c r="OCN2" s="1"/>
      <c r="OCO2" s="1"/>
      <c r="OCP2" s="1"/>
      <c r="OCQ2" s="1"/>
      <c r="OCR2" s="1"/>
      <c r="OCS2" s="1"/>
      <c r="OCT2" s="1"/>
      <c r="OCU2" s="1"/>
      <c r="OCV2" s="1"/>
      <c r="OCW2" s="1"/>
      <c r="OCX2" s="1"/>
      <c r="OCY2" s="1"/>
      <c r="OCZ2" s="1"/>
      <c r="ODA2" s="1"/>
      <c r="ODB2" s="1"/>
      <c r="ODC2" s="1"/>
      <c r="ODD2" s="1"/>
      <c r="ODE2" s="1"/>
      <c r="ODF2" s="1"/>
      <c r="ODG2" s="1"/>
      <c r="ODH2" s="1"/>
      <c r="ODI2" s="1"/>
      <c r="ODJ2" s="1"/>
      <c r="ODK2" s="1"/>
      <c r="ODL2" s="1"/>
      <c r="ODM2" s="1"/>
      <c r="ODN2" s="1"/>
      <c r="ODO2" s="1"/>
      <c r="ODP2" s="1"/>
      <c r="ODQ2" s="1"/>
      <c r="ODR2" s="1"/>
      <c r="ODS2" s="1"/>
      <c r="ODT2" s="1"/>
      <c r="ODU2" s="1"/>
      <c r="ODV2" s="1"/>
      <c r="ODW2" s="1"/>
      <c r="ODX2" s="1"/>
      <c r="ODY2" s="1"/>
      <c r="ODZ2" s="1"/>
      <c r="OEA2" s="1"/>
      <c r="OEB2" s="1"/>
      <c r="OEC2" s="1"/>
      <c r="OED2" s="1"/>
      <c r="OEE2" s="1"/>
      <c r="OEF2" s="1"/>
      <c r="OEG2" s="1"/>
      <c r="OEH2" s="1"/>
      <c r="OEI2" s="1"/>
      <c r="OEJ2" s="1"/>
      <c r="OEK2" s="1"/>
      <c r="OEL2" s="1"/>
      <c r="OEM2" s="1"/>
      <c r="OEN2" s="1"/>
      <c r="OEO2" s="1"/>
      <c r="OEP2" s="1"/>
      <c r="OEQ2" s="1"/>
      <c r="OER2" s="1"/>
      <c r="OES2" s="1"/>
      <c r="OET2" s="1"/>
      <c r="OEU2" s="1"/>
      <c r="OEV2" s="1"/>
      <c r="OEW2" s="1"/>
      <c r="OEX2" s="1"/>
      <c r="OEY2" s="1"/>
      <c r="OEZ2" s="1"/>
      <c r="OFA2" s="1"/>
      <c r="OFB2" s="1"/>
      <c r="OFC2" s="1"/>
      <c r="OFD2" s="1"/>
      <c r="OFE2" s="1"/>
      <c r="OFF2" s="1"/>
      <c r="OFG2" s="1"/>
      <c r="OFH2" s="1"/>
      <c r="OFI2" s="1"/>
      <c r="OFJ2" s="1"/>
      <c r="OFK2" s="1"/>
      <c r="OFL2" s="1"/>
      <c r="OFM2" s="1"/>
      <c r="OFN2" s="1"/>
      <c r="OFO2" s="1"/>
      <c r="OFP2" s="1"/>
      <c r="OFQ2" s="1"/>
      <c r="OFR2" s="1"/>
      <c r="OFS2" s="1"/>
      <c r="OFT2" s="1"/>
      <c r="OFU2" s="1"/>
      <c r="OFV2" s="1"/>
      <c r="OFW2" s="1"/>
      <c r="OFX2" s="1"/>
      <c r="OFY2" s="1"/>
      <c r="OFZ2" s="1"/>
      <c r="OGA2" s="1"/>
      <c r="OGB2" s="1"/>
      <c r="OGC2" s="1"/>
      <c r="OGD2" s="1"/>
      <c r="OGE2" s="1"/>
      <c r="OGF2" s="1"/>
      <c r="OGG2" s="1"/>
      <c r="OGH2" s="1"/>
      <c r="OGI2" s="1"/>
      <c r="OGJ2" s="1"/>
      <c r="OGK2" s="1"/>
      <c r="OGL2" s="1"/>
      <c r="OGM2" s="1"/>
      <c r="OGN2" s="1"/>
      <c r="OGO2" s="1"/>
      <c r="OGP2" s="1"/>
      <c r="OGQ2" s="1"/>
      <c r="OGR2" s="1"/>
      <c r="OGS2" s="1"/>
      <c r="OGT2" s="1"/>
      <c r="OGU2" s="1"/>
      <c r="OGV2" s="1"/>
      <c r="OGW2" s="1"/>
      <c r="OGX2" s="1"/>
      <c r="OGY2" s="1"/>
      <c r="OGZ2" s="1"/>
      <c r="OHA2" s="1"/>
      <c r="OHB2" s="1"/>
      <c r="OHC2" s="1"/>
      <c r="OHD2" s="1"/>
      <c r="OHE2" s="1"/>
      <c r="OHF2" s="1"/>
      <c r="OHG2" s="1"/>
      <c r="OHH2" s="1"/>
      <c r="OHI2" s="1"/>
      <c r="OHJ2" s="1"/>
      <c r="OHK2" s="1"/>
      <c r="OHL2" s="1"/>
      <c r="OHM2" s="1"/>
      <c r="OHN2" s="1"/>
      <c r="OHO2" s="1"/>
      <c r="OHP2" s="1"/>
      <c r="OHQ2" s="1"/>
      <c r="OHR2" s="1"/>
      <c r="OHS2" s="1"/>
      <c r="OHT2" s="1"/>
      <c r="OHU2" s="1"/>
      <c r="OHV2" s="1"/>
      <c r="OHW2" s="1"/>
      <c r="OHX2" s="1"/>
      <c r="OHY2" s="1"/>
      <c r="OHZ2" s="1"/>
      <c r="OIA2" s="1"/>
      <c r="OIB2" s="1"/>
      <c r="OIC2" s="1"/>
      <c r="OID2" s="1"/>
      <c r="OIE2" s="1"/>
      <c r="OIF2" s="1"/>
      <c r="OIG2" s="1"/>
      <c r="OIH2" s="1"/>
      <c r="OII2" s="1"/>
      <c r="OIJ2" s="1"/>
      <c r="OIK2" s="1"/>
      <c r="OIL2" s="1"/>
      <c r="OIM2" s="1"/>
      <c r="OIN2" s="1"/>
      <c r="OIO2" s="1"/>
      <c r="OIP2" s="1"/>
      <c r="OIQ2" s="1"/>
      <c r="OIR2" s="1"/>
      <c r="OIS2" s="1"/>
      <c r="OIT2" s="1"/>
      <c r="OIU2" s="1"/>
      <c r="OIV2" s="1"/>
      <c r="OIW2" s="1"/>
      <c r="OIX2" s="1"/>
      <c r="OIY2" s="1"/>
      <c r="OIZ2" s="1"/>
      <c r="OJA2" s="1"/>
      <c r="OJB2" s="1"/>
      <c r="OJC2" s="1"/>
      <c r="OJD2" s="1"/>
      <c r="OJE2" s="1"/>
      <c r="OJF2" s="1"/>
      <c r="OJG2" s="1"/>
      <c r="OJH2" s="1"/>
      <c r="OJI2" s="1"/>
      <c r="OJJ2" s="1"/>
      <c r="OJK2" s="1"/>
      <c r="OJL2" s="1"/>
      <c r="OJM2" s="1"/>
      <c r="OJN2" s="1"/>
      <c r="OJO2" s="1"/>
      <c r="OJP2" s="1"/>
      <c r="OJQ2" s="1"/>
      <c r="OJR2" s="1"/>
      <c r="OJS2" s="1"/>
      <c r="OJT2" s="1"/>
      <c r="OJU2" s="1"/>
      <c r="OJV2" s="1"/>
      <c r="OJW2" s="1"/>
      <c r="OJX2" s="1"/>
      <c r="OJY2" s="1"/>
      <c r="OJZ2" s="1"/>
      <c r="OKA2" s="1"/>
      <c r="OKB2" s="1"/>
      <c r="OKC2" s="1"/>
      <c r="OKD2" s="1"/>
      <c r="OKE2" s="1"/>
      <c r="OKF2" s="1"/>
      <c r="OKG2" s="1"/>
      <c r="OKH2" s="1"/>
      <c r="OKI2" s="1"/>
      <c r="OKJ2" s="1"/>
      <c r="OKK2" s="1"/>
      <c r="OKL2" s="1"/>
      <c r="OKM2" s="1"/>
      <c r="OKN2" s="1"/>
      <c r="OKO2" s="1"/>
      <c r="OKP2" s="1"/>
      <c r="OKQ2" s="1"/>
      <c r="OKR2" s="1"/>
      <c r="OKS2" s="1"/>
      <c r="OKT2" s="1"/>
      <c r="OKU2" s="1"/>
      <c r="OKV2" s="1"/>
      <c r="OKW2" s="1"/>
      <c r="OKX2" s="1"/>
      <c r="OKY2" s="1"/>
      <c r="OKZ2" s="1"/>
      <c r="OLA2" s="1"/>
      <c r="OLB2" s="1"/>
      <c r="OLC2" s="1"/>
      <c r="OLD2" s="1"/>
      <c r="OLE2" s="1"/>
      <c r="OLF2" s="1"/>
      <c r="OLG2" s="1"/>
      <c r="OLH2" s="1"/>
      <c r="OLI2" s="1"/>
      <c r="OLJ2" s="1"/>
      <c r="OLK2" s="1"/>
      <c r="OLL2" s="1"/>
      <c r="OLM2" s="1"/>
      <c r="OLN2" s="1"/>
      <c r="OLO2" s="1"/>
      <c r="OLP2" s="1"/>
      <c r="OLQ2" s="1"/>
      <c r="OLR2" s="1"/>
      <c r="OLS2" s="1"/>
      <c r="OLT2" s="1"/>
      <c r="OLU2" s="1"/>
      <c r="OLV2" s="1"/>
      <c r="OLW2" s="1"/>
      <c r="OLX2" s="1"/>
      <c r="OLY2" s="1"/>
      <c r="OLZ2" s="1"/>
      <c r="OMA2" s="1"/>
      <c r="OMB2" s="1"/>
      <c r="OMC2" s="1"/>
      <c r="OMD2" s="1"/>
      <c r="OME2" s="1"/>
      <c r="OMF2" s="1"/>
      <c r="OMG2" s="1"/>
      <c r="OMH2" s="1"/>
      <c r="OMI2" s="1"/>
      <c r="OMJ2" s="1"/>
      <c r="OMK2" s="1"/>
      <c r="OML2" s="1"/>
      <c r="OMM2" s="1"/>
      <c r="OMN2" s="1"/>
      <c r="OMO2" s="1"/>
      <c r="OMP2" s="1"/>
      <c r="OMQ2" s="1"/>
      <c r="OMR2" s="1"/>
      <c r="OMS2" s="1"/>
      <c r="OMT2" s="1"/>
      <c r="OMU2" s="1"/>
      <c r="OMV2" s="1"/>
      <c r="OMW2" s="1"/>
      <c r="OMX2" s="1"/>
      <c r="OMY2" s="1"/>
      <c r="OMZ2" s="1"/>
      <c r="ONA2" s="1"/>
      <c r="ONB2" s="1"/>
      <c r="ONC2" s="1"/>
      <c r="OND2" s="1"/>
      <c r="ONE2" s="1"/>
      <c r="ONF2" s="1"/>
      <c r="ONG2" s="1"/>
      <c r="ONH2" s="1"/>
      <c r="ONI2" s="1"/>
      <c r="ONJ2" s="1"/>
      <c r="ONK2" s="1"/>
      <c r="ONL2" s="1"/>
      <c r="ONM2" s="1"/>
      <c r="ONN2" s="1"/>
      <c r="ONO2" s="1"/>
      <c r="ONP2" s="1"/>
      <c r="ONQ2" s="1"/>
      <c r="ONR2" s="1"/>
      <c r="ONS2" s="1"/>
      <c r="ONT2" s="1"/>
      <c r="ONU2" s="1"/>
      <c r="ONV2" s="1"/>
      <c r="ONW2" s="1"/>
      <c r="ONX2" s="1"/>
      <c r="ONY2" s="1"/>
      <c r="ONZ2" s="1"/>
      <c r="OOA2" s="1"/>
      <c r="OOB2" s="1"/>
      <c r="OOC2" s="1"/>
      <c r="OOD2" s="1"/>
      <c r="OOE2" s="1"/>
      <c r="OOF2" s="1"/>
      <c r="OOG2" s="1"/>
      <c r="OOH2" s="1"/>
      <c r="OOI2" s="1"/>
      <c r="OOJ2" s="1"/>
      <c r="OOK2" s="1"/>
      <c r="OOL2" s="1"/>
      <c r="OOM2" s="1"/>
      <c r="OON2" s="1"/>
      <c r="OOO2" s="1"/>
      <c r="OOP2" s="1"/>
      <c r="OOQ2" s="1"/>
      <c r="OOR2" s="1"/>
      <c r="OOS2" s="1"/>
      <c r="OOT2" s="1"/>
      <c r="OOU2" s="1"/>
      <c r="OOV2" s="1"/>
      <c r="OOW2" s="1"/>
      <c r="OOX2" s="1"/>
      <c r="OOY2" s="1"/>
      <c r="OOZ2" s="1"/>
      <c r="OPA2" s="1"/>
      <c r="OPB2" s="1"/>
      <c r="OPC2" s="1"/>
      <c r="OPD2" s="1"/>
      <c r="OPE2" s="1"/>
      <c r="OPF2" s="1"/>
      <c r="OPG2" s="1"/>
      <c r="OPH2" s="1"/>
      <c r="OPI2" s="1"/>
      <c r="OPJ2" s="1"/>
      <c r="OPK2" s="1"/>
      <c r="OPL2" s="1"/>
      <c r="OPM2" s="1"/>
      <c r="OPN2" s="1"/>
      <c r="OPO2" s="1"/>
      <c r="OPP2" s="1"/>
      <c r="OPQ2" s="1"/>
      <c r="OPR2" s="1"/>
      <c r="OPS2" s="1"/>
      <c r="OPT2" s="1"/>
      <c r="OPU2" s="1"/>
      <c r="OPV2" s="1"/>
      <c r="OPW2" s="1"/>
      <c r="OPX2" s="1"/>
      <c r="OPY2" s="1"/>
      <c r="OPZ2" s="1"/>
      <c r="OQA2" s="1"/>
      <c r="OQB2" s="1"/>
      <c r="OQC2" s="1"/>
      <c r="OQD2" s="1"/>
      <c r="OQE2" s="1"/>
      <c r="OQF2" s="1"/>
      <c r="OQG2" s="1"/>
      <c r="OQH2" s="1"/>
      <c r="OQI2" s="1"/>
      <c r="OQJ2" s="1"/>
      <c r="OQK2" s="1"/>
      <c r="OQL2" s="1"/>
      <c r="OQM2" s="1"/>
      <c r="OQN2" s="1"/>
      <c r="OQO2" s="1"/>
      <c r="OQP2" s="1"/>
      <c r="OQQ2" s="1"/>
      <c r="OQR2" s="1"/>
      <c r="OQS2" s="1"/>
      <c r="OQT2" s="1"/>
      <c r="OQU2" s="1"/>
      <c r="OQV2" s="1"/>
      <c r="OQW2" s="1"/>
      <c r="OQX2" s="1"/>
      <c r="OQY2" s="1"/>
      <c r="OQZ2" s="1"/>
      <c r="ORA2" s="1"/>
      <c r="ORB2" s="1"/>
      <c r="ORC2" s="1"/>
      <c r="ORD2" s="1"/>
      <c r="ORE2" s="1"/>
      <c r="ORF2" s="1"/>
      <c r="ORG2" s="1"/>
      <c r="ORH2" s="1"/>
      <c r="ORI2" s="1"/>
      <c r="ORJ2" s="1"/>
      <c r="ORK2" s="1"/>
      <c r="ORL2" s="1"/>
      <c r="ORM2" s="1"/>
      <c r="ORN2" s="1"/>
      <c r="ORO2" s="1"/>
      <c r="ORP2" s="1"/>
      <c r="ORQ2" s="1"/>
      <c r="ORR2" s="1"/>
      <c r="ORS2" s="1"/>
      <c r="ORT2" s="1"/>
      <c r="ORU2" s="1"/>
      <c r="ORV2" s="1"/>
      <c r="ORW2" s="1"/>
      <c r="ORX2" s="1"/>
      <c r="ORY2" s="1"/>
      <c r="ORZ2" s="1"/>
      <c r="OSA2" s="1"/>
      <c r="OSB2" s="1"/>
      <c r="OSC2" s="1"/>
      <c r="OSD2" s="1"/>
      <c r="OSE2" s="1"/>
      <c r="OSF2" s="1"/>
      <c r="OSG2" s="1"/>
      <c r="OSH2" s="1"/>
      <c r="OSI2" s="1"/>
      <c r="OSJ2" s="1"/>
      <c r="OSK2" s="1"/>
      <c r="OSL2" s="1"/>
      <c r="OSM2" s="1"/>
      <c r="OSN2" s="1"/>
      <c r="OSO2" s="1"/>
      <c r="OSP2" s="1"/>
      <c r="OSQ2" s="1"/>
      <c r="OSR2" s="1"/>
      <c r="OSS2" s="1"/>
      <c r="OST2" s="1"/>
      <c r="OSU2" s="1"/>
      <c r="OSV2" s="1"/>
      <c r="OSW2" s="1"/>
      <c r="OSX2" s="1"/>
      <c r="OSY2" s="1"/>
      <c r="OSZ2" s="1"/>
      <c r="OTA2" s="1"/>
      <c r="OTB2" s="1"/>
      <c r="OTC2" s="1"/>
      <c r="OTD2" s="1"/>
      <c r="OTE2" s="1"/>
      <c r="OTF2" s="1"/>
      <c r="OTG2" s="1"/>
      <c r="OTH2" s="1"/>
      <c r="OTI2" s="1"/>
      <c r="OTJ2" s="1"/>
      <c r="OTK2" s="1"/>
      <c r="OTL2" s="1"/>
      <c r="OTM2" s="1"/>
      <c r="OTN2" s="1"/>
      <c r="OTO2" s="1"/>
      <c r="OTP2" s="1"/>
      <c r="OTQ2" s="1"/>
      <c r="OTR2" s="1"/>
      <c r="OTS2" s="1"/>
      <c r="OTT2" s="1"/>
      <c r="OTU2" s="1"/>
      <c r="OTV2" s="1"/>
      <c r="OTW2" s="1"/>
      <c r="OTX2" s="1"/>
      <c r="OTY2" s="1"/>
      <c r="OTZ2" s="1"/>
      <c r="OUA2" s="1"/>
      <c r="OUB2" s="1"/>
      <c r="OUC2" s="1"/>
      <c r="OUD2" s="1"/>
      <c r="OUE2" s="1"/>
      <c r="OUF2" s="1"/>
      <c r="OUG2" s="1"/>
      <c r="OUH2" s="1"/>
      <c r="OUI2" s="1"/>
      <c r="OUJ2" s="1"/>
      <c r="OUK2" s="1"/>
      <c r="OUL2" s="1"/>
      <c r="OUM2" s="1"/>
      <c r="OUN2" s="1"/>
      <c r="OUO2" s="1"/>
      <c r="OUP2" s="1"/>
      <c r="OUQ2" s="1"/>
      <c r="OUR2" s="1"/>
      <c r="OUS2" s="1"/>
      <c r="OUT2" s="1"/>
      <c r="OUU2" s="1"/>
      <c r="OUV2" s="1"/>
      <c r="OUW2" s="1"/>
      <c r="OUX2" s="1"/>
      <c r="OUY2" s="1"/>
      <c r="OUZ2" s="1"/>
      <c r="OVA2" s="1"/>
      <c r="OVB2" s="1"/>
      <c r="OVC2" s="1"/>
      <c r="OVD2" s="1"/>
      <c r="OVE2" s="1"/>
      <c r="OVF2" s="1"/>
      <c r="OVG2" s="1"/>
      <c r="OVH2" s="1"/>
      <c r="OVI2" s="1"/>
      <c r="OVJ2" s="1"/>
      <c r="OVK2" s="1"/>
      <c r="OVL2" s="1"/>
      <c r="OVM2" s="1"/>
      <c r="OVN2" s="1"/>
      <c r="OVO2" s="1"/>
      <c r="OVP2" s="1"/>
      <c r="OVQ2" s="1"/>
      <c r="OVR2" s="1"/>
      <c r="OVS2" s="1"/>
      <c r="OVT2" s="1"/>
      <c r="OVU2" s="1"/>
      <c r="OVV2" s="1"/>
      <c r="OVW2" s="1"/>
      <c r="OVX2" s="1"/>
      <c r="OVY2" s="1"/>
      <c r="OVZ2" s="1"/>
      <c r="OWA2" s="1"/>
      <c r="OWB2" s="1"/>
      <c r="OWC2" s="1"/>
      <c r="OWD2" s="1"/>
      <c r="OWE2" s="1"/>
      <c r="OWF2" s="1"/>
      <c r="OWG2" s="1"/>
      <c r="OWH2" s="1"/>
      <c r="OWI2" s="1"/>
      <c r="OWJ2" s="1"/>
      <c r="OWK2" s="1"/>
      <c r="OWL2" s="1"/>
      <c r="OWM2" s="1"/>
      <c r="OWN2" s="1"/>
      <c r="OWO2" s="1"/>
      <c r="OWP2" s="1"/>
      <c r="OWQ2" s="1"/>
      <c r="OWR2" s="1"/>
      <c r="OWS2" s="1"/>
      <c r="OWT2" s="1"/>
      <c r="OWU2" s="1"/>
      <c r="OWV2" s="1"/>
      <c r="OWW2" s="1"/>
      <c r="OWX2" s="1"/>
      <c r="OWY2" s="1"/>
      <c r="OWZ2" s="1"/>
      <c r="OXA2" s="1"/>
      <c r="OXB2" s="1"/>
      <c r="OXC2" s="1"/>
      <c r="OXD2" s="1"/>
      <c r="OXE2" s="1"/>
      <c r="OXF2" s="1"/>
      <c r="OXG2" s="1"/>
      <c r="OXH2" s="1"/>
      <c r="OXI2" s="1"/>
      <c r="OXJ2" s="1"/>
      <c r="OXK2" s="1"/>
      <c r="OXL2" s="1"/>
      <c r="OXM2" s="1"/>
      <c r="OXN2" s="1"/>
      <c r="OXO2" s="1"/>
      <c r="OXP2" s="1"/>
      <c r="OXQ2" s="1"/>
      <c r="OXR2" s="1"/>
      <c r="OXS2" s="1"/>
      <c r="OXT2" s="1"/>
      <c r="OXU2" s="1"/>
      <c r="OXV2" s="1"/>
      <c r="OXW2" s="1"/>
      <c r="OXX2" s="1"/>
      <c r="OXY2" s="1"/>
      <c r="OXZ2" s="1"/>
      <c r="OYA2" s="1"/>
      <c r="OYB2" s="1"/>
      <c r="OYC2" s="1"/>
      <c r="OYD2" s="1"/>
      <c r="OYE2" s="1"/>
      <c r="OYF2" s="1"/>
      <c r="OYG2" s="1"/>
      <c r="OYH2" s="1"/>
      <c r="OYI2" s="1"/>
      <c r="OYJ2" s="1"/>
      <c r="OYK2" s="1"/>
      <c r="OYL2" s="1"/>
      <c r="OYM2" s="1"/>
      <c r="OYN2" s="1"/>
      <c r="OYO2" s="1"/>
      <c r="OYP2" s="1"/>
      <c r="OYQ2" s="1"/>
      <c r="OYR2" s="1"/>
      <c r="OYS2" s="1"/>
      <c r="OYT2" s="1"/>
      <c r="OYU2" s="1"/>
      <c r="OYV2" s="1"/>
      <c r="OYW2" s="1"/>
      <c r="OYX2" s="1"/>
      <c r="OYY2" s="1"/>
      <c r="OYZ2" s="1"/>
      <c r="OZA2" s="1"/>
      <c r="OZB2" s="1"/>
      <c r="OZC2" s="1"/>
      <c r="OZD2" s="1"/>
      <c r="OZE2" s="1"/>
      <c r="OZF2" s="1"/>
      <c r="OZG2" s="1"/>
      <c r="OZH2" s="1"/>
      <c r="OZI2" s="1"/>
      <c r="OZJ2" s="1"/>
      <c r="OZK2" s="1"/>
      <c r="OZL2" s="1"/>
      <c r="OZM2" s="1"/>
      <c r="OZN2" s="1"/>
      <c r="OZO2" s="1"/>
      <c r="OZP2" s="1"/>
      <c r="OZQ2" s="1"/>
      <c r="OZR2" s="1"/>
      <c r="OZS2" s="1"/>
      <c r="OZT2" s="1"/>
      <c r="OZU2" s="1"/>
      <c r="OZV2" s="1"/>
      <c r="OZW2" s="1"/>
      <c r="OZX2" s="1"/>
      <c r="OZY2" s="1"/>
      <c r="OZZ2" s="1"/>
      <c r="PAA2" s="1"/>
      <c r="PAB2" s="1"/>
      <c r="PAC2" s="1"/>
      <c r="PAD2" s="1"/>
      <c r="PAE2" s="1"/>
      <c r="PAF2" s="1"/>
      <c r="PAG2" s="1"/>
      <c r="PAH2" s="1"/>
      <c r="PAI2" s="1"/>
      <c r="PAJ2" s="1"/>
      <c r="PAK2" s="1"/>
      <c r="PAL2" s="1"/>
      <c r="PAM2" s="1"/>
      <c r="PAN2" s="1"/>
      <c r="PAO2" s="1"/>
      <c r="PAP2" s="1"/>
      <c r="PAQ2" s="1"/>
      <c r="PAR2" s="1"/>
      <c r="PAS2" s="1"/>
      <c r="PAT2" s="1"/>
      <c r="PAU2" s="1"/>
      <c r="PAV2" s="1"/>
      <c r="PAW2" s="1"/>
      <c r="PAX2" s="1"/>
      <c r="PAY2" s="1"/>
      <c r="PAZ2" s="1"/>
      <c r="PBA2" s="1"/>
      <c r="PBB2" s="1"/>
      <c r="PBC2" s="1"/>
      <c r="PBD2" s="1"/>
      <c r="PBE2" s="1"/>
      <c r="PBF2" s="1"/>
      <c r="PBG2" s="1"/>
      <c r="PBH2" s="1"/>
      <c r="PBI2" s="1"/>
      <c r="PBJ2" s="1"/>
      <c r="PBK2" s="1"/>
      <c r="PBL2" s="1"/>
      <c r="PBM2" s="1"/>
      <c r="PBN2" s="1"/>
      <c r="PBO2" s="1"/>
      <c r="PBP2" s="1"/>
      <c r="PBQ2" s="1"/>
      <c r="PBR2" s="1"/>
      <c r="PBS2" s="1"/>
      <c r="PBT2" s="1"/>
      <c r="PBU2" s="1"/>
      <c r="PBV2" s="1"/>
      <c r="PBW2" s="1"/>
      <c r="PBX2" s="1"/>
      <c r="PBY2" s="1"/>
      <c r="PBZ2" s="1"/>
      <c r="PCA2" s="1"/>
      <c r="PCB2" s="1"/>
      <c r="PCC2" s="1"/>
      <c r="PCD2" s="1"/>
      <c r="PCE2" s="1"/>
      <c r="PCF2" s="1"/>
      <c r="PCG2" s="1"/>
      <c r="PCH2" s="1"/>
      <c r="PCI2" s="1"/>
      <c r="PCJ2" s="1"/>
      <c r="PCK2" s="1"/>
      <c r="PCL2" s="1"/>
      <c r="PCM2" s="1"/>
      <c r="PCN2" s="1"/>
      <c r="PCO2" s="1"/>
      <c r="PCP2" s="1"/>
      <c r="PCQ2" s="1"/>
      <c r="PCR2" s="1"/>
      <c r="PCS2" s="1"/>
      <c r="PCT2" s="1"/>
      <c r="PCU2" s="1"/>
      <c r="PCV2" s="1"/>
      <c r="PCW2" s="1"/>
      <c r="PCX2" s="1"/>
      <c r="PCY2" s="1"/>
      <c r="PCZ2" s="1"/>
      <c r="PDA2" s="1"/>
      <c r="PDB2" s="1"/>
      <c r="PDC2" s="1"/>
      <c r="PDD2" s="1"/>
      <c r="PDE2" s="1"/>
      <c r="PDF2" s="1"/>
      <c r="PDG2" s="1"/>
      <c r="PDH2" s="1"/>
      <c r="PDI2" s="1"/>
      <c r="PDJ2" s="1"/>
      <c r="PDK2" s="1"/>
      <c r="PDL2" s="1"/>
      <c r="PDM2" s="1"/>
      <c r="PDN2" s="1"/>
      <c r="PDO2" s="1"/>
      <c r="PDP2" s="1"/>
      <c r="PDQ2" s="1"/>
      <c r="PDR2" s="1"/>
      <c r="PDS2" s="1"/>
      <c r="PDT2" s="1"/>
      <c r="PDU2" s="1"/>
      <c r="PDV2" s="1"/>
      <c r="PDW2" s="1"/>
      <c r="PDX2" s="1"/>
      <c r="PDY2" s="1"/>
      <c r="PDZ2" s="1"/>
      <c r="PEA2" s="1"/>
      <c r="PEB2" s="1"/>
      <c r="PEC2" s="1"/>
      <c r="PED2" s="1"/>
      <c r="PEE2" s="1"/>
      <c r="PEF2" s="1"/>
      <c r="PEG2" s="1"/>
      <c r="PEH2" s="1"/>
      <c r="PEI2" s="1"/>
      <c r="PEJ2" s="1"/>
      <c r="PEK2" s="1"/>
      <c r="PEL2" s="1"/>
      <c r="PEM2" s="1"/>
      <c r="PEN2" s="1"/>
      <c r="PEO2" s="1"/>
      <c r="PEP2" s="1"/>
      <c r="PEQ2" s="1"/>
      <c r="PER2" s="1"/>
      <c r="PES2" s="1"/>
      <c r="PET2" s="1"/>
      <c r="PEU2" s="1"/>
      <c r="PEV2" s="1"/>
      <c r="PEW2" s="1"/>
      <c r="PEX2" s="1"/>
      <c r="PEY2" s="1"/>
      <c r="PEZ2" s="1"/>
      <c r="PFA2" s="1"/>
      <c r="PFB2" s="1"/>
      <c r="PFC2" s="1"/>
      <c r="PFD2" s="1"/>
      <c r="PFE2" s="1"/>
      <c r="PFF2" s="1"/>
      <c r="PFG2" s="1"/>
      <c r="PFH2" s="1"/>
      <c r="PFI2" s="1"/>
      <c r="PFJ2" s="1"/>
      <c r="PFK2" s="1"/>
      <c r="PFL2" s="1"/>
      <c r="PFM2" s="1"/>
      <c r="PFN2" s="1"/>
      <c r="PFO2" s="1"/>
      <c r="PFP2" s="1"/>
      <c r="PFQ2" s="1"/>
      <c r="PFR2" s="1"/>
      <c r="PFS2" s="1"/>
      <c r="PFT2" s="1"/>
      <c r="PFU2" s="1"/>
      <c r="PFV2" s="1"/>
      <c r="PFW2" s="1"/>
      <c r="PFX2" s="1"/>
      <c r="PFY2" s="1"/>
      <c r="PFZ2" s="1"/>
      <c r="PGA2" s="1"/>
      <c r="PGB2" s="1"/>
      <c r="PGC2" s="1"/>
      <c r="PGD2" s="1"/>
      <c r="PGE2" s="1"/>
      <c r="PGF2" s="1"/>
      <c r="PGG2" s="1"/>
      <c r="PGH2" s="1"/>
      <c r="PGI2" s="1"/>
      <c r="PGJ2" s="1"/>
      <c r="PGK2" s="1"/>
      <c r="PGL2" s="1"/>
      <c r="PGM2" s="1"/>
      <c r="PGN2" s="1"/>
      <c r="PGO2" s="1"/>
      <c r="PGP2" s="1"/>
      <c r="PGQ2" s="1"/>
      <c r="PGR2" s="1"/>
      <c r="PGS2" s="1"/>
      <c r="PGT2" s="1"/>
      <c r="PGU2" s="1"/>
      <c r="PGV2" s="1"/>
      <c r="PGW2" s="1"/>
      <c r="PGX2" s="1"/>
      <c r="PGY2" s="1"/>
      <c r="PGZ2" s="1"/>
      <c r="PHA2" s="1"/>
      <c r="PHB2" s="1"/>
      <c r="PHC2" s="1"/>
      <c r="PHD2" s="1"/>
      <c r="PHE2" s="1"/>
      <c r="PHF2" s="1"/>
      <c r="PHG2" s="1"/>
      <c r="PHH2" s="1"/>
      <c r="PHI2" s="1"/>
      <c r="PHJ2" s="1"/>
      <c r="PHK2" s="1"/>
      <c r="PHL2" s="1"/>
      <c r="PHM2" s="1"/>
      <c r="PHN2" s="1"/>
      <c r="PHO2" s="1"/>
      <c r="PHP2" s="1"/>
      <c r="PHQ2" s="1"/>
      <c r="PHR2" s="1"/>
      <c r="PHS2" s="1"/>
      <c r="PHT2" s="1"/>
      <c r="PHU2" s="1"/>
      <c r="PHV2" s="1"/>
      <c r="PHW2" s="1"/>
      <c r="PHX2" s="1"/>
      <c r="PHY2" s="1"/>
      <c r="PHZ2" s="1"/>
      <c r="PIA2" s="1"/>
      <c r="PIB2" s="1"/>
      <c r="PIC2" s="1"/>
      <c r="PID2" s="1"/>
      <c r="PIE2" s="1"/>
      <c r="PIF2" s="1"/>
      <c r="PIG2" s="1"/>
      <c r="PIH2" s="1"/>
      <c r="PII2" s="1"/>
      <c r="PIJ2" s="1"/>
      <c r="PIK2" s="1"/>
      <c r="PIL2" s="1"/>
      <c r="PIM2" s="1"/>
      <c r="PIN2" s="1"/>
      <c r="PIO2" s="1"/>
      <c r="PIP2" s="1"/>
      <c r="PIQ2" s="1"/>
      <c r="PIR2" s="1"/>
      <c r="PIS2" s="1"/>
      <c r="PIT2" s="1"/>
      <c r="PIU2" s="1"/>
      <c r="PIV2" s="1"/>
      <c r="PIW2" s="1"/>
      <c r="PIX2" s="1"/>
      <c r="PIY2" s="1"/>
      <c r="PIZ2" s="1"/>
      <c r="PJA2" s="1"/>
      <c r="PJB2" s="1"/>
      <c r="PJC2" s="1"/>
      <c r="PJD2" s="1"/>
      <c r="PJE2" s="1"/>
      <c r="PJF2" s="1"/>
      <c r="PJG2" s="1"/>
      <c r="PJH2" s="1"/>
      <c r="PJI2" s="1"/>
      <c r="PJJ2" s="1"/>
      <c r="PJK2" s="1"/>
      <c r="PJL2" s="1"/>
      <c r="PJM2" s="1"/>
      <c r="PJN2" s="1"/>
      <c r="PJO2" s="1"/>
      <c r="PJP2" s="1"/>
      <c r="PJQ2" s="1"/>
      <c r="PJR2" s="1"/>
      <c r="PJS2" s="1"/>
      <c r="PJT2" s="1"/>
      <c r="PJU2" s="1"/>
      <c r="PJV2" s="1"/>
      <c r="PJW2" s="1"/>
      <c r="PJX2" s="1"/>
      <c r="PJY2" s="1"/>
      <c r="PJZ2" s="1"/>
      <c r="PKA2" s="1"/>
      <c r="PKB2" s="1"/>
      <c r="PKC2" s="1"/>
      <c r="PKD2" s="1"/>
      <c r="PKE2" s="1"/>
      <c r="PKF2" s="1"/>
      <c r="PKG2" s="1"/>
      <c r="PKH2" s="1"/>
      <c r="PKI2" s="1"/>
      <c r="PKJ2" s="1"/>
      <c r="PKK2" s="1"/>
      <c r="PKL2" s="1"/>
      <c r="PKM2" s="1"/>
      <c r="PKN2" s="1"/>
      <c r="PKO2" s="1"/>
      <c r="PKP2" s="1"/>
      <c r="PKQ2" s="1"/>
      <c r="PKR2" s="1"/>
      <c r="PKS2" s="1"/>
      <c r="PKT2" s="1"/>
      <c r="PKU2" s="1"/>
      <c r="PKV2" s="1"/>
      <c r="PKW2" s="1"/>
      <c r="PKX2" s="1"/>
      <c r="PKY2" s="1"/>
      <c r="PKZ2" s="1"/>
      <c r="PLA2" s="1"/>
      <c r="PLB2" s="1"/>
      <c r="PLC2" s="1"/>
      <c r="PLD2" s="1"/>
      <c r="PLE2" s="1"/>
      <c r="PLF2" s="1"/>
      <c r="PLG2" s="1"/>
      <c r="PLH2" s="1"/>
      <c r="PLI2" s="1"/>
      <c r="PLJ2" s="1"/>
      <c r="PLK2" s="1"/>
      <c r="PLL2" s="1"/>
      <c r="PLM2" s="1"/>
      <c r="PLN2" s="1"/>
      <c r="PLO2" s="1"/>
      <c r="PLP2" s="1"/>
      <c r="PLQ2" s="1"/>
      <c r="PLR2" s="1"/>
      <c r="PLS2" s="1"/>
      <c r="PLT2" s="1"/>
      <c r="PLU2" s="1"/>
      <c r="PLV2" s="1"/>
      <c r="PLW2" s="1"/>
      <c r="PLX2" s="1"/>
      <c r="PLY2" s="1"/>
      <c r="PLZ2" s="1"/>
      <c r="PMA2" s="1"/>
      <c r="PMB2" s="1"/>
      <c r="PMC2" s="1"/>
      <c r="PMD2" s="1"/>
      <c r="PME2" s="1"/>
      <c r="PMF2" s="1"/>
      <c r="PMG2" s="1"/>
      <c r="PMH2" s="1"/>
      <c r="PMI2" s="1"/>
      <c r="PMJ2" s="1"/>
      <c r="PMK2" s="1"/>
      <c r="PML2" s="1"/>
      <c r="PMM2" s="1"/>
      <c r="PMN2" s="1"/>
      <c r="PMO2" s="1"/>
      <c r="PMP2" s="1"/>
      <c r="PMQ2" s="1"/>
      <c r="PMR2" s="1"/>
      <c r="PMS2" s="1"/>
      <c r="PMT2" s="1"/>
      <c r="PMU2" s="1"/>
      <c r="PMV2" s="1"/>
      <c r="PMW2" s="1"/>
      <c r="PMX2" s="1"/>
      <c r="PMY2" s="1"/>
      <c r="PMZ2" s="1"/>
      <c r="PNA2" s="1"/>
      <c r="PNB2" s="1"/>
      <c r="PNC2" s="1"/>
      <c r="PND2" s="1"/>
      <c r="PNE2" s="1"/>
      <c r="PNF2" s="1"/>
      <c r="PNG2" s="1"/>
      <c r="PNH2" s="1"/>
      <c r="PNI2" s="1"/>
      <c r="PNJ2" s="1"/>
      <c r="PNK2" s="1"/>
      <c r="PNL2" s="1"/>
      <c r="PNM2" s="1"/>
      <c r="PNN2" s="1"/>
      <c r="PNO2" s="1"/>
      <c r="PNP2" s="1"/>
      <c r="PNQ2" s="1"/>
      <c r="PNR2" s="1"/>
      <c r="PNS2" s="1"/>
      <c r="PNT2" s="1"/>
      <c r="PNU2" s="1"/>
      <c r="PNV2" s="1"/>
      <c r="PNW2" s="1"/>
      <c r="PNX2" s="1"/>
      <c r="PNY2" s="1"/>
      <c r="PNZ2" s="1"/>
      <c r="POA2" s="1"/>
      <c r="POB2" s="1"/>
      <c r="POC2" s="1"/>
      <c r="POD2" s="1"/>
      <c r="POE2" s="1"/>
      <c r="POF2" s="1"/>
      <c r="POG2" s="1"/>
      <c r="POH2" s="1"/>
      <c r="POI2" s="1"/>
      <c r="POJ2" s="1"/>
      <c r="POK2" s="1"/>
      <c r="POL2" s="1"/>
      <c r="POM2" s="1"/>
      <c r="PON2" s="1"/>
      <c r="POO2" s="1"/>
      <c r="POP2" s="1"/>
      <c r="POQ2" s="1"/>
      <c r="POR2" s="1"/>
      <c r="POS2" s="1"/>
      <c r="POT2" s="1"/>
      <c r="POU2" s="1"/>
      <c r="POV2" s="1"/>
      <c r="POW2" s="1"/>
      <c r="POX2" s="1"/>
      <c r="POY2" s="1"/>
      <c r="POZ2" s="1"/>
      <c r="PPA2" s="1"/>
      <c r="PPB2" s="1"/>
      <c r="PPC2" s="1"/>
      <c r="PPD2" s="1"/>
      <c r="PPE2" s="1"/>
      <c r="PPF2" s="1"/>
      <c r="PPG2" s="1"/>
      <c r="PPH2" s="1"/>
      <c r="PPI2" s="1"/>
      <c r="PPJ2" s="1"/>
      <c r="PPK2" s="1"/>
      <c r="PPL2" s="1"/>
      <c r="PPM2" s="1"/>
      <c r="PPN2" s="1"/>
      <c r="PPO2" s="1"/>
      <c r="PPP2" s="1"/>
      <c r="PPQ2" s="1"/>
      <c r="PPR2" s="1"/>
      <c r="PPS2" s="1"/>
      <c r="PPT2" s="1"/>
      <c r="PPU2" s="1"/>
      <c r="PPV2" s="1"/>
      <c r="PPW2" s="1"/>
      <c r="PPX2" s="1"/>
      <c r="PPY2" s="1"/>
      <c r="PPZ2" s="1"/>
      <c r="PQA2" s="1"/>
      <c r="PQB2" s="1"/>
      <c r="PQC2" s="1"/>
      <c r="PQD2" s="1"/>
      <c r="PQE2" s="1"/>
      <c r="PQF2" s="1"/>
      <c r="PQG2" s="1"/>
      <c r="PQH2" s="1"/>
      <c r="PQI2" s="1"/>
      <c r="PQJ2" s="1"/>
      <c r="PQK2" s="1"/>
      <c r="PQL2" s="1"/>
      <c r="PQM2" s="1"/>
      <c r="PQN2" s="1"/>
      <c r="PQO2" s="1"/>
      <c r="PQP2" s="1"/>
      <c r="PQQ2" s="1"/>
      <c r="PQR2" s="1"/>
      <c r="PQS2" s="1"/>
      <c r="PQT2" s="1"/>
      <c r="PQU2" s="1"/>
      <c r="PQV2" s="1"/>
      <c r="PQW2" s="1"/>
      <c r="PQX2" s="1"/>
      <c r="PQY2" s="1"/>
      <c r="PQZ2" s="1"/>
      <c r="PRA2" s="1"/>
      <c r="PRB2" s="1"/>
      <c r="PRC2" s="1"/>
      <c r="PRD2" s="1"/>
      <c r="PRE2" s="1"/>
      <c r="PRF2" s="1"/>
      <c r="PRG2" s="1"/>
      <c r="PRH2" s="1"/>
      <c r="PRI2" s="1"/>
      <c r="PRJ2" s="1"/>
      <c r="PRK2" s="1"/>
      <c r="PRL2" s="1"/>
      <c r="PRM2" s="1"/>
      <c r="PRN2" s="1"/>
      <c r="PRO2" s="1"/>
      <c r="PRP2" s="1"/>
      <c r="PRQ2" s="1"/>
      <c r="PRR2" s="1"/>
      <c r="PRS2" s="1"/>
      <c r="PRT2" s="1"/>
      <c r="PRU2" s="1"/>
      <c r="PRV2" s="1"/>
      <c r="PRW2" s="1"/>
      <c r="PRX2" s="1"/>
      <c r="PRY2" s="1"/>
      <c r="PRZ2" s="1"/>
      <c r="PSA2" s="1"/>
      <c r="PSB2" s="1"/>
      <c r="PSC2" s="1"/>
      <c r="PSD2" s="1"/>
      <c r="PSE2" s="1"/>
      <c r="PSF2" s="1"/>
      <c r="PSG2" s="1"/>
      <c r="PSH2" s="1"/>
      <c r="PSI2" s="1"/>
      <c r="PSJ2" s="1"/>
      <c r="PSK2" s="1"/>
      <c r="PSL2" s="1"/>
      <c r="PSM2" s="1"/>
      <c r="PSN2" s="1"/>
      <c r="PSO2" s="1"/>
      <c r="PSP2" s="1"/>
      <c r="PSQ2" s="1"/>
      <c r="PSR2" s="1"/>
      <c r="PSS2" s="1"/>
      <c r="PST2" s="1"/>
      <c r="PSU2" s="1"/>
      <c r="PSV2" s="1"/>
      <c r="PSW2" s="1"/>
      <c r="PSX2" s="1"/>
      <c r="PSY2" s="1"/>
      <c r="PSZ2" s="1"/>
      <c r="PTA2" s="1"/>
      <c r="PTB2" s="1"/>
      <c r="PTC2" s="1"/>
      <c r="PTD2" s="1"/>
      <c r="PTE2" s="1"/>
      <c r="PTF2" s="1"/>
      <c r="PTG2" s="1"/>
      <c r="PTH2" s="1"/>
      <c r="PTI2" s="1"/>
      <c r="PTJ2" s="1"/>
      <c r="PTK2" s="1"/>
      <c r="PTL2" s="1"/>
      <c r="PTM2" s="1"/>
      <c r="PTN2" s="1"/>
      <c r="PTO2" s="1"/>
      <c r="PTP2" s="1"/>
      <c r="PTQ2" s="1"/>
      <c r="PTR2" s="1"/>
      <c r="PTS2" s="1"/>
      <c r="PTT2" s="1"/>
      <c r="PTU2" s="1"/>
      <c r="PTV2" s="1"/>
      <c r="PTW2" s="1"/>
      <c r="PTX2" s="1"/>
      <c r="PTY2" s="1"/>
      <c r="PTZ2" s="1"/>
      <c r="PUA2" s="1"/>
      <c r="PUB2" s="1"/>
      <c r="PUC2" s="1"/>
      <c r="PUD2" s="1"/>
      <c r="PUE2" s="1"/>
      <c r="PUF2" s="1"/>
      <c r="PUG2" s="1"/>
      <c r="PUH2" s="1"/>
      <c r="PUI2" s="1"/>
      <c r="PUJ2" s="1"/>
      <c r="PUK2" s="1"/>
      <c r="PUL2" s="1"/>
      <c r="PUM2" s="1"/>
      <c r="PUN2" s="1"/>
      <c r="PUO2" s="1"/>
      <c r="PUP2" s="1"/>
      <c r="PUQ2" s="1"/>
      <c r="PUR2" s="1"/>
      <c r="PUS2" s="1"/>
      <c r="PUT2" s="1"/>
      <c r="PUU2" s="1"/>
      <c r="PUV2" s="1"/>
      <c r="PUW2" s="1"/>
      <c r="PUX2" s="1"/>
      <c r="PUY2" s="1"/>
      <c r="PUZ2" s="1"/>
      <c r="PVA2" s="1"/>
      <c r="PVB2" s="1"/>
      <c r="PVC2" s="1"/>
      <c r="PVD2" s="1"/>
      <c r="PVE2" s="1"/>
      <c r="PVF2" s="1"/>
      <c r="PVG2" s="1"/>
      <c r="PVH2" s="1"/>
      <c r="PVI2" s="1"/>
      <c r="PVJ2" s="1"/>
      <c r="PVK2" s="1"/>
      <c r="PVL2" s="1"/>
      <c r="PVM2" s="1"/>
      <c r="PVN2" s="1"/>
      <c r="PVO2" s="1"/>
      <c r="PVP2" s="1"/>
      <c r="PVQ2" s="1"/>
      <c r="PVR2" s="1"/>
      <c r="PVS2" s="1"/>
      <c r="PVT2" s="1"/>
      <c r="PVU2" s="1"/>
      <c r="PVV2" s="1"/>
      <c r="PVW2" s="1"/>
      <c r="PVX2" s="1"/>
      <c r="PVY2" s="1"/>
      <c r="PVZ2" s="1"/>
      <c r="PWA2" s="1"/>
      <c r="PWB2" s="1"/>
      <c r="PWC2" s="1"/>
      <c r="PWD2" s="1"/>
      <c r="PWE2" s="1"/>
      <c r="PWF2" s="1"/>
      <c r="PWG2" s="1"/>
      <c r="PWH2" s="1"/>
      <c r="PWI2" s="1"/>
      <c r="PWJ2" s="1"/>
      <c r="PWK2" s="1"/>
      <c r="PWL2" s="1"/>
      <c r="PWM2" s="1"/>
      <c r="PWN2" s="1"/>
      <c r="PWO2" s="1"/>
      <c r="PWP2" s="1"/>
      <c r="PWQ2" s="1"/>
      <c r="PWR2" s="1"/>
      <c r="PWS2" s="1"/>
      <c r="PWT2" s="1"/>
      <c r="PWU2" s="1"/>
      <c r="PWV2" s="1"/>
      <c r="PWW2" s="1"/>
      <c r="PWX2" s="1"/>
      <c r="PWY2" s="1"/>
      <c r="PWZ2" s="1"/>
      <c r="PXA2" s="1"/>
      <c r="PXB2" s="1"/>
      <c r="PXC2" s="1"/>
      <c r="PXD2" s="1"/>
      <c r="PXE2" s="1"/>
      <c r="PXF2" s="1"/>
      <c r="PXG2" s="1"/>
      <c r="PXH2" s="1"/>
      <c r="PXI2" s="1"/>
      <c r="PXJ2" s="1"/>
      <c r="PXK2" s="1"/>
      <c r="PXL2" s="1"/>
      <c r="PXM2" s="1"/>
      <c r="PXN2" s="1"/>
      <c r="PXO2" s="1"/>
      <c r="PXP2" s="1"/>
      <c r="PXQ2" s="1"/>
      <c r="PXR2" s="1"/>
      <c r="PXS2" s="1"/>
      <c r="PXT2" s="1"/>
      <c r="PXU2" s="1"/>
      <c r="PXV2" s="1"/>
      <c r="PXW2" s="1"/>
      <c r="PXX2" s="1"/>
      <c r="PXY2" s="1"/>
      <c r="PXZ2" s="1"/>
      <c r="PYA2" s="1"/>
      <c r="PYB2" s="1"/>
      <c r="PYC2" s="1"/>
      <c r="PYD2" s="1"/>
      <c r="PYE2" s="1"/>
      <c r="PYF2" s="1"/>
      <c r="PYG2" s="1"/>
      <c r="PYH2" s="1"/>
      <c r="PYI2" s="1"/>
      <c r="PYJ2" s="1"/>
      <c r="PYK2" s="1"/>
      <c r="PYL2" s="1"/>
      <c r="PYM2" s="1"/>
      <c r="PYN2" s="1"/>
      <c r="PYO2" s="1"/>
      <c r="PYP2" s="1"/>
      <c r="PYQ2" s="1"/>
      <c r="PYR2" s="1"/>
      <c r="PYS2" s="1"/>
      <c r="PYT2" s="1"/>
      <c r="PYU2" s="1"/>
      <c r="PYV2" s="1"/>
      <c r="PYW2" s="1"/>
      <c r="PYX2" s="1"/>
      <c r="PYY2" s="1"/>
      <c r="PYZ2" s="1"/>
      <c r="PZA2" s="1"/>
      <c r="PZB2" s="1"/>
      <c r="PZC2" s="1"/>
      <c r="PZD2" s="1"/>
      <c r="PZE2" s="1"/>
      <c r="PZF2" s="1"/>
      <c r="PZG2" s="1"/>
      <c r="PZH2" s="1"/>
      <c r="PZI2" s="1"/>
      <c r="PZJ2" s="1"/>
      <c r="PZK2" s="1"/>
      <c r="PZL2" s="1"/>
      <c r="PZM2" s="1"/>
      <c r="PZN2" s="1"/>
      <c r="PZO2" s="1"/>
      <c r="PZP2" s="1"/>
      <c r="PZQ2" s="1"/>
      <c r="PZR2" s="1"/>
      <c r="PZS2" s="1"/>
      <c r="PZT2" s="1"/>
      <c r="PZU2" s="1"/>
      <c r="PZV2" s="1"/>
      <c r="PZW2" s="1"/>
      <c r="PZX2" s="1"/>
      <c r="PZY2" s="1"/>
      <c r="PZZ2" s="1"/>
      <c r="QAA2" s="1"/>
      <c r="QAB2" s="1"/>
      <c r="QAC2" s="1"/>
      <c r="QAD2" s="1"/>
      <c r="QAE2" s="1"/>
      <c r="QAF2" s="1"/>
      <c r="QAG2" s="1"/>
      <c r="QAH2" s="1"/>
      <c r="QAI2" s="1"/>
      <c r="QAJ2" s="1"/>
      <c r="QAK2" s="1"/>
      <c r="QAL2" s="1"/>
      <c r="QAM2" s="1"/>
      <c r="QAN2" s="1"/>
      <c r="QAO2" s="1"/>
      <c r="QAP2" s="1"/>
      <c r="QAQ2" s="1"/>
      <c r="QAR2" s="1"/>
      <c r="QAS2" s="1"/>
      <c r="QAT2" s="1"/>
      <c r="QAU2" s="1"/>
      <c r="QAV2" s="1"/>
      <c r="QAW2" s="1"/>
      <c r="QAX2" s="1"/>
      <c r="QAY2" s="1"/>
      <c r="QAZ2" s="1"/>
      <c r="QBA2" s="1"/>
      <c r="QBB2" s="1"/>
      <c r="QBC2" s="1"/>
      <c r="QBD2" s="1"/>
      <c r="QBE2" s="1"/>
      <c r="QBF2" s="1"/>
      <c r="QBG2" s="1"/>
      <c r="QBH2" s="1"/>
      <c r="QBI2" s="1"/>
      <c r="QBJ2" s="1"/>
      <c r="QBK2" s="1"/>
      <c r="QBL2" s="1"/>
      <c r="QBM2" s="1"/>
      <c r="QBN2" s="1"/>
      <c r="QBO2" s="1"/>
      <c r="QBP2" s="1"/>
      <c r="QBQ2" s="1"/>
      <c r="QBR2" s="1"/>
      <c r="QBS2" s="1"/>
      <c r="QBT2" s="1"/>
      <c r="QBU2" s="1"/>
      <c r="QBV2" s="1"/>
      <c r="QBW2" s="1"/>
      <c r="QBX2" s="1"/>
      <c r="QBY2" s="1"/>
      <c r="QBZ2" s="1"/>
      <c r="QCA2" s="1"/>
      <c r="QCB2" s="1"/>
      <c r="QCC2" s="1"/>
      <c r="QCD2" s="1"/>
      <c r="QCE2" s="1"/>
      <c r="QCF2" s="1"/>
      <c r="QCG2" s="1"/>
      <c r="QCH2" s="1"/>
      <c r="QCI2" s="1"/>
      <c r="QCJ2" s="1"/>
      <c r="QCK2" s="1"/>
      <c r="QCL2" s="1"/>
      <c r="QCM2" s="1"/>
      <c r="QCN2" s="1"/>
      <c r="QCO2" s="1"/>
      <c r="QCP2" s="1"/>
      <c r="QCQ2" s="1"/>
      <c r="QCR2" s="1"/>
      <c r="QCS2" s="1"/>
      <c r="QCT2" s="1"/>
      <c r="QCU2" s="1"/>
      <c r="QCV2" s="1"/>
      <c r="QCW2" s="1"/>
      <c r="QCX2" s="1"/>
      <c r="QCY2" s="1"/>
      <c r="QCZ2" s="1"/>
      <c r="QDA2" s="1"/>
      <c r="QDB2" s="1"/>
      <c r="QDC2" s="1"/>
      <c r="QDD2" s="1"/>
      <c r="QDE2" s="1"/>
      <c r="QDF2" s="1"/>
      <c r="QDG2" s="1"/>
      <c r="QDH2" s="1"/>
      <c r="QDI2" s="1"/>
      <c r="QDJ2" s="1"/>
      <c r="QDK2" s="1"/>
      <c r="QDL2" s="1"/>
      <c r="QDM2" s="1"/>
      <c r="QDN2" s="1"/>
      <c r="QDO2" s="1"/>
      <c r="QDP2" s="1"/>
      <c r="QDQ2" s="1"/>
      <c r="QDR2" s="1"/>
      <c r="QDS2" s="1"/>
      <c r="QDT2" s="1"/>
      <c r="QDU2" s="1"/>
      <c r="QDV2" s="1"/>
      <c r="QDW2" s="1"/>
      <c r="QDX2" s="1"/>
      <c r="QDY2" s="1"/>
      <c r="QDZ2" s="1"/>
      <c r="QEA2" s="1"/>
      <c r="QEB2" s="1"/>
      <c r="QEC2" s="1"/>
      <c r="QED2" s="1"/>
      <c r="QEE2" s="1"/>
      <c r="QEF2" s="1"/>
      <c r="QEG2" s="1"/>
      <c r="QEH2" s="1"/>
      <c r="QEI2" s="1"/>
      <c r="QEJ2" s="1"/>
      <c r="QEK2" s="1"/>
      <c r="QEL2" s="1"/>
      <c r="QEM2" s="1"/>
      <c r="QEN2" s="1"/>
      <c r="QEO2" s="1"/>
      <c r="QEP2" s="1"/>
      <c r="QEQ2" s="1"/>
      <c r="QER2" s="1"/>
      <c r="QES2" s="1"/>
      <c r="QET2" s="1"/>
      <c r="QEU2" s="1"/>
      <c r="QEV2" s="1"/>
      <c r="QEW2" s="1"/>
      <c r="QEX2" s="1"/>
      <c r="QEY2" s="1"/>
      <c r="QEZ2" s="1"/>
      <c r="QFA2" s="1"/>
      <c r="QFB2" s="1"/>
      <c r="QFC2" s="1"/>
      <c r="QFD2" s="1"/>
      <c r="QFE2" s="1"/>
      <c r="QFF2" s="1"/>
      <c r="QFG2" s="1"/>
      <c r="QFH2" s="1"/>
      <c r="QFI2" s="1"/>
      <c r="QFJ2" s="1"/>
      <c r="QFK2" s="1"/>
      <c r="QFL2" s="1"/>
      <c r="QFM2" s="1"/>
      <c r="QFN2" s="1"/>
      <c r="QFO2" s="1"/>
      <c r="QFP2" s="1"/>
      <c r="QFQ2" s="1"/>
      <c r="QFR2" s="1"/>
      <c r="QFS2" s="1"/>
      <c r="QFT2" s="1"/>
      <c r="QFU2" s="1"/>
      <c r="QFV2" s="1"/>
      <c r="QFW2" s="1"/>
      <c r="QFX2" s="1"/>
      <c r="QFY2" s="1"/>
      <c r="QFZ2" s="1"/>
      <c r="QGA2" s="1"/>
      <c r="QGB2" s="1"/>
      <c r="QGC2" s="1"/>
      <c r="QGD2" s="1"/>
      <c r="QGE2" s="1"/>
      <c r="QGF2" s="1"/>
      <c r="QGG2" s="1"/>
      <c r="QGH2" s="1"/>
      <c r="QGI2" s="1"/>
      <c r="QGJ2" s="1"/>
      <c r="QGK2" s="1"/>
      <c r="QGL2" s="1"/>
      <c r="QGM2" s="1"/>
      <c r="QGN2" s="1"/>
      <c r="QGO2" s="1"/>
      <c r="QGP2" s="1"/>
      <c r="QGQ2" s="1"/>
      <c r="QGR2" s="1"/>
      <c r="QGS2" s="1"/>
      <c r="QGT2" s="1"/>
      <c r="QGU2" s="1"/>
      <c r="QGV2" s="1"/>
      <c r="QGW2" s="1"/>
      <c r="QGX2" s="1"/>
      <c r="QGY2" s="1"/>
      <c r="QGZ2" s="1"/>
      <c r="QHA2" s="1"/>
      <c r="QHB2" s="1"/>
      <c r="QHC2" s="1"/>
      <c r="QHD2" s="1"/>
      <c r="QHE2" s="1"/>
      <c r="QHF2" s="1"/>
      <c r="QHG2" s="1"/>
      <c r="QHH2" s="1"/>
      <c r="QHI2" s="1"/>
      <c r="QHJ2" s="1"/>
      <c r="QHK2" s="1"/>
      <c r="QHL2" s="1"/>
      <c r="QHM2" s="1"/>
      <c r="QHN2" s="1"/>
      <c r="QHO2" s="1"/>
      <c r="QHP2" s="1"/>
      <c r="QHQ2" s="1"/>
      <c r="QHR2" s="1"/>
      <c r="QHS2" s="1"/>
      <c r="QHT2" s="1"/>
      <c r="QHU2" s="1"/>
      <c r="QHV2" s="1"/>
      <c r="QHW2" s="1"/>
      <c r="QHX2" s="1"/>
      <c r="QHY2" s="1"/>
      <c r="QHZ2" s="1"/>
      <c r="QIA2" s="1"/>
      <c r="QIB2" s="1"/>
      <c r="QIC2" s="1"/>
      <c r="QID2" s="1"/>
      <c r="QIE2" s="1"/>
      <c r="QIF2" s="1"/>
      <c r="QIG2" s="1"/>
      <c r="QIH2" s="1"/>
      <c r="QII2" s="1"/>
      <c r="QIJ2" s="1"/>
      <c r="QIK2" s="1"/>
      <c r="QIL2" s="1"/>
      <c r="QIM2" s="1"/>
      <c r="QIN2" s="1"/>
      <c r="QIO2" s="1"/>
      <c r="QIP2" s="1"/>
      <c r="QIQ2" s="1"/>
      <c r="QIR2" s="1"/>
      <c r="QIS2" s="1"/>
      <c r="QIT2" s="1"/>
      <c r="QIU2" s="1"/>
      <c r="QIV2" s="1"/>
      <c r="QIW2" s="1"/>
      <c r="QIX2" s="1"/>
      <c r="QIY2" s="1"/>
      <c r="QIZ2" s="1"/>
      <c r="QJA2" s="1"/>
      <c r="QJB2" s="1"/>
      <c r="QJC2" s="1"/>
      <c r="QJD2" s="1"/>
      <c r="QJE2" s="1"/>
      <c r="QJF2" s="1"/>
      <c r="QJG2" s="1"/>
      <c r="QJH2" s="1"/>
      <c r="QJI2" s="1"/>
      <c r="QJJ2" s="1"/>
      <c r="QJK2" s="1"/>
      <c r="QJL2" s="1"/>
      <c r="QJM2" s="1"/>
      <c r="QJN2" s="1"/>
      <c r="QJO2" s="1"/>
      <c r="QJP2" s="1"/>
      <c r="QJQ2" s="1"/>
      <c r="QJR2" s="1"/>
      <c r="QJS2" s="1"/>
      <c r="QJT2" s="1"/>
      <c r="QJU2" s="1"/>
      <c r="QJV2" s="1"/>
      <c r="QJW2" s="1"/>
      <c r="QJX2" s="1"/>
      <c r="QJY2" s="1"/>
      <c r="QJZ2" s="1"/>
      <c r="QKA2" s="1"/>
      <c r="QKB2" s="1"/>
      <c r="QKC2" s="1"/>
      <c r="QKD2" s="1"/>
      <c r="QKE2" s="1"/>
      <c r="QKF2" s="1"/>
      <c r="QKG2" s="1"/>
      <c r="QKH2" s="1"/>
      <c r="QKI2" s="1"/>
      <c r="QKJ2" s="1"/>
      <c r="QKK2" s="1"/>
      <c r="QKL2" s="1"/>
      <c r="QKM2" s="1"/>
      <c r="QKN2" s="1"/>
      <c r="QKO2" s="1"/>
      <c r="QKP2" s="1"/>
      <c r="QKQ2" s="1"/>
      <c r="QKR2" s="1"/>
      <c r="QKS2" s="1"/>
      <c r="QKT2" s="1"/>
      <c r="QKU2" s="1"/>
      <c r="QKV2" s="1"/>
      <c r="QKW2" s="1"/>
      <c r="QKX2" s="1"/>
      <c r="QKY2" s="1"/>
      <c r="QKZ2" s="1"/>
      <c r="QLA2" s="1"/>
      <c r="QLB2" s="1"/>
      <c r="QLC2" s="1"/>
      <c r="QLD2" s="1"/>
      <c r="QLE2" s="1"/>
      <c r="QLF2" s="1"/>
      <c r="QLG2" s="1"/>
      <c r="QLH2" s="1"/>
      <c r="QLI2" s="1"/>
      <c r="QLJ2" s="1"/>
      <c r="QLK2" s="1"/>
      <c r="QLL2" s="1"/>
      <c r="QLM2" s="1"/>
      <c r="QLN2" s="1"/>
      <c r="QLO2" s="1"/>
      <c r="QLP2" s="1"/>
      <c r="QLQ2" s="1"/>
      <c r="QLR2" s="1"/>
      <c r="QLS2" s="1"/>
      <c r="QLT2" s="1"/>
      <c r="QLU2" s="1"/>
      <c r="QLV2" s="1"/>
      <c r="QLW2" s="1"/>
      <c r="QLX2" s="1"/>
      <c r="QLY2" s="1"/>
      <c r="QLZ2" s="1"/>
      <c r="QMA2" s="1"/>
      <c r="QMB2" s="1"/>
      <c r="QMC2" s="1"/>
      <c r="QMD2" s="1"/>
      <c r="QME2" s="1"/>
      <c r="QMF2" s="1"/>
      <c r="QMG2" s="1"/>
      <c r="QMH2" s="1"/>
      <c r="QMI2" s="1"/>
      <c r="QMJ2" s="1"/>
      <c r="QMK2" s="1"/>
      <c r="QML2" s="1"/>
      <c r="QMM2" s="1"/>
      <c r="QMN2" s="1"/>
      <c r="QMO2" s="1"/>
      <c r="QMP2" s="1"/>
      <c r="QMQ2" s="1"/>
      <c r="QMR2" s="1"/>
      <c r="QMS2" s="1"/>
      <c r="QMT2" s="1"/>
      <c r="QMU2" s="1"/>
      <c r="QMV2" s="1"/>
      <c r="QMW2" s="1"/>
      <c r="QMX2" s="1"/>
      <c r="QMY2" s="1"/>
      <c r="QMZ2" s="1"/>
      <c r="QNA2" s="1"/>
      <c r="QNB2" s="1"/>
      <c r="QNC2" s="1"/>
      <c r="QND2" s="1"/>
      <c r="QNE2" s="1"/>
      <c r="QNF2" s="1"/>
      <c r="QNG2" s="1"/>
      <c r="QNH2" s="1"/>
      <c r="QNI2" s="1"/>
      <c r="QNJ2" s="1"/>
      <c r="QNK2" s="1"/>
      <c r="QNL2" s="1"/>
      <c r="QNM2" s="1"/>
      <c r="QNN2" s="1"/>
      <c r="QNO2" s="1"/>
      <c r="QNP2" s="1"/>
      <c r="QNQ2" s="1"/>
      <c r="QNR2" s="1"/>
      <c r="QNS2" s="1"/>
      <c r="QNT2" s="1"/>
      <c r="QNU2" s="1"/>
      <c r="QNV2" s="1"/>
      <c r="QNW2" s="1"/>
      <c r="QNX2" s="1"/>
      <c r="QNY2" s="1"/>
      <c r="QNZ2" s="1"/>
      <c r="QOA2" s="1"/>
      <c r="QOB2" s="1"/>
      <c r="QOC2" s="1"/>
      <c r="QOD2" s="1"/>
      <c r="QOE2" s="1"/>
      <c r="QOF2" s="1"/>
      <c r="QOG2" s="1"/>
      <c r="QOH2" s="1"/>
      <c r="QOI2" s="1"/>
      <c r="QOJ2" s="1"/>
      <c r="QOK2" s="1"/>
      <c r="QOL2" s="1"/>
      <c r="QOM2" s="1"/>
      <c r="QON2" s="1"/>
      <c r="QOO2" s="1"/>
      <c r="QOP2" s="1"/>
      <c r="QOQ2" s="1"/>
      <c r="QOR2" s="1"/>
      <c r="QOS2" s="1"/>
      <c r="QOT2" s="1"/>
      <c r="QOU2" s="1"/>
      <c r="QOV2" s="1"/>
      <c r="QOW2" s="1"/>
      <c r="QOX2" s="1"/>
      <c r="QOY2" s="1"/>
      <c r="QOZ2" s="1"/>
      <c r="QPA2" s="1"/>
      <c r="QPB2" s="1"/>
      <c r="QPC2" s="1"/>
      <c r="QPD2" s="1"/>
      <c r="QPE2" s="1"/>
      <c r="QPF2" s="1"/>
      <c r="QPG2" s="1"/>
      <c r="QPH2" s="1"/>
      <c r="QPI2" s="1"/>
      <c r="QPJ2" s="1"/>
      <c r="QPK2" s="1"/>
      <c r="QPL2" s="1"/>
      <c r="QPM2" s="1"/>
      <c r="QPN2" s="1"/>
      <c r="QPO2" s="1"/>
      <c r="QPP2" s="1"/>
      <c r="QPQ2" s="1"/>
      <c r="QPR2" s="1"/>
      <c r="QPS2" s="1"/>
      <c r="QPT2" s="1"/>
      <c r="QPU2" s="1"/>
      <c r="QPV2" s="1"/>
      <c r="QPW2" s="1"/>
      <c r="QPX2" s="1"/>
      <c r="QPY2" s="1"/>
      <c r="QPZ2" s="1"/>
      <c r="QQA2" s="1"/>
      <c r="QQB2" s="1"/>
      <c r="QQC2" s="1"/>
      <c r="QQD2" s="1"/>
      <c r="QQE2" s="1"/>
      <c r="QQF2" s="1"/>
      <c r="QQG2" s="1"/>
      <c r="QQH2" s="1"/>
      <c r="QQI2" s="1"/>
      <c r="QQJ2" s="1"/>
      <c r="QQK2" s="1"/>
      <c r="QQL2" s="1"/>
      <c r="QQM2" s="1"/>
      <c r="QQN2" s="1"/>
      <c r="QQO2" s="1"/>
      <c r="QQP2" s="1"/>
      <c r="QQQ2" s="1"/>
      <c r="QQR2" s="1"/>
      <c r="QQS2" s="1"/>
      <c r="QQT2" s="1"/>
      <c r="QQU2" s="1"/>
      <c r="QQV2" s="1"/>
      <c r="QQW2" s="1"/>
      <c r="QQX2" s="1"/>
      <c r="QQY2" s="1"/>
      <c r="QQZ2" s="1"/>
      <c r="QRA2" s="1"/>
      <c r="QRB2" s="1"/>
      <c r="QRC2" s="1"/>
      <c r="QRD2" s="1"/>
      <c r="QRE2" s="1"/>
      <c r="QRF2" s="1"/>
      <c r="QRG2" s="1"/>
      <c r="QRH2" s="1"/>
      <c r="QRI2" s="1"/>
      <c r="QRJ2" s="1"/>
      <c r="QRK2" s="1"/>
      <c r="QRL2" s="1"/>
      <c r="QRM2" s="1"/>
      <c r="QRN2" s="1"/>
      <c r="QRO2" s="1"/>
      <c r="QRP2" s="1"/>
      <c r="QRQ2" s="1"/>
      <c r="QRR2" s="1"/>
      <c r="QRS2" s="1"/>
      <c r="QRT2" s="1"/>
      <c r="QRU2" s="1"/>
      <c r="QRV2" s="1"/>
      <c r="QRW2" s="1"/>
      <c r="QRX2" s="1"/>
      <c r="QRY2" s="1"/>
      <c r="QRZ2" s="1"/>
      <c r="QSA2" s="1"/>
      <c r="QSB2" s="1"/>
      <c r="QSC2" s="1"/>
      <c r="QSD2" s="1"/>
      <c r="QSE2" s="1"/>
      <c r="QSF2" s="1"/>
      <c r="QSG2" s="1"/>
      <c r="QSH2" s="1"/>
      <c r="QSI2" s="1"/>
      <c r="QSJ2" s="1"/>
      <c r="QSK2" s="1"/>
      <c r="QSL2" s="1"/>
      <c r="QSM2" s="1"/>
      <c r="QSN2" s="1"/>
      <c r="QSO2" s="1"/>
      <c r="QSP2" s="1"/>
      <c r="QSQ2" s="1"/>
      <c r="QSR2" s="1"/>
      <c r="QSS2" s="1"/>
      <c r="QST2" s="1"/>
      <c r="QSU2" s="1"/>
      <c r="QSV2" s="1"/>
      <c r="QSW2" s="1"/>
      <c r="QSX2" s="1"/>
      <c r="QSY2" s="1"/>
      <c r="QSZ2" s="1"/>
      <c r="QTA2" s="1"/>
      <c r="QTB2" s="1"/>
      <c r="QTC2" s="1"/>
      <c r="QTD2" s="1"/>
      <c r="QTE2" s="1"/>
      <c r="QTF2" s="1"/>
      <c r="QTG2" s="1"/>
      <c r="QTH2" s="1"/>
      <c r="QTI2" s="1"/>
      <c r="QTJ2" s="1"/>
      <c r="QTK2" s="1"/>
      <c r="QTL2" s="1"/>
      <c r="QTM2" s="1"/>
      <c r="QTN2" s="1"/>
      <c r="QTO2" s="1"/>
      <c r="QTP2" s="1"/>
      <c r="QTQ2" s="1"/>
      <c r="QTR2" s="1"/>
      <c r="QTS2" s="1"/>
      <c r="QTT2" s="1"/>
      <c r="QTU2" s="1"/>
      <c r="QTV2" s="1"/>
      <c r="QTW2" s="1"/>
      <c r="QTX2" s="1"/>
      <c r="QTY2" s="1"/>
      <c r="QTZ2" s="1"/>
      <c r="QUA2" s="1"/>
      <c r="QUB2" s="1"/>
      <c r="QUC2" s="1"/>
      <c r="QUD2" s="1"/>
      <c r="QUE2" s="1"/>
      <c r="QUF2" s="1"/>
      <c r="QUG2" s="1"/>
      <c r="QUH2" s="1"/>
      <c r="QUI2" s="1"/>
      <c r="QUJ2" s="1"/>
      <c r="QUK2" s="1"/>
      <c r="QUL2" s="1"/>
      <c r="QUM2" s="1"/>
      <c r="QUN2" s="1"/>
      <c r="QUO2" s="1"/>
      <c r="QUP2" s="1"/>
      <c r="QUQ2" s="1"/>
      <c r="QUR2" s="1"/>
      <c r="QUS2" s="1"/>
      <c r="QUT2" s="1"/>
      <c r="QUU2" s="1"/>
      <c r="QUV2" s="1"/>
      <c r="QUW2" s="1"/>
      <c r="QUX2" s="1"/>
      <c r="QUY2" s="1"/>
      <c r="QUZ2" s="1"/>
      <c r="QVA2" s="1"/>
      <c r="QVB2" s="1"/>
      <c r="QVC2" s="1"/>
      <c r="QVD2" s="1"/>
      <c r="QVE2" s="1"/>
      <c r="QVF2" s="1"/>
      <c r="QVG2" s="1"/>
      <c r="QVH2" s="1"/>
      <c r="QVI2" s="1"/>
      <c r="QVJ2" s="1"/>
      <c r="QVK2" s="1"/>
      <c r="QVL2" s="1"/>
      <c r="QVM2" s="1"/>
      <c r="QVN2" s="1"/>
      <c r="QVO2" s="1"/>
      <c r="QVP2" s="1"/>
      <c r="QVQ2" s="1"/>
      <c r="QVR2" s="1"/>
      <c r="QVS2" s="1"/>
      <c r="QVT2" s="1"/>
      <c r="QVU2" s="1"/>
      <c r="QVV2" s="1"/>
      <c r="QVW2" s="1"/>
      <c r="QVX2" s="1"/>
      <c r="QVY2" s="1"/>
      <c r="QVZ2" s="1"/>
      <c r="QWA2" s="1"/>
      <c r="QWB2" s="1"/>
      <c r="QWC2" s="1"/>
      <c r="QWD2" s="1"/>
      <c r="QWE2" s="1"/>
      <c r="QWF2" s="1"/>
      <c r="QWG2" s="1"/>
      <c r="QWH2" s="1"/>
      <c r="QWI2" s="1"/>
      <c r="QWJ2" s="1"/>
      <c r="QWK2" s="1"/>
      <c r="QWL2" s="1"/>
      <c r="QWM2" s="1"/>
      <c r="QWN2" s="1"/>
      <c r="QWO2" s="1"/>
      <c r="QWP2" s="1"/>
      <c r="QWQ2" s="1"/>
      <c r="QWR2" s="1"/>
      <c r="QWS2" s="1"/>
      <c r="QWT2" s="1"/>
      <c r="QWU2" s="1"/>
      <c r="QWV2" s="1"/>
      <c r="QWW2" s="1"/>
      <c r="QWX2" s="1"/>
      <c r="QWY2" s="1"/>
      <c r="QWZ2" s="1"/>
      <c r="QXA2" s="1"/>
      <c r="QXB2" s="1"/>
      <c r="QXC2" s="1"/>
      <c r="QXD2" s="1"/>
      <c r="QXE2" s="1"/>
      <c r="QXF2" s="1"/>
      <c r="QXG2" s="1"/>
      <c r="QXH2" s="1"/>
      <c r="QXI2" s="1"/>
      <c r="QXJ2" s="1"/>
      <c r="QXK2" s="1"/>
      <c r="QXL2" s="1"/>
      <c r="QXM2" s="1"/>
      <c r="QXN2" s="1"/>
      <c r="QXO2" s="1"/>
      <c r="QXP2" s="1"/>
      <c r="QXQ2" s="1"/>
      <c r="QXR2" s="1"/>
      <c r="QXS2" s="1"/>
      <c r="QXT2" s="1"/>
      <c r="QXU2" s="1"/>
      <c r="QXV2" s="1"/>
      <c r="QXW2" s="1"/>
      <c r="QXX2" s="1"/>
      <c r="QXY2" s="1"/>
      <c r="QXZ2" s="1"/>
      <c r="QYA2" s="1"/>
      <c r="QYB2" s="1"/>
      <c r="QYC2" s="1"/>
      <c r="QYD2" s="1"/>
      <c r="QYE2" s="1"/>
      <c r="QYF2" s="1"/>
      <c r="QYG2" s="1"/>
      <c r="QYH2" s="1"/>
      <c r="QYI2" s="1"/>
      <c r="QYJ2" s="1"/>
      <c r="QYK2" s="1"/>
      <c r="QYL2" s="1"/>
      <c r="QYM2" s="1"/>
      <c r="QYN2" s="1"/>
      <c r="QYO2" s="1"/>
      <c r="QYP2" s="1"/>
      <c r="QYQ2" s="1"/>
      <c r="QYR2" s="1"/>
      <c r="QYS2" s="1"/>
      <c r="QYT2" s="1"/>
      <c r="QYU2" s="1"/>
      <c r="QYV2" s="1"/>
      <c r="QYW2" s="1"/>
      <c r="QYX2" s="1"/>
      <c r="QYY2" s="1"/>
      <c r="QYZ2" s="1"/>
      <c r="QZA2" s="1"/>
      <c r="QZB2" s="1"/>
      <c r="QZC2" s="1"/>
      <c r="QZD2" s="1"/>
      <c r="QZE2" s="1"/>
      <c r="QZF2" s="1"/>
      <c r="QZG2" s="1"/>
      <c r="QZH2" s="1"/>
      <c r="QZI2" s="1"/>
      <c r="QZJ2" s="1"/>
      <c r="QZK2" s="1"/>
      <c r="QZL2" s="1"/>
      <c r="QZM2" s="1"/>
      <c r="QZN2" s="1"/>
      <c r="QZO2" s="1"/>
      <c r="QZP2" s="1"/>
      <c r="QZQ2" s="1"/>
      <c r="QZR2" s="1"/>
      <c r="QZS2" s="1"/>
      <c r="QZT2" s="1"/>
      <c r="QZU2" s="1"/>
      <c r="QZV2" s="1"/>
      <c r="QZW2" s="1"/>
      <c r="QZX2" s="1"/>
      <c r="QZY2" s="1"/>
      <c r="QZZ2" s="1"/>
      <c r="RAA2" s="1"/>
      <c r="RAB2" s="1"/>
      <c r="RAC2" s="1"/>
      <c r="RAD2" s="1"/>
      <c r="RAE2" s="1"/>
      <c r="RAF2" s="1"/>
      <c r="RAG2" s="1"/>
      <c r="RAH2" s="1"/>
      <c r="RAI2" s="1"/>
      <c r="RAJ2" s="1"/>
      <c r="RAK2" s="1"/>
      <c r="RAL2" s="1"/>
      <c r="RAM2" s="1"/>
      <c r="RAN2" s="1"/>
      <c r="RAO2" s="1"/>
      <c r="RAP2" s="1"/>
      <c r="RAQ2" s="1"/>
      <c r="RAR2" s="1"/>
      <c r="RAS2" s="1"/>
      <c r="RAT2" s="1"/>
      <c r="RAU2" s="1"/>
      <c r="RAV2" s="1"/>
      <c r="RAW2" s="1"/>
      <c r="RAX2" s="1"/>
      <c r="RAY2" s="1"/>
      <c r="RAZ2" s="1"/>
      <c r="RBA2" s="1"/>
      <c r="RBB2" s="1"/>
      <c r="RBC2" s="1"/>
      <c r="RBD2" s="1"/>
      <c r="RBE2" s="1"/>
      <c r="RBF2" s="1"/>
      <c r="RBG2" s="1"/>
      <c r="RBH2" s="1"/>
      <c r="RBI2" s="1"/>
      <c r="RBJ2" s="1"/>
      <c r="RBK2" s="1"/>
      <c r="RBL2" s="1"/>
      <c r="RBM2" s="1"/>
      <c r="RBN2" s="1"/>
      <c r="RBO2" s="1"/>
      <c r="RBP2" s="1"/>
      <c r="RBQ2" s="1"/>
      <c r="RBR2" s="1"/>
      <c r="RBS2" s="1"/>
      <c r="RBT2" s="1"/>
      <c r="RBU2" s="1"/>
      <c r="RBV2" s="1"/>
      <c r="RBW2" s="1"/>
      <c r="RBX2" s="1"/>
      <c r="RBY2" s="1"/>
      <c r="RBZ2" s="1"/>
      <c r="RCA2" s="1"/>
      <c r="RCB2" s="1"/>
      <c r="RCC2" s="1"/>
      <c r="RCD2" s="1"/>
      <c r="RCE2" s="1"/>
      <c r="RCF2" s="1"/>
      <c r="RCG2" s="1"/>
      <c r="RCH2" s="1"/>
      <c r="RCI2" s="1"/>
      <c r="RCJ2" s="1"/>
      <c r="RCK2" s="1"/>
      <c r="RCL2" s="1"/>
      <c r="RCM2" s="1"/>
      <c r="RCN2" s="1"/>
      <c r="RCO2" s="1"/>
      <c r="RCP2" s="1"/>
      <c r="RCQ2" s="1"/>
      <c r="RCR2" s="1"/>
      <c r="RCS2" s="1"/>
      <c r="RCT2" s="1"/>
      <c r="RCU2" s="1"/>
      <c r="RCV2" s="1"/>
      <c r="RCW2" s="1"/>
      <c r="RCX2" s="1"/>
      <c r="RCY2" s="1"/>
      <c r="RCZ2" s="1"/>
      <c r="RDA2" s="1"/>
      <c r="RDB2" s="1"/>
      <c r="RDC2" s="1"/>
      <c r="RDD2" s="1"/>
      <c r="RDE2" s="1"/>
      <c r="RDF2" s="1"/>
      <c r="RDG2" s="1"/>
      <c r="RDH2" s="1"/>
      <c r="RDI2" s="1"/>
      <c r="RDJ2" s="1"/>
      <c r="RDK2" s="1"/>
      <c r="RDL2" s="1"/>
      <c r="RDM2" s="1"/>
      <c r="RDN2" s="1"/>
      <c r="RDO2" s="1"/>
      <c r="RDP2" s="1"/>
      <c r="RDQ2" s="1"/>
      <c r="RDR2" s="1"/>
      <c r="RDS2" s="1"/>
      <c r="RDT2" s="1"/>
      <c r="RDU2" s="1"/>
      <c r="RDV2" s="1"/>
      <c r="RDW2" s="1"/>
      <c r="RDX2" s="1"/>
      <c r="RDY2" s="1"/>
      <c r="RDZ2" s="1"/>
      <c r="REA2" s="1"/>
      <c r="REB2" s="1"/>
      <c r="REC2" s="1"/>
      <c r="RED2" s="1"/>
      <c r="REE2" s="1"/>
      <c r="REF2" s="1"/>
      <c r="REG2" s="1"/>
      <c r="REH2" s="1"/>
      <c r="REI2" s="1"/>
      <c r="REJ2" s="1"/>
      <c r="REK2" s="1"/>
      <c r="REL2" s="1"/>
      <c r="REM2" s="1"/>
      <c r="REN2" s="1"/>
      <c r="REO2" s="1"/>
      <c r="REP2" s="1"/>
      <c r="REQ2" s="1"/>
      <c r="RER2" s="1"/>
      <c r="RES2" s="1"/>
      <c r="RET2" s="1"/>
      <c r="REU2" s="1"/>
      <c r="REV2" s="1"/>
      <c r="REW2" s="1"/>
      <c r="REX2" s="1"/>
      <c r="REY2" s="1"/>
      <c r="REZ2" s="1"/>
      <c r="RFA2" s="1"/>
      <c r="RFB2" s="1"/>
      <c r="RFC2" s="1"/>
      <c r="RFD2" s="1"/>
      <c r="RFE2" s="1"/>
      <c r="RFF2" s="1"/>
      <c r="RFG2" s="1"/>
      <c r="RFH2" s="1"/>
      <c r="RFI2" s="1"/>
      <c r="RFJ2" s="1"/>
      <c r="RFK2" s="1"/>
      <c r="RFL2" s="1"/>
      <c r="RFM2" s="1"/>
      <c r="RFN2" s="1"/>
      <c r="RFO2" s="1"/>
      <c r="RFP2" s="1"/>
      <c r="RFQ2" s="1"/>
      <c r="RFR2" s="1"/>
      <c r="RFS2" s="1"/>
      <c r="RFT2" s="1"/>
      <c r="RFU2" s="1"/>
      <c r="RFV2" s="1"/>
      <c r="RFW2" s="1"/>
      <c r="RFX2" s="1"/>
      <c r="RFY2" s="1"/>
      <c r="RFZ2" s="1"/>
      <c r="RGA2" s="1"/>
      <c r="RGB2" s="1"/>
      <c r="RGC2" s="1"/>
      <c r="RGD2" s="1"/>
      <c r="RGE2" s="1"/>
      <c r="RGF2" s="1"/>
      <c r="RGG2" s="1"/>
      <c r="RGH2" s="1"/>
      <c r="RGI2" s="1"/>
      <c r="RGJ2" s="1"/>
      <c r="RGK2" s="1"/>
      <c r="RGL2" s="1"/>
      <c r="RGM2" s="1"/>
      <c r="RGN2" s="1"/>
      <c r="RGO2" s="1"/>
      <c r="RGP2" s="1"/>
      <c r="RGQ2" s="1"/>
      <c r="RGR2" s="1"/>
      <c r="RGS2" s="1"/>
      <c r="RGT2" s="1"/>
      <c r="RGU2" s="1"/>
      <c r="RGV2" s="1"/>
      <c r="RGW2" s="1"/>
      <c r="RGX2" s="1"/>
      <c r="RGY2" s="1"/>
      <c r="RGZ2" s="1"/>
      <c r="RHA2" s="1"/>
      <c r="RHB2" s="1"/>
      <c r="RHC2" s="1"/>
      <c r="RHD2" s="1"/>
      <c r="RHE2" s="1"/>
      <c r="RHF2" s="1"/>
      <c r="RHG2" s="1"/>
      <c r="RHH2" s="1"/>
      <c r="RHI2" s="1"/>
      <c r="RHJ2" s="1"/>
      <c r="RHK2" s="1"/>
      <c r="RHL2" s="1"/>
      <c r="RHM2" s="1"/>
      <c r="RHN2" s="1"/>
      <c r="RHO2" s="1"/>
      <c r="RHP2" s="1"/>
      <c r="RHQ2" s="1"/>
      <c r="RHR2" s="1"/>
      <c r="RHS2" s="1"/>
      <c r="RHT2" s="1"/>
      <c r="RHU2" s="1"/>
      <c r="RHV2" s="1"/>
      <c r="RHW2" s="1"/>
      <c r="RHX2" s="1"/>
      <c r="RHY2" s="1"/>
      <c r="RHZ2" s="1"/>
      <c r="RIA2" s="1"/>
      <c r="RIB2" s="1"/>
      <c r="RIC2" s="1"/>
      <c r="RID2" s="1"/>
      <c r="RIE2" s="1"/>
      <c r="RIF2" s="1"/>
      <c r="RIG2" s="1"/>
      <c r="RIH2" s="1"/>
      <c r="RII2" s="1"/>
      <c r="RIJ2" s="1"/>
      <c r="RIK2" s="1"/>
      <c r="RIL2" s="1"/>
      <c r="RIM2" s="1"/>
      <c r="RIN2" s="1"/>
      <c r="RIO2" s="1"/>
      <c r="RIP2" s="1"/>
      <c r="RIQ2" s="1"/>
      <c r="RIR2" s="1"/>
      <c r="RIS2" s="1"/>
      <c r="RIT2" s="1"/>
      <c r="RIU2" s="1"/>
      <c r="RIV2" s="1"/>
      <c r="RIW2" s="1"/>
      <c r="RIX2" s="1"/>
      <c r="RIY2" s="1"/>
      <c r="RIZ2" s="1"/>
      <c r="RJA2" s="1"/>
      <c r="RJB2" s="1"/>
      <c r="RJC2" s="1"/>
      <c r="RJD2" s="1"/>
      <c r="RJE2" s="1"/>
      <c r="RJF2" s="1"/>
      <c r="RJG2" s="1"/>
      <c r="RJH2" s="1"/>
      <c r="RJI2" s="1"/>
      <c r="RJJ2" s="1"/>
      <c r="RJK2" s="1"/>
      <c r="RJL2" s="1"/>
      <c r="RJM2" s="1"/>
      <c r="RJN2" s="1"/>
      <c r="RJO2" s="1"/>
      <c r="RJP2" s="1"/>
      <c r="RJQ2" s="1"/>
      <c r="RJR2" s="1"/>
      <c r="RJS2" s="1"/>
      <c r="RJT2" s="1"/>
      <c r="RJU2" s="1"/>
      <c r="RJV2" s="1"/>
      <c r="RJW2" s="1"/>
      <c r="RJX2" s="1"/>
      <c r="RJY2" s="1"/>
      <c r="RJZ2" s="1"/>
      <c r="RKA2" s="1"/>
      <c r="RKB2" s="1"/>
      <c r="RKC2" s="1"/>
      <c r="RKD2" s="1"/>
      <c r="RKE2" s="1"/>
      <c r="RKF2" s="1"/>
      <c r="RKG2" s="1"/>
      <c r="RKH2" s="1"/>
      <c r="RKI2" s="1"/>
      <c r="RKJ2" s="1"/>
      <c r="RKK2" s="1"/>
      <c r="RKL2" s="1"/>
      <c r="RKM2" s="1"/>
      <c r="RKN2" s="1"/>
      <c r="RKO2" s="1"/>
      <c r="RKP2" s="1"/>
      <c r="RKQ2" s="1"/>
      <c r="RKR2" s="1"/>
      <c r="RKS2" s="1"/>
      <c r="RKT2" s="1"/>
      <c r="RKU2" s="1"/>
      <c r="RKV2" s="1"/>
      <c r="RKW2" s="1"/>
      <c r="RKX2" s="1"/>
      <c r="RKY2" s="1"/>
      <c r="RKZ2" s="1"/>
      <c r="RLA2" s="1"/>
      <c r="RLB2" s="1"/>
      <c r="RLC2" s="1"/>
      <c r="RLD2" s="1"/>
      <c r="RLE2" s="1"/>
      <c r="RLF2" s="1"/>
      <c r="RLG2" s="1"/>
      <c r="RLH2" s="1"/>
      <c r="RLI2" s="1"/>
      <c r="RLJ2" s="1"/>
      <c r="RLK2" s="1"/>
      <c r="RLL2" s="1"/>
      <c r="RLM2" s="1"/>
      <c r="RLN2" s="1"/>
      <c r="RLO2" s="1"/>
      <c r="RLP2" s="1"/>
      <c r="RLQ2" s="1"/>
      <c r="RLR2" s="1"/>
      <c r="RLS2" s="1"/>
      <c r="RLT2" s="1"/>
      <c r="RLU2" s="1"/>
      <c r="RLV2" s="1"/>
      <c r="RLW2" s="1"/>
      <c r="RLX2" s="1"/>
      <c r="RLY2" s="1"/>
      <c r="RLZ2" s="1"/>
      <c r="RMA2" s="1"/>
      <c r="RMB2" s="1"/>
      <c r="RMC2" s="1"/>
      <c r="RMD2" s="1"/>
      <c r="RME2" s="1"/>
      <c r="RMF2" s="1"/>
      <c r="RMG2" s="1"/>
      <c r="RMH2" s="1"/>
      <c r="RMI2" s="1"/>
      <c r="RMJ2" s="1"/>
      <c r="RMK2" s="1"/>
      <c r="RML2" s="1"/>
      <c r="RMM2" s="1"/>
      <c r="RMN2" s="1"/>
      <c r="RMO2" s="1"/>
      <c r="RMP2" s="1"/>
      <c r="RMQ2" s="1"/>
      <c r="RMR2" s="1"/>
      <c r="RMS2" s="1"/>
      <c r="RMT2" s="1"/>
      <c r="RMU2" s="1"/>
      <c r="RMV2" s="1"/>
      <c r="RMW2" s="1"/>
      <c r="RMX2" s="1"/>
      <c r="RMY2" s="1"/>
      <c r="RMZ2" s="1"/>
      <c r="RNA2" s="1"/>
      <c r="RNB2" s="1"/>
      <c r="RNC2" s="1"/>
      <c r="RND2" s="1"/>
      <c r="RNE2" s="1"/>
      <c r="RNF2" s="1"/>
      <c r="RNG2" s="1"/>
      <c r="RNH2" s="1"/>
      <c r="RNI2" s="1"/>
      <c r="RNJ2" s="1"/>
      <c r="RNK2" s="1"/>
      <c r="RNL2" s="1"/>
      <c r="RNM2" s="1"/>
      <c r="RNN2" s="1"/>
      <c r="RNO2" s="1"/>
      <c r="RNP2" s="1"/>
      <c r="RNQ2" s="1"/>
      <c r="RNR2" s="1"/>
      <c r="RNS2" s="1"/>
      <c r="RNT2" s="1"/>
      <c r="RNU2" s="1"/>
      <c r="RNV2" s="1"/>
      <c r="RNW2" s="1"/>
      <c r="RNX2" s="1"/>
      <c r="RNY2" s="1"/>
      <c r="RNZ2" s="1"/>
      <c r="ROA2" s="1"/>
      <c r="ROB2" s="1"/>
      <c r="ROC2" s="1"/>
      <c r="ROD2" s="1"/>
      <c r="ROE2" s="1"/>
      <c r="ROF2" s="1"/>
      <c r="ROG2" s="1"/>
      <c r="ROH2" s="1"/>
      <c r="ROI2" s="1"/>
      <c r="ROJ2" s="1"/>
      <c r="ROK2" s="1"/>
      <c r="ROL2" s="1"/>
      <c r="ROM2" s="1"/>
      <c r="RON2" s="1"/>
      <c r="ROO2" s="1"/>
      <c r="ROP2" s="1"/>
      <c r="ROQ2" s="1"/>
      <c r="ROR2" s="1"/>
      <c r="ROS2" s="1"/>
      <c r="ROT2" s="1"/>
      <c r="ROU2" s="1"/>
      <c r="ROV2" s="1"/>
      <c r="ROW2" s="1"/>
      <c r="ROX2" s="1"/>
      <c r="ROY2" s="1"/>
      <c r="ROZ2" s="1"/>
      <c r="RPA2" s="1"/>
      <c r="RPB2" s="1"/>
      <c r="RPC2" s="1"/>
      <c r="RPD2" s="1"/>
      <c r="RPE2" s="1"/>
      <c r="RPF2" s="1"/>
      <c r="RPG2" s="1"/>
      <c r="RPH2" s="1"/>
      <c r="RPI2" s="1"/>
      <c r="RPJ2" s="1"/>
      <c r="RPK2" s="1"/>
      <c r="RPL2" s="1"/>
      <c r="RPM2" s="1"/>
      <c r="RPN2" s="1"/>
      <c r="RPO2" s="1"/>
      <c r="RPP2" s="1"/>
      <c r="RPQ2" s="1"/>
      <c r="RPR2" s="1"/>
      <c r="RPS2" s="1"/>
      <c r="RPT2" s="1"/>
      <c r="RPU2" s="1"/>
      <c r="RPV2" s="1"/>
      <c r="RPW2" s="1"/>
      <c r="RPX2" s="1"/>
      <c r="RPY2" s="1"/>
      <c r="RPZ2" s="1"/>
      <c r="RQA2" s="1"/>
      <c r="RQB2" s="1"/>
      <c r="RQC2" s="1"/>
      <c r="RQD2" s="1"/>
      <c r="RQE2" s="1"/>
      <c r="RQF2" s="1"/>
      <c r="RQG2" s="1"/>
      <c r="RQH2" s="1"/>
      <c r="RQI2" s="1"/>
      <c r="RQJ2" s="1"/>
      <c r="RQK2" s="1"/>
      <c r="RQL2" s="1"/>
      <c r="RQM2" s="1"/>
      <c r="RQN2" s="1"/>
      <c r="RQO2" s="1"/>
      <c r="RQP2" s="1"/>
      <c r="RQQ2" s="1"/>
      <c r="RQR2" s="1"/>
      <c r="RQS2" s="1"/>
      <c r="RQT2" s="1"/>
      <c r="RQU2" s="1"/>
      <c r="RQV2" s="1"/>
      <c r="RQW2" s="1"/>
      <c r="RQX2" s="1"/>
      <c r="RQY2" s="1"/>
      <c r="RQZ2" s="1"/>
      <c r="RRA2" s="1"/>
      <c r="RRB2" s="1"/>
      <c r="RRC2" s="1"/>
      <c r="RRD2" s="1"/>
      <c r="RRE2" s="1"/>
      <c r="RRF2" s="1"/>
      <c r="RRG2" s="1"/>
      <c r="RRH2" s="1"/>
      <c r="RRI2" s="1"/>
      <c r="RRJ2" s="1"/>
      <c r="RRK2" s="1"/>
      <c r="RRL2" s="1"/>
      <c r="RRM2" s="1"/>
      <c r="RRN2" s="1"/>
      <c r="RRO2" s="1"/>
      <c r="RRP2" s="1"/>
      <c r="RRQ2" s="1"/>
      <c r="RRR2" s="1"/>
      <c r="RRS2" s="1"/>
      <c r="RRT2" s="1"/>
      <c r="RRU2" s="1"/>
      <c r="RRV2" s="1"/>
      <c r="RRW2" s="1"/>
      <c r="RRX2" s="1"/>
      <c r="RRY2" s="1"/>
      <c r="RRZ2" s="1"/>
      <c r="RSA2" s="1"/>
      <c r="RSB2" s="1"/>
      <c r="RSC2" s="1"/>
      <c r="RSD2" s="1"/>
      <c r="RSE2" s="1"/>
      <c r="RSF2" s="1"/>
      <c r="RSG2" s="1"/>
      <c r="RSH2" s="1"/>
      <c r="RSI2" s="1"/>
      <c r="RSJ2" s="1"/>
      <c r="RSK2" s="1"/>
      <c r="RSL2" s="1"/>
      <c r="RSM2" s="1"/>
      <c r="RSN2" s="1"/>
      <c r="RSO2" s="1"/>
      <c r="RSP2" s="1"/>
      <c r="RSQ2" s="1"/>
      <c r="RSR2" s="1"/>
      <c r="RSS2" s="1"/>
      <c r="RST2" s="1"/>
      <c r="RSU2" s="1"/>
      <c r="RSV2" s="1"/>
      <c r="RSW2" s="1"/>
      <c r="RSX2" s="1"/>
      <c r="RSY2" s="1"/>
      <c r="RSZ2" s="1"/>
      <c r="RTA2" s="1"/>
      <c r="RTB2" s="1"/>
      <c r="RTC2" s="1"/>
      <c r="RTD2" s="1"/>
      <c r="RTE2" s="1"/>
      <c r="RTF2" s="1"/>
      <c r="RTG2" s="1"/>
      <c r="RTH2" s="1"/>
      <c r="RTI2" s="1"/>
      <c r="RTJ2" s="1"/>
      <c r="RTK2" s="1"/>
      <c r="RTL2" s="1"/>
      <c r="RTM2" s="1"/>
      <c r="RTN2" s="1"/>
      <c r="RTO2" s="1"/>
      <c r="RTP2" s="1"/>
      <c r="RTQ2" s="1"/>
      <c r="RTR2" s="1"/>
      <c r="RTS2" s="1"/>
      <c r="RTT2" s="1"/>
      <c r="RTU2" s="1"/>
      <c r="RTV2" s="1"/>
      <c r="RTW2" s="1"/>
      <c r="RTX2" s="1"/>
      <c r="RTY2" s="1"/>
      <c r="RTZ2" s="1"/>
      <c r="RUA2" s="1"/>
      <c r="RUB2" s="1"/>
      <c r="RUC2" s="1"/>
      <c r="RUD2" s="1"/>
      <c r="RUE2" s="1"/>
      <c r="RUF2" s="1"/>
      <c r="RUG2" s="1"/>
      <c r="RUH2" s="1"/>
      <c r="RUI2" s="1"/>
      <c r="RUJ2" s="1"/>
      <c r="RUK2" s="1"/>
      <c r="RUL2" s="1"/>
      <c r="RUM2" s="1"/>
      <c r="RUN2" s="1"/>
      <c r="RUO2" s="1"/>
      <c r="RUP2" s="1"/>
      <c r="RUQ2" s="1"/>
      <c r="RUR2" s="1"/>
      <c r="RUS2" s="1"/>
      <c r="RUT2" s="1"/>
      <c r="RUU2" s="1"/>
      <c r="RUV2" s="1"/>
      <c r="RUW2" s="1"/>
      <c r="RUX2" s="1"/>
      <c r="RUY2" s="1"/>
      <c r="RUZ2" s="1"/>
      <c r="RVA2" s="1"/>
      <c r="RVB2" s="1"/>
      <c r="RVC2" s="1"/>
      <c r="RVD2" s="1"/>
      <c r="RVE2" s="1"/>
      <c r="RVF2" s="1"/>
      <c r="RVG2" s="1"/>
      <c r="RVH2" s="1"/>
      <c r="RVI2" s="1"/>
      <c r="RVJ2" s="1"/>
      <c r="RVK2" s="1"/>
      <c r="RVL2" s="1"/>
      <c r="RVM2" s="1"/>
      <c r="RVN2" s="1"/>
      <c r="RVO2" s="1"/>
      <c r="RVP2" s="1"/>
      <c r="RVQ2" s="1"/>
      <c r="RVR2" s="1"/>
      <c r="RVS2" s="1"/>
      <c r="RVT2" s="1"/>
      <c r="RVU2" s="1"/>
      <c r="RVV2" s="1"/>
      <c r="RVW2" s="1"/>
      <c r="RVX2" s="1"/>
      <c r="RVY2" s="1"/>
      <c r="RVZ2" s="1"/>
      <c r="RWA2" s="1"/>
      <c r="RWB2" s="1"/>
      <c r="RWC2" s="1"/>
      <c r="RWD2" s="1"/>
      <c r="RWE2" s="1"/>
      <c r="RWF2" s="1"/>
      <c r="RWG2" s="1"/>
      <c r="RWH2" s="1"/>
      <c r="RWI2" s="1"/>
      <c r="RWJ2" s="1"/>
      <c r="RWK2" s="1"/>
      <c r="RWL2" s="1"/>
      <c r="RWM2" s="1"/>
      <c r="RWN2" s="1"/>
      <c r="RWO2" s="1"/>
      <c r="RWP2" s="1"/>
      <c r="RWQ2" s="1"/>
      <c r="RWR2" s="1"/>
      <c r="RWS2" s="1"/>
      <c r="RWT2" s="1"/>
      <c r="RWU2" s="1"/>
      <c r="RWV2" s="1"/>
      <c r="RWW2" s="1"/>
      <c r="RWX2" s="1"/>
      <c r="RWY2" s="1"/>
      <c r="RWZ2" s="1"/>
      <c r="RXA2" s="1"/>
      <c r="RXB2" s="1"/>
      <c r="RXC2" s="1"/>
      <c r="RXD2" s="1"/>
      <c r="RXE2" s="1"/>
      <c r="RXF2" s="1"/>
      <c r="RXG2" s="1"/>
      <c r="RXH2" s="1"/>
      <c r="RXI2" s="1"/>
      <c r="RXJ2" s="1"/>
      <c r="RXK2" s="1"/>
      <c r="RXL2" s="1"/>
      <c r="RXM2" s="1"/>
      <c r="RXN2" s="1"/>
      <c r="RXO2" s="1"/>
      <c r="RXP2" s="1"/>
      <c r="RXQ2" s="1"/>
      <c r="RXR2" s="1"/>
      <c r="RXS2" s="1"/>
      <c r="RXT2" s="1"/>
      <c r="RXU2" s="1"/>
      <c r="RXV2" s="1"/>
      <c r="RXW2" s="1"/>
      <c r="RXX2" s="1"/>
      <c r="RXY2" s="1"/>
      <c r="RXZ2" s="1"/>
      <c r="RYA2" s="1"/>
      <c r="RYB2" s="1"/>
      <c r="RYC2" s="1"/>
      <c r="RYD2" s="1"/>
      <c r="RYE2" s="1"/>
      <c r="RYF2" s="1"/>
      <c r="RYG2" s="1"/>
      <c r="RYH2" s="1"/>
      <c r="RYI2" s="1"/>
      <c r="RYJ2" s="1"/>
      <c r="RYK2" s="1"/>
      <c r="RYL2" s="1"/>
      <c r="RYM2" s="1"/>
      <c r="RYN2" s="1"/>
      <c r="RYO2" s="1"/>
      <c r="RYP2" s="1"/>
      <c r="RYQ2" s="1"/>
      <c r="RYR2" s="1"/>
      <c r="RYS2" s="1"/>
      <c r="RYT2" s="1"/>
      <c r="RYU2" s="1"/>
      <c r="RYV2" s="1"/>
      <c r="RYW2" s="1"/>
      <c r="RYX2" s="1"/>
      <c r="RYY2" s="1"/>
      <c r="RYZ2" s="1"/>
      <c r="RZA2" s="1"/>
      <c r="RZB2" s="1"/>
      <c r="RZC2" s="1"/>
      <c r="RZD2" s="1"/>
      <c r="RZE2" s="1"/>
      <c r="RZF2" s="1"/>
      <c r="RZG2" s="1"/>
      <c r="RZH2" s="1"/>
      <c r="RZI2" s="1"/>
      <c r="RZJ2" s="1"/>
      <c r="RZK2" s="1"/>
      <c r="RZL2" s="1"/>
      <c r="RZM2" s="1"/>
      <c r="RZN2" s="1"/>
      <c r="RZO2" s="1"/>
      <c r="RZP2" s="1"/>
      <c r="RZQ2" s="1"/>
      <c r="RZR2" s="1"/>
      <c r="RZS2" s="1"/>
      <c r="RZT2" s="1"/>
      <c r="RZU2" s="1"/>
      <c r="RZV2" s="1"/>
      <c r="RZW2" s="1"/>
      <c r="RZX2" s="1"/>
      <c r="RZY2" s="1"/>
      <c r="RZZ2" s="1"/>
      <c r="SAA2" s="1"/>
      <c r="SAB2" s="1"/>
      <c r="SAC2" s="1"/>
      <c r="SAD2" s="1"/>
      <c r="SAE2" s="1"/>
      <c r="SAF2" s="1"/>
      <c r="SAG2" s="1"/>
      <c r="SAH2" s="1"/>
      <c r="SAI2" s="1"/>
      <c r="SAJ2" s="1"/>
      <c r="SAK2" s="1"/>
      <c r="SAL2" s="1"/>
      <c r="SAM2" s="1"/>
      <c r="SAN2" s="1"/>
      <c r="SAO2" s="1"/>
      <c r="SAP2" s="1"/>
      <c r="SAQ2" s="1"/>
      <c r="SAR2" s="1"/>
      <c r="SAS2" s="1"/>
      <c r="SAT2" s="1"/>
      <c r="SAU2" s="1"/>
      <c r="SAV2" s="1"/>
      <c r="SAW2" s="1"/>
      <c r="SAX2" s="1"/>
      <c r="SAY2" s="1"/>
      <c r="SAZ2" s="1"/>
      <c r="SBA2" s="1"/>
      <c r="SBB2" s="1"/>
      <c r="SBC2" s="1"/>
      <c r="SBD2" s="1"/>
      <c r="SBE2" s="1"/>
      <c r="SBF2" s="1"/>
      <c r="SBG2" s="1"/>
      <c r="SBH2" s="1"/>
      <c r="SBI2" s="1"/>
      <c r="SBJ2" s="1"/>
      <c r="SBK2" s="1"/>
      <c r="SBL2" s="1"/>
      <c r="SBM2" s="1"/>
      <c r="SBN2" s="1"/>
      <c r="SBO2" s="1"/>
      <c r="SBP2" s="1"/>
      <c r="SBQ2" s="1"/>
      <c r="SBR2" s="1"/>
      <c r="SBS2" s="1"/>
      <c r="SBT2" s="1"/>
      <c r="SBU2" s="1"/>
      <c r="SBV2" s="1"/>
      <c r="SBW2" s="1"/>
      <c r="SBX2" s="1"/>
      <c r="SBY2" s="1"/>
      <c r="SBZ2" s="1"/>
      <c r="SCA2" s="1"/>
      <c r="SCB2" s="1"/>
      <c r="SCC2" s="1"/>
      <c r="SCD2" s="1"/>
      <c r="SCE2" s="1"/>
      <c r="SCF2" s="1"/>
      <c r="SCG2" s="1"/>
      <c r="SCH2" s="1"/>
      <c r="SCI2" s="1"/>
      <c r="SCJ2" s="1"/>
      <c r="SCK2" s="1"/>
      <c r="SCL2" s="1"/>
      <c r="SCM2" s="1"/>
      <c r="SCN2" s="1"/>
      <c r="SCO2" s="1"/>
      <c r="SCP2" s="1"/>
      <c r="SCQ2" s="1"/>
      <c r="SCR2" s="1"/>
      <c r="SCS2" s="1"/>
      <c r="SCT2" s="1"/>
      <c r="SCU2" s="1"/>
      <c r="SCV2" s="1"/>
      <c r="SCW2" s="1"/>
      <c r="SCX2" s="1"/>
      <c r="SCY2" s="1"/>
      <c r="SCZ2" s="1"/>
      <c r="SDA2" s="1"/>
      <c r="SDB2" s="1"/>
      <c r="SDC2" s="1"/>
      <c r="SDD2" s="1"/>
      <c r="SDE2" s="1"/>
      <c r="SDF2" s="1"/>
      <c r="SDG2" s="1"/>
      <c r="SDH2" s="1"/>
      <c r="SDI2" s="1"/>
      <c r="SDJ2" s="1"/>
      <c r="SDK2" s="1"/>
      <c r="SDL2" s="1"/>
      <c r="SDM2" s="1"/>
      <c r="SDN2" s="1"/>
      <c r="SDO2" s="1"/>
      <c r="SDP2" s="1"/>
      <c r="SDQ2" s="1"/>
      <c r="SDR2" s="1"/>
      <c r="SDS2" s="1"/>
      <c r="SDT2" s="1"/>
      <c r="SDU2" s="1"/>
      <c r="SDV2" s="1"/>
      <c r="SDW2" s="1"/>
      <c r="SDX2" s="1"/>
      <c r="SDY2" s="1"/>
      <c r="SDZ2" s="1"/>
      <c r="SEA2" s="1"/>
      <c r="SEB2" s="1"/>
      <c r="SEC2" s="1"/>
      <c r="SED2" s="1"/>
      <c r="SEE2" s="1"/>
      <c r="SEF2" s="1"/>
      <c r="SEG2" s="1"/>
      <c r="SEH2" s="1"/>
      <c r="SEI2" s="1"/>
      <c r="SEJ2" s="1"/>
      <c r="SEK2" s="1"/>
      <c r="SEL2" s="1"/>
      <c r="SEM2" s="1"/>
      <c r="SEN2" s="1"/>
      <c r="SEO2" s="1"/>
      <c r="SEP2" s="1"/>
      <c r="SEQ2" s="1"/>
      <c r="SER2" s="1"/>
      <c r="SES2" s="1"/>
      <c r="SET2" s="1"/>
      <c r="SEU2" s="1"/>
      <c r="SEV2" s="1"/>
      <c r="SEW2" s="1"/>
      <c r="SEX2" s="1"/>
      <c r="SEY2" s="1"/>
      <c r="SEZ2" s="1"/>
      <c r="SFA2" s="1"/>
      <c r="SFB2" s="1"/>
      <c r="SFC2" s="1"/>
      <c r="SFD2" s="1"/>
      <c r="SFE2" s="1"/>
      <c r="SFF2" s="1"/>
      <c r="SFG2" s="1"/>
      <c r="SFH2" s="1"/>
      <c r="SFI2" s="1"/>
      <c r="SFJ2" s="1"/>
      <c r="SFK2" s="1"/>
      <c r="SFL2" s="1"/>
      <c r="SFM2" s="1"/>
      <c r="SFN2" s="1"/>
      <c r="SFO2" s="1"/>
      <c r="SFP2" s="1"/>
      <c r="SFQ2" s="1"/>
      <c r="SFR2" s="1"/>
      <c r="SFS2" s="1"/>
      <c r="SFT2" s="1"/>
      <c r="SFU2" s="1"/>
      <c r="SFV2" s="1"/>
      <c r="SFW2" s="1"/>
      <c r="SFX2" s="1"/>
      <c r="SFY2" s="1"/>
      <c r="SFZ2" s="1"/>
      <c r="SGA2" s="1"/>
      <c r="SGB2" s="1"/>
      <c r="SGC2" s="1"/>
      <c r="SGD2" s="1"/>
      <c r="SGE2" s="1"/>
      <c r="SGF2" s="1"/>
      <c r="SGG2" s="1"/>
      <c r="SGH2" s="1"/>
      <c r="SGI2" s="1"/>
      <c r="SGJ2" s="1"/>
      <c r="SGK2" s="1"/>
      <c r="SGL2" s="1"/>
      <c r="SGM2" s="1"/>
      <c r="SGN2" s="1"/>
      <c r="SGO2" s="1"/>
      <c r="SGP2" s="1"/>
      <c r="SGQ2" s="1"/>
      <c r="SGR2" s="1"/>
      <c r="SGS2" s="1"/>
      <c r="SGT2" s="1"/>
      <c r="SGU2" s="1"/>
      <c r="SGV2" s="1"/>
      <c r="SGW2" s="1"/>
      <c r="SGX2" s="1"/>
      <c r="SGY2" s="1"/>
      <c r="SGZ2" s="1"/>
      <c r="SHA2" s="1"/>
      <c r="SHB2" s="1"/>
      <c r="SHC2" s="1"/>
      <c r="SHD2" s="1"/>
      <c r="SHE2" s="1"/>
      <c r="SHF2" s="1"/>
      <c r="SHG2" s="1"/>
      <c r="SHH2" s="1"/>
      <c r="SHI2" s="1"/>
      <c r="SHJ2" s="1"/>
      <c r="SHK2" s="1"/>
      <c r="SHL2" s="1"/>
      <c r="SHM2" s="1"/>
      <c r="SHN2" s="1"/>
      <c r="SHO2" s="1"/>
      <c r="SHP2" s="1"/>
      <c r="SHQ2" s="1"/>
      <c r="SHR2" s="1"/>
      <c r="SHS2" s="1"/>
      <c r="SHT2" s="1"/>
      <c r="SHU2" s="1"/>
      <c r="SHV2" s="1"/>
      <c r="SHW2" s="1"/>
      <c r="SHX2" s="1"/>
      <c r="SHY2" s="1"/>
      <c r="SHZ2" s="1"/>
      <c r="SIA2" s="1"/>
      <c r="SIB2" s="1"/>
      <c r="SIC2" s="1"/>
      <c r="SID2" s="1"/>
      <c r="SIE2" s="1"/>
      <c r="SIF2" s="1"/>
      <c r="SIG2" s="1"/>
      <c r="SIH2" s="1"/>
      <c r="SII2" s="1"/>
      <c r="SIJ2" s="1"/>
      <c r="SIK2" s="1"/>
      <c r="SIL2" s="1"/>
      <c r="SIM2" s="1"/>
      <c r="SIN2" s="1"/>
      <c r="SIO2" s="1"/>
      <c r="SIP2" s="1"/>
      <c r="SIQ2" s="1"/>
      <c r="SIR2" s="1"/>
      <c r="SIS2" s="1"/>
      <c r="SIT2" s="1"/>
      <c r="SIU2" s="1"/>
      <c r="SIV2" s="1"/>
      <c r="SIW2" s="1"/>
      <c r="SIX2" s="1"/>
      <c r="SIY2" s="1"/>
      <c r="SIZ2" s="1"/>
      <c r="SJA2" s="1"/>
      <c r="SJB2" s="1"/>
      <c r="SJC2" s="1"/>
      <c r="SJD2" s="1"/>
      <c r="SJE2" s="1"/>
      <c r="SJF2" s="1"/>
      <c r="SJG2" s="1"/>
      <c r="SJH2" s="1"/>
      <c r="SJI2" s="1"/>
      <c r="SJJ2" s="1"/>
      <c r="SJK2" s="1"/>
      <c r="SJL2" s="1"/>
      <c r="SJM2" s="1"/>
      <c r="SJN2" s="1"/>
      <c r="SJO2" s="1"/>
      <c r="SJP2" s="1"/>
      <c r="SJQ2" s="1"/>
      <c r="SJR2" s="1"/>
      <c r="SJS2" s="1"/>
      <c r="SJT2" s="1"/>
      <c r="SJU2" s="1"/>
      <c r="SJV2" s="1"/>
      <c r="SJW2" s="1"/>
      <c r="SJX2" s="1"/>
      <c r="SJY2" s="1"/>
      <c r="SJZ2" s="1"/>
      <c r="SKA2" s="1"/>
      <c r="SKB2" s="1"/>
      <c r="SKC2" s="1"/>
      <c r="SKD2" s="1"/>
      <c r="SKE2" s="1"/>
      <c r="SKF2" s="1"/>
      <c r="SKG2" s="1"/>
      <c r="SKH2" s="1"/>
      <c r="SKI2" s="1"/>
      <c r="SKJ2" s="1"/>
      <c r="SKK2" s="1"/>
      <c r="SKL2" s="1"/>
      <c r="SKM2" s="1"/>
      <c r="SKN2" s="1"/>
      <c r="SKO2" s="1"/>
      <c r="SKP2" s="1"/>
      <c r="SKQ2" s="1"/>
      <c r="SKR2" s="1"/>
      <c r="SKS2" s="1"/>
      <c r="SKT2" s="1"/>
      <c r="SKU2" s="1"/>
      <c r="SKV2" s="1"/>
      <c r="SKW2" s="1"/>
      <c r="SKX2" s="1"/>
      <c r="SKY2" s="1"/>
      <c r="SKZ2" s="1"/>
      <c r="SLA2" s="1"/>
      <c r="SLB2" s="1"/>
      <c r="SLC2" s="1"/>
      <c r="SLD2" s="1"/>
      <c r="SLE2" s="1"/>
      <c r="SLF2" s="1"/>
      <c r="SLG2" s="1"/>
      <c r="SLH2" s="1"/>
      <c r="SLI2" s="1"/>
      <c r="SLJ2" s="1"/>
      <c r="SLK2" s="1"/>
      <c r="SLL2" s="1"/>
      <c r="SLM2" s="1"/>
      <c r="SLN2" s="1"/>
      <c r="SLO2" s="1"/>
      <c r="SLP2" s="1"/>
      <c r="SLQ2" s="1"/>
      <c r="SLR2" s="1"/>
      <c r="SLS2" s="1"/>
      <c r="SLT2" s="1"/>
      <c r="SLU2" s="1"/>
      <c r="SLV2" s="1"/>
      <c r="SLW2" s="1"/>
      <c r="SLX2" s="1"/>
      <c r="SLY2" s="1"/>
      <c r="SLZ2" s="1"/>
      <c r="SMA2" s="1"/>
      <c r="SMB2" s="1"/>
      <c r="SMC2" s="1"/>
      <c r="SMD2" s="1"/>
      <c r="SME2" s="1"/>
      <c r="SMF2" s="1"/>
      <c r="SMG2" s="1"/>
      <c r="SMH2" s="1"/>
      <c r="SMI2" s="1"/>
      <c r="SMJ2" s="1"/>
      <c r="SMK2" s="1"/>
      <c r="SML2" s="1"/>
      <c r="SMM2" s="1"/>
      <c r="SMN2" s="1"/>
      <c r="SMO2" s="1"/>
      <c r="SMP2" s="1"/>
      <c r="SMQ2" s="1"/>
      <c r="SMR2" s="1"/>
      <c r="SMS2" s="1"/>
      <c r="SMT2" s="1"/>
      <c r="SMU2" s="1"/>
      <c r="SMV2" s="1"/>
      <c r="SMW2" s="1"/>
      <c r="SMX2" s="1"/>
      <c r="SMY2" s="1"/>
      <c r="SMZ2" s="1"/>
      <c r="SNA2" s="1"/>
      <c r="SNB2" s="1"/>
      <c r="SNC2" s="1"/>
      <c r="SND2" s="1"/>
      <c r="SNE2" s="1"/>
      <c r="SNF2" s="1"/>
      <c r="SNG2" s="1"/>
      <c r="SNH2" s="1"/>
      <c r="SNI2" s="1"/>
      <c r="SNJ2" s="1"/>
      <c r="SNK2" s="1"/>
      <c r="SNL2" s="1"/>
      <c r="SNM2" s="1"/>
      <c r="SNN2" s="1"/>
      <c r="SNO2" s="1"/>
      <c r="SNP2" s="1"/>
      <c r="SNQ2" s="1"/>
      <c r="SNR2" s="1"/>
      <c r="SNS2" s="1"/>
      <c r="SNT2" s="1"/>
      <c r="SNU2" s="1"/>
      <c r="SNV2" s="1"/>
      <c r="SNW2" s="1"/>
      <c r="SNX2" s="1"/>
      <c r="SNY2" s="1"/>
      <c r="SNZ2" s="1"/>
      <c r="SOA2" s="1"/>
      <c r="SOB2" s="1"/>
      <c r="SOC2" s="1"/>
      <c r="SOD2" s="1"/>
      <c r="SOE2" s="1"/>
      <c r="SOF2" s="1"/>
      <c r="SOG2" s="1"/>
      <c r="SOH2" s="1"/>
      <c r="SOI2" s="1"/>
      <c r="SOJ2" s="1"/>
      <c r="SOK2" s="1"/>
      <c r="SOL2" s="1"/>
      <c r="SOM2" s="1"/>
      <c r="SON2" s="1"/>
      <c r="SOO2" s="1"/>
      <c r="SOP2" s="1"/>
      <c r="SOQ2" s="1"/>
      <c r="SOR2" s="1"/>
      <c r="SOS2" s="1"/>
      <c r="SOT2" s="1"/>
      <c r="SOU2" s="1"/>
      <c r="SOV2" s="1"/>
      <c r="SOW2" s="1"/>
      <c r="SOX2" s="1"/>
      <c r="SOY2" s="1"/>
      <c r="SOZ2" s="1"/>
      <c r="SPA2" s="1"/>
      <c r="SPB2" s="1"/>
      <c r="SPC2" s="1"/>
      <c r="SPD2" s="1"/>
      <c r="SPE2" s="1"/>
      <c r="SPF2" s="1"/>
      <c r="SPG2" s="1"/>
      <c r="SPH2" s="1"/>
      <c r="SPI2" s="1"/>
      <c r="SPJ2" s="1"/>
      <c r="SPK2" s="1"/>
      <c r="SPL2" s="1"/>
      <c r="SPM2" s="1"/>
      <c r="SPN2" s="1"/>
      <c r="SPO2" s="1"/>
      <c r="SPP2" s="1"/>
      <c r="SPQ2" s="1"/>
      <c r="SPR2" s="1"/>
      <c r="SPS2" s="1"/>
      <c r="SPT2" s="1"/>
      <c r="SPU2" s="1"/>
      <c r="SPV2" s="1"/>
      <c r="SPW2" s="1"/>
      <c r="SPX2" s="1"/>
      <c r="SPY2" s="1"/>
      <c r="SPZ2" s="1"/>
      <c r="SQA2" s="1"/>
      <c r="SQB2" s="1"/>
      <c r="SQC2" s="1"/>
      <c r="SQD2" s="1"/>
      <c r="SQE2" s="1"/>
      <c r="SQF2" s="1"/>
      <c r="SQG2" s="1"/>
      <c r="SQH2" s="1"/>
      <c r="SQI2" s="1"/>
      <c r="SQJ2" s="1"/>
      <c r="SQK2" s="1"/>
      <c r="SQL2" s="1"/>
      <c r="SQM2" s="1"/>
      <c r="SQN2" s="1"/>
      <c r="SQO2" s="1"/>
      <c r="SQP2" s="1"/>
      <c r="SQQ2" s="1"/>
      <c r="SQR2" s="1"/>
      <c r="SQS2" s="1"/>
      <c r="SQT2" s="1"/>
      <c r="SQU2" s="1"/>
      <c r="SQV2" s="1"/>
      <c r="SQW2" s="1"/>
      <c r="SQX2" s="1"/>
      <c r="SQY2" s="1"/>
      <c r="SQZ2" s="1"/>
      <c r="SRA2" s="1"/>
      <c r="SRB2" s="1"/>
      <c r="SRC2" s="1"/>
      <c r="SRD2" s="1"/>
      <c r="SRE2" s="1"/>
      <c r="SRF2" s="1"/>
      <c r="SRG2" s="1"/>
      <c r="SRH2" s="1"/>
      <c r="SRI2" s="1"/>
      <c r="SRJ2" s="1"/>
      <c r="SRK2" s="1"/>
      <c r="SRL2" s="1"/>
      <c r="SRM2" s="1"/>
      <c r="SRN2" s="1"/>
      <c r="SRO2" s="1"/>
      <c r="SRP2" s="1"/>
      <c r="SRQ2" s="1"/>
      <c r="SRR2" s="1"/>
      <c r="SRS2" s="1"/>
      <c r="SRT2" s="1"/>
      <c r="SRU2" s="1"/>
      <c r="SRV2" s="1"/>
      <c r="SRW2" s="1"/>
      <c r="SRX2" s="1"/>
      <c r="SRY2" s="1"/>
      <c r="SRZ2" s="1"/>
      <c r="SSA2" s="1"/>
      <c r="SSB2" s="1"/>
      <c r="SSC2" s="1"/>
      <c r="SSD2" s="1"/>
      <c r="SSE2" s="1"/>
      <c r="SSF2" s="1"/>
      <c r="SSG2" s="1"/>
      <c r="SSH2" s="1"/>
      <c r="SSI2" s="1"/>
      <c r="SSJ2" s="1"/>
      <c r="SSK2" s="1"/>
      <c r="SSL2" s="1"/>
      <c r="SSM2" s="1"/>
      <c r="SSN2" s="1"/>
      <c r="SSO2" s="1"/>
      <c r="SSP2" s="1"/>
      <c r="SSQ2" s="1"/>
      <c r="SSR2" s="1"/>
      <c r="SSS2" s="1"/>
      <c r="SST2" s="1"/>
      <c r="SSU2" s="1"/>
      <c r="SSV2" s="1"/>
      <c r="SSW2" s="1"/>
      <c r="SSX2" s="1"/>
      <c r="SSY2" s="1"/>
      <c r="SSZ2" s="1"/>
      <c r="STA2" s="1"/>
      <c r="STB2" s="1"/>
      <c r="STC2" s="1"/>
      <c r="STD2" s="1"/>
      <c r="STE2" s="1"/>
      <c r="STF2" s="1"/>
      <c r="STG2" s="1"/>
      <c r="STH2" s="1"/>
      <c r="STI2" s="1"/>
      <c r="STJ2" s="1"/>
      <c r="STK2" s="1"/>
      <c r="STL2" s="1"/>
      <c r="STM2" s="1"/>
      <c r="STN2" s="1"/>
      <c r="STO2" s="1"/>
      <c r="STP2" s="1"/>
      <c r="STQ2" s="1"/>
      <c r="STR2" s="1"/>
      <c r="STS2" s="1"/>
      <c r="STT2" s="1"/>
      <c r="STU2" s="1"/>
      <c r="STV2" s="1"/>
      <c r="STW2" s="1"/>
      <c r="STX2" s="1"/>
      <c r="STY2" s="1"/>
      <c r="STZ2" s="1"/>
      <c r="SUA2" s="1"/>
      <c r="SUB2" s="1"/>
      <c r="SUC2" s="1"/>
      <c r="SUD2" s="1"/>
      <c r="SUE2" s="1"/>
      <c r="SUF2" s="1"/>
      <c r="SUG2" s="1"/>
      <c r="SUH2" s="1"/>
      <c r="SUI2" s="1"/>
      <c r="SUJ2" s="1"/>
      <c r="SUK2" s="1"/>
      <c r="SUL2" s="1"/>
      <c r="SUM2" s="1"/>
      <c r="SUN2" s="1"/>
      <c r="SUO2" s="1"/>
      <c r="SUP2" s="1"/>
      <c r="SUQ2" s="1"/>
      <c r="SUR2" s="1"/>
      <c r="SUS2" s="1"/>
      <c r="SUT2" s="1"/>
      <c r="SUU2" s="1"/>
      <c r="SUV2" s="1"/>
      <c r="SUW2" s="1"/>
      <c r="SUX2" s="1"/>
      <c r="SUY2" s="1"/>
      <c r="SUZ2" s="1"/>
      <c r="SVA2" s="1"/>
      <c r="SVB2" s="1"/>
      <c r="SVC2" s="1"/>
      <c r="SVD2" s="1"/>
      <c r="SVE2" s="1"/>
      <c r="SVF2" s="1"/>
      <c r="SVG2" s="1"/>
      <c r="SVH2" s="1"/>
      <c r="SVI2" s="1"/>
      <c r="SVJ2" s="1"/>
      <c r="SVK2" s="1"/>
      <c r="SVL2" s="1"/>
      <c r="SVM2" s="1"/>
      <c r="SVN2" s="1"/>
      <c r="SVO2" s="1"/>
      <c r="SVP2" s="1"/>
      <c r="SVQ2" s="1"/>
      <c r="SVR2" s="1"/>
      <c r="SVS2" s="1"/>
      <c r="SVT2" s="1"/>
      <c r="SVU2" s="1"/>
      <c r="SVV2" s="1"/>
      <c r="SVW2" s="1"/>
      <c r="SVX2" s="1"/>
      <c r="SVY2" s="1"/>
      <c r="SVZ2" s="1"/>
      <c r="SWA2" s="1"/>
      <c r="SWB2" s="1"/>
      <c r="SWC2" s="1"/>
      <c r="SWD2" s="1"/>
      <c r="SWE2" s="1"/>
      <c r="SWF2" s="1"/>
      <c r="SWG2" s="1"/>
      <c r="SWH2" s="1"/>
      <c r="SWI2" s="1"/>
      <c r="SWJ2" s="1"/>
      <c r="SWK2" s="1"/>
      <c r="SWL2" s="1"/>
      <c r="SWM2" s="1"/>
      <c r="SWN2" s="1"/>
      <c r="SWO2" s="1"/>
      <c r="SWP2" s="1"/>
      <c r="SWQ2" s="1"/>
      <c r="SWR2" s="1"/>
      <c r="SWS2" s="1"/>
      <c r="SWT2" s="1"/>
      <c r="SWU2" s="1"/>
      <c r="SWV2" s="1"/>
      <c r="SWW2" s="1"/>
      <c r="SWX2" s="1"/>
      <c r="SWY2" s="1"/>
      <c r="SWZ2" s="1"/>
      <c r="SXA2" s="1"/>
      <c r="SXB2" s="1"/>
      <c r="SXC2" s="1"/>
      <c r="SXD2" s="1"/>
      <c r="SXE2" s="1"/>
      <c r="SXF2" s="1"/>
      <c r="SXG2" s="1"/>
      <c r="SXH2" s="1"/>
      <c r="SXI2" s="1"/>
      <c r="SXJ2" s="1"/>
      <c r="SXK2" s="1"/>
      <c r="SXL2" s="1"/>
      <c r="SXM2" s="1"/>
      <c r="SXN2" s="1"/>
      <c r="SXO2" s="1"/>
      <c r="SXP2" s="1"/>
      <c r="SXQ2" s="1"/>
      <c r="SXR2" s="1"/>
      <c r="SXS2" s="1"/>
      <c r="SXT2" s="1"/>
      <c r="SXU2" s="1"/>
      <c r="SXV2" s="1"/>
      <c r="SXW2" s="1"/>
      <c r="SXX2" s="1"/>
      <c r="SXY2" s="1"/>
      <c r="SXZ2" s="1"/>
      <c r="SYA2" s="1"/>
      <c r="SYB2" s="1"/>
      <c r="SYC2" s="1"/>
      <c r="SYD2" s="1"/>
      <c r="SYE2" s="1"/>
      <c r="SYF2" s="1"/>
      <c r="SYG2" s="1"/>
      <c r="SYH2" s="1"/>
      <c r="SYI2" s="1"/>
      <c r="SYJ2" s="1"/>
      <c r="SYK2" s="1"/>
      <c r="SYL2" s="1"/>
      <c r="SYM2" s="1"/>
      <c r="SYN2" s="1"/>
      <c r="SYO2" s="1"/>
      <c r="SYP2" s="1"/>
      <c r="SYQ2" s="1"/>
      <c r="SYR2" s="1"/>
      <c r="SYS2" s="1"/>
      <c r="SYT2" s="1"/>
      <c r="SYU2" s="1"/>
      <c r="SYV2" s="1"/>
      <c r="SYW2" s="1"/>
      <c r="SYX2" s="1"/>
      <c r="SYY2" s="1"/>
      <c r="SYZ2" s="1"/>
      <c r="SZA2" s="1"/>
      <c r="SZB2" s="1"/>
      <c r="SZC2" s="1"/>
      <c r="SZD2" s="1"/>
      <c r="SZE2" s="1"/>
      <c r="SZF2" s="1"/>
      <c r="SZG2" s="1"/>
      <c r="SZH2" s="1"/>
      <c r="SZI2" s="1"/>
      <c r="SZJ2" s="1"/>
      <c r="SZK2" s="1"/>
      <c r="SZL2" s="1"/>
      <c r="SZM2" s="1"/>
      <c r="SZN2" s="1"/>
      <c r="SZO2" s="1"/>
      <c r="SZP2" s="1"/>
      <c r="SZQ2" s="1"/>
      <c r="SZR2" s="1"/>
      <c r="SZS2" s="1"/>
      <c r="SZT2" s="1"/>
      <c r="SZU2" s="1"/>
      <c r="SZV2" s="1"/>
      <c r="SZW2" s="1"/>
      <c r="SZX2" s="1"/>
      <c r="SZY2" s="1"/>
      <c r="SZZ2" s="1"/>
      <c r="TAA2" s="1"/>
      <c r="TAB2" s="1"/>
      <c r="TAC2" s="1"/>
      <c r="TAD2" s="1"/>
      <c r="TAE2" s="1"/>
      <c r="TAF2" s="1"/>
      <c r="TAG2" s="1"/>
      <c r="TAH2" s="1"/>
      <c r="TAI2" s="1"/>
      <c r="TAJ2" s="1"/>
      <c r="TAK2" s="1"/>
      <c r="TAL2" s="1"/>
      <c r="TAM2" s="1"/>
      <c r="TAN2" s="1"/>
      <c r="TAO2" s="1"/>
      <c r="TAP2" s="1"/>
      <c r="TAQ2" s="1"/>
      <c r="TAR2" s="1"/>
      <c r="TAS2" s="1"/>
      <c r="TAT2" s="1"/>
      <c r="TAU2" s="1"/>
      <c r="TAV2" s="1"/>
      <c r="TAW2" s="1"/>
      <c r="TAX2" s="1"/>
      <c r="TAY2" s="1"/>
      <c r="TAZ2" s="1"/>
      <c r="TBA2" s="1"/>
      <c r="TBB2" s="1"/>
      <c r="TBC2" s="1"/>
      <c r="TBD2" s="1"/>
      <c r="TBE2" s="1"/>
      <c r="TBF2" s="1"/>
      <c r="TBG2" s="1"/>
      <c r="TBH2" s="1"/>
      <c r="TBI2" s="1"/>
      <c r="TBJ2" s="1"/>
      <c r="TBK2" s="1"/>
      <c r="TBL2" s="1"/>
      <c r="TBM2" s="1"/>
      <c r="TBN2" s="1"/>
      <c r="TBO2" s="1"/>
      <c r="TBP2" s="1"/>
      <c r="TBQ2" s="1"/>
      <c r="TBR2" s="1"/>
      <c r="TBS2" s="1"/>
      <c r="TBT2" s="1"/>
      <c r="TBU2" s="1"/>
      <c r="TBV2" s="1"/>
      <c r="TBW2" s="1"/>
      <c r="TBX2" s="1"/>
      <c r="TBY2" s="1"/>
      <c r="TBZ2" s="1"/>
      <c r="TCA2" s="1"/>
      <c r="TCB2" s="1"/>
      <c r="TCC2" s="1"/>
      <c r="TCD2" s="1"/>
      <c r="TCE2" s="1"/>
      <c r="TCF2" s="1"/>
      <c r="TCG2" s="1"/>
      <c r="TCH2" s="1"/>
      <c r="TCI2" s="1"/>
      <c r="TCJ2" s="1"/>
      <c r="TCK2" s="1"/>
      <c r="TCL2" s="1"/>
      <c r="TCM2" s="1"/>
      <c r="TCN2" s="1"/>
      <c r="TCO2" s="1"/>
      <c r="TCP2" s="1"/>
      <c r="TCQ2" s="1"/>
      <c r="TCR2" s="1"/>
      <c r="TCS2" s="1"/>
      <c r="TCT2" s="1"/>
      <c r="TCU2" s="1"/>
      <c r="TCV2" s="1"/>
      <c r="TCW2" s="1"/>
      <c r="TCX2" s="1"/>
      <c r="TCY2" s="1"/>
      <c r="TCZ2" s="1"/>
      <c r="TDA2" s="1"/>
      <c r="TDB2" s="1"/>
      <c r="TDC2" s="1"/>
      <c r="TDD2" s="1"/>
      <c r="TDE2" s="1"/>
      <c r="TDF2" s="1"/>
      <c r="TDG2" s="1"/>
      <c r="TDH2" s="1"/>
      <c r="TDI2" s="1"/>
      <c r="TDJ2" s="1"/>
      <c r="TDK2" s="1"/>
      <c r="TDL2" s="1"/>
      <c r="TDM2" s="1"/>
      <c r="TDN2" s="1"/>
      <c r="TDO2" s="1"/>
      <c r="TDP2" s="1"/>
      <c r="TDQ2" s="1"/>
      <c r="TDR2" s="1"/>
      <c r="TDS2" s="1"/>
      <c r="TDT2" s="1"/>
      <c r="TDU2" s="1"/>
      <c r="TDV2" s="1"/>
      <c r="TDW2" s="1"/>
      <c r="TDX2" s="1"/>
      <c r="TDY2" s="1"/>
      <c r="TDZ2" s="1"/>
      <c r="TEA2" s="1"/>
      <c r="TEB2" s="1"/>
      <c r="TEC2" s="1"/>
      <c r="TED2" s="1"/>
      <c r="TEE2" s="1"/>
      <c r="TEF2" s="1"/>
      <c r="TEG2" s="1"/>
      <c r="TEH2" s="1"/>
      <c r="TEI2" s="1"/>
      <c r="TEJ2" s="1"/>
      <c r="TEK2" s="1"/>
      <c r="TEL2" s="1"/>
      <c r="TEM2" s="1"/>
      <c r="TEN2" s="1"/>
      <c r="TEO2" s="1"/>
      <c r="TEP2" s="1"/>
      <c r="TEQ2" s="1"/>
      <c r="TER2" s="1"/>
      <c r="TES2" s="1"/>
      <c r="TET2" s="1"/>
      <c r="TEU2" s="1"/>
      <c r="TEV2" s="1"/>
      <c r="TEW2" s="1"/>
      <c r="TEX2" s="1"/>
      <c r="TEY2" s="1"/>
      <c r="TEZ2" s="1"/>
      <c r="TFA2" s="1"/>
      <c r="TFB2" s="1"/>
      <c r="TFC2" s="1"/>
      <c r="TFD2" s="1"/>
      <c r="TFE2" s="1"/>
      <c r="TFF2" s="1"/>
      <c r="TFG2" s="1"/>
      <c r="TFH2" s="1"/>
      <c r="TFI2" s="1"/>
      <c r="TFJ2" s="1"/>
      <c r="TFK2" s="1"/>
      <c r="TFL2" s="1"/>
      <c r="TFM2" s="1"/>
      <c r="TFN2" s="1"/>
      <c r="TFO2" s="1"/>
      <c r="TFP2" s="1"/>
      <c r="TFQ2" s="1"/>
      <c r="TFR2" s="1"/>
      <c r="TFS2" s="1"/>
      <c r="TFT2" s="1"/>
      <c r="TFU2" s="1"/>
      <c r="TFV2" s="1"/>
      <c r="TFW2" s="1"/>
      <c r="TFX2" s="1"/>
      <c r="TFY2" s="1"/>
      <c r="TFZ2" s="1"/>
      <c r="TGA2" s="1"/>
      <c r="TGB2" s="1"/>
      <c r="TGC2" s="1"/>
      <c r="TGD2" s="1"/>
      <c r="TGE2" s="1"/>
      <c r="TGF2" s="1"/>
      <c r="TGG2" s="1"/>
      <c r="TGH2" s="1"/>
      <c r="TGI2" s="1"/>
      <c r="TGJ2" s="1"/>
      <c r="TGK2" s="1"/>
      <c r="TGL2" s="1"/>
      <c r="TGM2" s="1"/>
      <c r="TGN2" s="1"/>
      <c r="TGO2" s="1"/>
      <c r="TGP2" s="1"/>
      <c r="TGQ2" s="1"/>
      <c r="TGR2" s="1"/>
      <c r="TGS2" s="1"/>
      <c r="TGT2" s="1"/>
      <c r="TGU2" s="1"/>
      <c r="TGV2" s="1"/>
      <c r="TGW2" s="1"/>
      <c r="TGX2" s="1"/>
      <c r="TGY2" s="1"/>
      <c r="TGZ2" s="1"/>
      <c r="THA2" s="1"/>
      <c r="THB2" s="1"/>
      <c r="THC2" s="1"/>
      <c r="THD2" s="1"/>
      <c r="THE2" s="1"/>
      <c r="THF2" s="1"/>
      <c r="THG2" s="1"/>
      <c r="THH2" s="1"/>
      <c r="THI2" s="1"/>
      <c r="THJ2" s="1"/>
      <c r="THK2" s="1"/>
      <c r="THL2" s="1"/>
      <c r="THM2" s="1"/>
      <c r="THN2" s="1"/>
      <c r="THO2" s="1"/>
      <c r="THP2" s="1"/>
      <c r="THQ2" s="1"/>
      <c r="THR2" s="1"/>
      <c r="THS2" s="1"/>
      <c r="THT2" s="1"/>
      <c r="THU2" s="1"/>
      <c r="THV2" s="1"/>
      <c r="THW2" s="1"/>
      <c r="THX2" s="1"/>
      <c r="THY2" s="1"/>
      <c r="THZ2" s="1"/>
      <c r="TIA2" s="1"/>
      <c r="TIB2" s="1"/>
      <c r="TIC2" s="1"/>
      <c r="TID2" s="1"/>
      <c r="TIE2" s="1"/>
      <c r="TIF2" s="1"/>
      <c r="TIG2" s="1"/>
      <c r="TIH2" s="1"/>
      <c r="TII2" s="1"/>
      <c r="TIJ2" s="1"/>
      <c r="TIK2" s="1"/>
      <c r="TIL2" s="1"/>
      <c r="TIM2" s="1"/>
      <c r="TIN2" s="1"/>
      <c r="TIO2" s="1"/>
      <c r="TIP2" s="1"/>
      <c r="TIQ2" s="1"/>
      <c r="TIR2" s="1"/>
      <c r="TIS2" s="1"/>
      <c r="TIT2" s="1"/>
      <c r="TIU2" s="1"/>
      <c r="TIV2" s="1"/>
      <c r="TIW2" s="1"/>
      <c r="TIX2" s="1"/>
      <c r="TIY2" s="1"/>
      <c r="TIZ2" s="1"/>
      <c r="TJA2" s="1"/>
      <c r="TJB2" s="1"/>
      <c r="TJC2" s="1"/>
      <c r="TJD2" s="1"/>
      <c r="TJE2" s="1"/>
      <c r="TJF2" s="1"/>
      <c r="TJG2" s="1"/>
      <c r="TJH2" s="1"/>
      <c r="TJI2" s="1"/>
      <c r="TJJ2" s="1"/>
      <c r="TJK2" s="1"/>
      <c r="TJL2" s="1"/>
      <c r="TJM2" s="1"/>
      <c r="TJN2" s="1"/>
      <c r="TJO2" s="1"/>
      <c r="TJP2" s="1"/>
      <c r="TJQ2" s="1"/>
      <c r="TJR2" s="1"/>
      <c r="TJS2" s="1"/>
      <c r="TJT2" s="1"/>
      <c r="TJU2" s="1"/>
      <c r="TJV2" s="1"/>
      <c r="TJW2" s="1"/>
      <c r="TJX2" s="1"/>
      <c r="TJY2" s="1"/>
      <c r="TJZ2" s="1"/>
      <c r="TKA2" s="1"/>
      <c r="TKB2" s="1"/>
      <c r="TKC2" s="1"/>
      <c r="TKD2" s="1"/>
      <c r="TKE2" s="1"/>
      <c r="TKF2" s="1"/>
      <c r="TKG2" s="1"/>
      <c r="TKH2" s="1"/>
      <c r="TKI2" s="1"/>
      <c r="TKJ2" s="1"/>
      <c r="TKK2" s="1"/>
      <c r="TKL2" s="1"/>
      <c r="TKM2" s="1"/>
      <c r="TKN2" s="1"/>
      <c r="TKO2" s="1"/>
      <c r="TKP2" s="1"/>
      <c r="TKQ2" s="1"/>
      <c r="TKR2" s="1"/>
      <c r="TKS2" s="1"/>
      <c r="TKT2" s="1"/>
      <c r="TKU2" s="1"/>
      <c r="TKV2" s="1"/>
      <c r="TKW2" s="1"/>
      <c r="TKX2" s="1"/>
      <c r="TKY2" s="1"/>
      <c r="TKZ2" s="1"/>
      <c r="TLA2" s="1"/>
      <c r="TLB2" s="1"/>
      <c r="TLC2" s="1"/>
      <c r="TLD2" s="1"/>
      <c r="TLE2" s="1"/>
      <c r="TLF2" s="1"/>
      <c r="TLG2" s="1"/>
      <c r="TLH2" s="1"/>
      <c r="TLI2" s="1"/>
      <c r="TLJ2" s="1"/>
      <c r="TLK2" s="1"/>
      <c r="TLL2" s="1"/>
      <c r="TLM2" s="1"/>
      <c r="TLN2" s="1"/>
      <c r="TLO2" s="1"/>
      <c r="TLP2" s="1"/>
      <c r="TLQ2" s="1"/>
      <c r="TLR2" s="1"/>
      <c r="TLS2" s="1"/>
      <c r="TLT2" s="1"/>
      <c r="TLU2" s="1"/>
      <c r="TLV2" s="1"/>
      <c r="TLW2" s="1"/>
      <c r="TLX2" s="1"/>
      <c r="TLY2" s="1"/>
      <c r="TLZ2" s="1"/>
      <c r="TMA2" s="1"/>
      <c r="TMB2" s="1"/>
      <c r="TMC2" s="1"/>
      <c r="TMD2" s="1"/>
      <c r="TME2" s="1"/>
      <c r="TMF2" s="1"/>
      <c r="TMG2" s="1"/>
      <c r="TMH2" s="1"/>
      <c r="TMI2" s="1"/>
      <c r="TMJ2" s="1"/>
      <c r="TMK2" s="1"/>
      <c r="TML2" s="1"/>
      <c r="TMM2" s="1"/>
      <c r="TMN2" s="1"/>
      <c r="TMO2" s="1"/>
      <c r="TMP2" s="1"/>
      <c r="TMQ2" s="1"/>
      <c r="TMR2" s="1"/>
      <c r="TMS2" s="1"/>
      <c r="TMT2" s="1"/>
      <c r="TMU2" s="1"/>
      <c r="TMV2" s="1"/>
      <c r="TMW2" s="1"/>
      <c r="TMX2" s="1"/>
      <c r="TMY2" s="1"/>
      <c r="TMZ2" s="1"/>
      <c r="TNA2" s="1"/>
      <c r="TNB2" s="1"/>
      <c r="TNC2" s="1"/>
      <c r="TND2" s="1"/>
      <c r="TNE2" s="1"/>
      <c r="TNF2" s="1"/>
      <c r="TNG2" s="1"/>
      <c r="TNH2" s="1"/>
      <c r="TNI2" s="1"/>
      <c r="TNJ2" s="1"/>
      <c r="TNK2" s="1"/>
      <c r="TNL2" s="1"/>
      <c r="TNM2" s="1"/>
      <c r="TNN2" s="1"/>
      <c r="TNO2" s="1"/>
      <c r="TNP2" s="1"/>
      <c r="TNQ2" s="1"/>
      <c r="TNR2" s="1"/>
      <c r="TNS2" s="1"/>
      <c r="TNT2" s="1"/>
      <c r="TNU2" s="1"/>
      <c r="TNV2" s="1"/>
      <c r="TNW2" s="1"/>
      <c r="TNX2" s="1"/>
      <c r="TNY2" s="1"/>
      <c r="TNZ2" s="1"/>
      <c r="TOA2" s="1"/>
      <c r="TOB2" s="1"/>
      <c r="TOC2" s="1"/>
      <c r="TOD2" s="1"/>
      <c r="TOE2" s="1"/>
      <c r="TOF2" s="1"/>
      <c r="TOG2" s="1"/>
      <c r="TOH2" s="1"/>
      <c r="TOI2" s="1"/>
      <c r="TOJ2" s="1"/>
      <c r="TOK2" s="1"/>
      <c r="TOL2" s="1"/>
      <c r="TOM2" s="1"/>
      <c r="TON2" s="1"/>
      <c r="TOO2" s="1"/>
      <c r="TOP2" s="1"/>
      <c r="TOQ2" s="1"/>
      <c r="TOR2" s="1"/>
      <c r="TOS2" s="1"/>
      <c r="TOT2" s="1"/>
      <c r="TOU2" s="1"/>
      <c r="TOV2" s="1"/>
      <c r="TOW2" s="1"/>
      <c r="TOX2" s="1"/>
      <c r="TOY2" s="1"/>
      <c r="TOZ2" s="1"/>
      <c r="TPA2" s="1"/>
      <c r="TPB2" s="1"/>
      <c r="TPC2" s="1"/>
      <c r="TPD2" s="1"/>
      <c r="TPE2" s="1"/>
      <c r="TPF2" s="1"/>
      <c r="TPG2" s="1"/>
      <c r="TPH2" s="1"/>
      <c r="TPI2" s="1"/>
      <c r="TPJ2" s="1"/>
      <c r="TPK2" s="1"/>
      <c r="TPL2" s="1"/>
      <c r="TPM2" s="1"/>
      <c r="TPN2" s="1"/>
      <c r="TPO2" s="1"/>
      <c r="TPP2" s="1"/>
      <c r="TPQ2" s="1"/>
      <c r="TPR2" s="1"/>
      <c r="TPS2" s="1"/>
      <c r="TPT2" s="1"/>
      <c r="TPU2" s="1"/>
      <c r="TPV2" s="1"/>
      <c r="TPW2" s="1"/>
      <c r="TPX2" s="1"/>
      <c r="TPY2" s="1"/>
      <c r="TPZ2" s="1"/>
      <c r="TQA2" s="1"/>
      <c r="TQB2" s="1"/>
      <c r="TQC2" s="1"/>
      <c r="TQD2" s="1"/>
      <c r="TQE2" s="1"/>
      <c r="TQF2" s="1"/>
      <c r="TQG2" s="1"/>
      <c r="TQH2" s="1"/>
      <c r="TQI2" s="1"/>
      <c r="TQJ2" s="1"/>
      <c r="TQK2" s="1"/>
      <c r="TQL2" s="1"/>
      <c r="TQM2" s="1"/>
      <c r="TQN2" s="1"/>
      <c r="TQO2" s="1"/>
      <c r="TQP2" s="1"/>
      <c r="TQQ2" s="1"/>
      <c r="TQR2" s="1"/>
      <c r="TQS2" s="1"/>
      <c r="TQT2" s="1"/>
      <c r="TQU2" s="1"/>
      <c r="TQV2" s="1"/>
      <c r="TQW2" s="1"/>
      <c r="TQX2" s="1"/>
      <c r="TQY2" s="1"/>
      <c r="TQZ2" s="1"/>
      <c r="TRA2" s="1"/>
      <c r="TRB2" s="1"/>
      <c r="TRC2" s="1"/>
      <c r="TRD2" s="1"/>
      <c r="TRE2" s="1"/>
      <c r="TRF2" s="1"/>
      <c r="TRG2" s="1"/>
      <c r="TRH2" s="1"/>
      <c r="TRI2" s="1"/>
      <c r="TRJ2" s="1"/>
      <c r="TRK2" s="1"/>
      <c r="TRL2" s="1"/>
      <c r="TRM2" s="1"/>
      <c r="TRN2" s="1"/>
      <c r="TRO2" s="1"/>
      <c r="TRP2" s="1"/>
      <c r="TRQ2" s="1"/>
      <c r="TRR2" s="1"/>
      <c r="TRS2" s="1"/>
      <c r="TRT2" s="1"/>
      <c r="TRU2" s="1"/>
      <c r="TRV2" s="1"/>
      <c r="TRW2" s="1"/>
      <c r="TRX2" s="1"/>
      <c r="TRY2" s="1"/>
      <c r="TRZ2" s="1"/>
      <c r="TSA2" s="1"/>
      <c r="TSB2" s="1"/>
      <c r="TSC2" s="1"/>
      <c r="TSD2" s="1"/>
      <c r="TSE2" s="1"/>
      <c r="TSF2" s="1"/>
      <c r="TSG2" s="1"/>
      <c r="TSH2" s="1"/>
      <c r="TSI2" s="1"/>
      <c r="TSJ2" s="1"/>
      <c r="TSK2" s="1"/>
      <c r="TSL2" s="1"/>
      <c r="TSM2" s="1"/>
      <c r="TSN2" s="1"/>
      <c r="TSO2" s="1"/>
      <c r="TSP2" s="1"/>
      <c r="TSQ2" s="1"/>
      <c r="TSR2" s="1"/>
      <c r="TSS2" s="1"/>
      <c r="TST2" s="1"/>
      <c r="TSU2" s="1"/>
      <c r="TSV2" s="1"/>
      <c r="TSW2" s="1"/>
      <c r="TSX2" s="1"/>
      <c r="TSY2" s="1"/>
      <c r="TSZ2" s="1"/>
      <c r="TTA2" s="1"/>
      <c r="TTB2" s="1"/>
      <c r="TTC2" s="1"/>
      <c r="TTD2" s="1"/>
      <c r="TTE2" s="1"/>
      <c r="TTF2" s="1"/>
      <c r="TTG2" s="1"/>
      <c r="TTH2" s="1"/>
      <c r="TTI2" s="1"/>
      <c r="TTJ2" s="1"/>
      <c r="TTK2" s="1"/>
      <c r="TTL2" s="1"/>
      <c r="TTM2" s="1"/>
      <c r="TTN2" s="1"/>
      <c r="TTO2" s="1"/>
      <c r="TTP2" s="1"/>
      <c r="TTQ2" s="1"/>
      <c r="TTR2" s="1"/>
      <c r="TTS2" s="1"/>
      <c r="TTT2" s="1"/>
      <c r="TTU2" s="1"/>
      <c r="TTV2" s="1"/>
      <c r="TTW2" s="1"/>
      <c r="TTX2" s="1"/>
      <c r="TTY2" s="1"/>
      <c r="TTZ2" s="1"/>
      <c r="TUA2" s="1"/>
      <c r="TUB2" s="1"/>
      <c r="TUC2" s="1"/>
      <c r="TUD2" s="1"/>
      <c r="TUE2" s="1"/>
      <c r="TUF2" s="1"/>
      <c r="TUG2" s="1"/>
      <c r="TUH2" s="1"/>
      <c r="TUI2" s="1"/>
      <c r="TUJ2" s="1"/>
      <c r="TUK2" s="1"/>
      <c r="TUL2" s="1"/>
      <c r="TUM2" s="1"/>
      <c r="TUN2" s="1"/>
      <c r="TUO2" s="1"/>
      <c r="TUP2" s="1"/>
      <c r="TUQ2" s="1"/>
      <c r="TUR2" s="1"/>
      <c r="TUS2" s="1"/>
      <c r="TUT2" s="1"/>
      <c r="TUU2" s="1"/>
      <c r="TUV2" s="1"/>
      <c r="TUW2" s="1"/>
      <c r="TUX2" s="1"/>
      <c r="TUY2" s="1"/>
      <c r="TUZ2" s="1"/>
      <c r="TVA2" s="1"/>
      <c r="TVB2" s="1"/>
      <c r="TVC2" s="1"/>
      <c r="TVD2" s="1"/>
      <c r="TVE2" s="1"/>
      <c r="TVF2" s="1"/>
      <c r="TVG2" s="1"/>
      <c r="TVH2" s="1"/>
      <c r="TVI2" s="1"/>
      <c r="TVJ2" s="1"/>
      <c r="TVK2" s="1"/>
      <c r="TVL2" s="1"/>
      <c r="TVM2" s="1"/>
      <c r="TVN2" s="1"/>
      <c r="TVO2" s="1"/>
      <c r="TVP2" s="1"/>
      <c r="TVQ2" s="1"/>
      <c r="TVR2" s="1"/>
      <c r="TVS2" s="1"/>
      <c r="TVT2" s="1"/>
      <c r="TVU2" s="1"/>
      <c r="TVV2" s="1"/>
      <c r="TVW2" s="1"/>
      <c r="TVX2" s="1"/>
      <c r="TVY2" s="1"/>
      <c r="TVZ2" s="1"/>
      <c r="TWA2" s="1"/>
      <c r="TWB2" s="1"/>
      <c r="TWC2" s="1"/>
      <c r="TWD2" s="1"/>
      <c r="TWE2" s="1"/>
      <c r="TWF2" s="1"/>
      <c r="TWG2" s="1"/>
      <c r="TWH2" s="1"/>
      <c r="TWI2" s="1"/>
      <c r="TWJ2" s="1"/>
      <c r="TWK2" s="1"/>
      <c r="TWL2" s="1"/>
      <c r="TWM2" s="1"/>
      <c r="TWN2" s="1"/>
      <c r="TWO2" s="1"/>
      <c r="TWP2" s="1"/>
      <c r="TWQ2" s="1"/>
      <c r="TWR2" s="1"/>
      <c r="TWS2" s="1"/>
      <c r="TWT2" s="1"/>
      <c r="TWU2" s="1"/>
      <c r="TWV2" s="1"/>
      <c r="TWW2" s="1"/>
      <c r="TWX2" s="1"/>
      <c r="TWY2" s="1"/>
      <c r="TWZ2" s="1"/>
      <c r="TXA2" s="1"/>
      <c r="TXB2" s="1"/>
      <c r="TXC2" s="1"/>
      <c r="TXD2" s="1"/>
      <c r="TXE2" s="1"/>
      <c r="TXF2" s="1"/>
      <c r="TXG2" s="1"/>
      <c r="TXH2" s="1"/>
      <c r="TXI2" s="1"/>
      <c r="TXJ2" s="1"/>
      <c r="TXK2" s="1"/>
      <c r="TXL2" s="1"/>
      <c r="TXM2" s="1"/>
      <c r="TXN2" s="1"/>
      <c r="TXO2" s="1"/>
      <c r="TXP2" s="1"/>
      <c r="TXQ2" s="1"/>
      <c r="TXR2" s="1"/>
      <c r="TXS2" s="1"/>
      <c r="TXT2" s="1"/>
      <c r="TXU2" s="1"/>
      <c r="TXV2" s="1"/>
      <c r="TXW2" s="1"/>
      <c r="TXX2" s="1"/>
      <c r="TXY2" s="1"/>
      <c r="TXZ2" s="1"/>
      <c r="TYA2" s="1"/>
      <c r="TYB2" s="1"/>
      <c r="TYC2" s="1"/>
      <c r="TYD2" s="1"/>
      <c r="TYE2" s="1"/>
      <c r="TYF2" s="1"/>
      <c r="TYG2" s="1"/>
      <c r="TYH2" s="1"/>
      <c r="TYI2" s="1"/>
      <c r="TYJ2" s="1"/>
      <c r="TYK2" s="1"/>
      <c r="TYL2" s="1"/>
      <c r="TYM2" s="1"/>
      <c r="TYN2" s="1"/>
      <c r="TYO2" s="1"/>
      <c r="TYP2" s="1"/>
      <c r="TYQ2" s="1"/>
      <c r="TYR2" s="1"/>
      <c r="TYS2" s="1"/>
      <c r="TYT2" s="1"/>
      <c r="TYU2" s="1"/>
      <c r="TYV2" s="1"/>
      <c r="TYW2" s="1"/>
      <c r="TYX2" s="1"/>
      <c r="TYY2" s="1"/>
      <c r="TYZ2" s="1"/>
      <c r="TZA2" s="1"/>
      <c r="TZB2" s="1"/>
      <c r="TZC2" s="1"/>
      <c r="TZD2" s="1"/>
      <c r="TZE2" s="1"/>
      <c r="TZF2" s="1"/>
      <c r="TZG2" s="1"/>
      <c r="TZH2" s="1"/>
      <c r="TZI2" s="1"/>
      <c r="TZJ2" s="1"/>
      <c r="TZK2" s="1"/>
      <c r="TZL2" s="1"/>
      <c r="TZM2" s="1"/>
      <c r="TZN2" s="1"/>
      <c r="TZO2" s="1"/>
      <c r="TZP2" s="1"/>
      <c r="TZQ2" s="1"/>
      <c r="TZR2" s="1"/>
      <c r="TZS2" s="1"/>
      <c r="TZT2" s="1"/>
      <c r="TZU2" s="1"/>
      <c r="TZV2" s="1"/>
      <c r="TZW2" s="1"/>
      <c r="TZX2" s="1"/>
      <c r="TZY2" s="1"/>
      <c r="TZZ2" s="1"/>
      <c r="UAA2" s="1"/>
      <c r="UAB2" s="1"/>
      <c r="UAC2" s="1"/>
      <c r="UAD2" s="1"/>
      <c r="UAE2" s="1"/>
      <c r="UAF2" s="1"/>
      <c r="UAG2" s="1"/>
      <c r="UAH2" s="1"/>
      <c r="UAI2" s="1"/>
      <c r="UAJ2" s="1"/>
      <c r="UAK2" s="1"/>
      <c r="UAL2" s="1"/>
      <c r="UAM2" s="1"/>
      <c r="UAN2" s="1"/>
      <c r="UAO2" s="1"/>
      <c r="UAP2" s="1"/>
      <c r="UAQ2" s="1"/>
      <c r="UAR2" s="1"/>
      <c r="UAS2" s="1"/>
      <c r="UAT2" s="1"/>
      <c r="UAU2" s="1"/>
      <c r="UAV2" s="1"/>
      <c r="UAW2" s="1"/>
      <c r="UAX2" s="1"/>
      <c r="UAY2" s="1"/>
      <c r="UAZ2" s="1"/>
      <c r="UBA2" s="1"/>
      <c r="UBB2" s="1"/>
      <c r="UBC2" s="1"/>
      <c r="UBD2" s="1"/>
      <c r="UBE2" s="1"/>
      <c r="UBF2" s="1"/>
      <c r="UBG2" s="1"/>
      <c r="UBH2" s="1"/>
      <c r="UBI2" s="1"/>
      <c r="UBJ2" s="1"/>
      <c r="UBK2" s="1"/>
      <c r="UBL2" s="1"/>
      <c r="UBM2" s="1"/>
      <c r="UBN2" s="1"/>
      <c r="UBO2" s="1"/>
      <c r="UBP2" s="1"/>
      <c r="UBQ2" s="1"/>
      <c r="UBR2" s="1"/>
      <c r="UBS2" s="1"/>
      <c r="UBT2" s="1"/>
      <c r="UBU2" s="1"/>
      <c r="UBV2" s="1"/>
      <c r="UBW2" s="1"/>
      <c r="UBX2" s="1"/>
      <c r="UBY2" s="1"/>
      <c r="UBZ2" s="1"/>
      <c r="UCA2" s="1"/>
      <c r="UCB2" s="1"/>
      <c r="UCC2" s="1"/>
      <c r="UCD2" s="1"/>
      <c r="UCE2" s="1"/>
      <c r="UCF2" s="1"/>
      <c r="UCG2" s="1"/>
      <c r="UCH2" s="1"/>
      <c r="UCI2" s="1"/>
      <c r="UCJ2" s="1"/>
      <c r="UCK2" s="1"/>
      <c r="UCL2" s="1"/>
      <c r="UCM2" s="1"/>
      <c r="UCN2" s="1"/>
      <c r="UCO2" s="1"/>
      <c r="UCP2" s="1"/>
      <c r="UCQ2" s="1"/>
      <c r="UCR2" s="1"/>
      <c r="UCS2" s="1"/>
      <c r="UCT2" s="1"/>
      <c r="UCU2" s="1"/>
      <c r="UCV2" s="1"/>
      <c r="UCW2" s="1"/>
      <c r="UCX2" s="1"/>
      <c r="UCY2" s="1"/>
      <c r="UCZ2" s="1"/>
      <c r="UDA2" s="1"/>
      <c r="UDB2" s="1"/>
      <c r="UDC2" s="1"/>
      <c r="UDD2" s="1"/>
      <c r="UDE2" s="1"/>
      <c r="UDF2" s="1"/>
      <c r="UDG2" s="1"/>
      <c r="UDH2" s="1"/>
      <c r="UDI2" s="1"/>
      <c r="UDJ2" s="1"/>
      <c r="UDK2" s="1"/>
      <c r="UDL2" s="1"/>
      <c r="UDM2" s="1"/>
      <c r="UDN2" s="1"/>
      <c r="UDO2" s="1"/>
      <c r="UDP2" s="1"/>
      <c r="UDQ2" s="1"/>
      <c r="UDR2" s="1"/>
      <c r="UDS2" s="1"/>
      <c r="UDT2" s="1"/>
      <c r="UDU2" s="1"/>
      <c r="UDV2" s="1"/>
      <c r="UDW2" s="1"/>
      <c r="UDX2" s="1"/>
      <c r="UDY2" s="1"/>
      <c r="UDZ2" s="1"/>
      <c r="UEA2" s="1"/>
      <c r="UEB2" s="1"/>
      <c r="UEC2" s="1"/>
      <c r="UED2" s="1"/>
      <c r="UEE2" s="1"/>
      <c r="UEF2" s="1"/>
      <c r="UEG2" s="1"/>
      <c r="UEH2" s="1"/>
      <c r="UEI2" s="1"/>
      <c r="UEJ2" s="1"/>
      <c r="UEK2" s="1"/>
      <c r="UEL2" s="1"/>
      <c r="UEM2" s="1"/>
      <c r="UEN2" s="1"/>
      <c r="UEO2" s="1"/>
      <c r="UEP2" s="1"/>
      <c r="UEQ2" s="1"/>
      <c r="UER2" s="1"/>
      <c r="UES2" s="1"/>
      <c r="UET2" s="1"/>
      <c r="UEU2" s="1"/>
      <c r="UEV2" s="1"/>
      <c r="UEW2" s="1"/>
      <c r="UEX2" s="1"/>
      <c r="UEY2" s="1"/>
      <c r="UEZ2" s="1"/>
      <c r="UFA2" s="1"/>
      <c r="UFB2" s="1"/>
      <c r="UFC2" s="1"/>
      <c r="UFD2" s="1"/>
      <c r="UFE2" s="1"/>
      <c r="UFF2" s="1"/>
      <c r="UFG2" s="1"/>
      <c r="UFH2" s="1"/>
      <c r="UFI2" s="1"/>
      <c r="UFJ2" s="1"/>
      <c r="UFK2" s="1"/>
      <c r="UFL2" s="1"/>
      <c r="UFM2" s="1"/>
      <c r="UFN2" s="1"/>
      <c r="UFO2" s="1"/>
      <c r="UFP2" s="1"/>
      <c r="UFQ2" s="1"/>
      <c r="UFR2" s="1"/>
      <c r="UFS2" s="1"/>
      <c r="UFT2" s="1"/>
      <c r="UFU2" s="1"/>
      <c r="UFV2" s="1"/>
      <c r="UFW2" s="1"/>
      <c r="UFX2" s="1"/>
      <c r="UFY2" s="1"/>
      <c r="UFZ2" s="1"/>
      <c r="UGA2" s="1"/>
      <c r="UGB2" s="1"/>
      <c r="UGC2" s="1"/>
      <c r="UGD2" s="1"/>
      <c r="UGE2" s="1"/>
      <c r="UGF2" s="1"/>
      <c r="UGG2" s="1"/>
      <c r="UGH2" s="1"/>
      <c r="UGI2" s="1"/>
      <c r="UGJ2" s="1"/>
      <c r="UGK2" s="1"/>
      <c r="UGL2" s="1"/>
      <c r="UGM2" s="1"/>
      <c r="UGN2" s="1"/>
      <c r="UGO2" s="1"/>
      <c r="UGP2" s="1"/>
      <c r="UGQ2" s="1"/>
      <c r="UGR2" s="1"/>
      <c r="UGS2" s="1"/>
      <c r="UGT2" s="1"/>
      <c r="UGU2" s="1"/>
      <c r="UGV2" s="1"/>
      <c r="UGW2" s="1"/>
      <c r="UGX2" s="1"/>
      <c r="UGY2" s="1"/>
      <c r="UGZ2" s="1"/>
      <c r="UHA2" s="1"/>
      <c r="UHB2" s="1"/>
      <c r="UHC2" s="1"/>
      <c r="UHD2" s="1"/>
      <c r="UHE2" s="1"/>
      <c r="UHF2" s="1"/>
      <c r="UHG2" s="1"/>
      <c r="UHH2" s="1"/>
      <c r="UHI2" s="1"/>
      <c r="UHJ2" s="1"/>
      <c r="UHK2" s="1"/>
      <c r="UHL2" s="1"/>
      <c r="UHM2" s="1"/>
      <c r="UHN2" s="1"/>
      <c r="UHO2" s="1"/>
      <c r="UHP2" s="1"/>
      <c r="UHQ2" s="1"/>
      <c r="UHR2" s="1"/>
      <c r="UHS2" s="1"/>
      <c r="UHT2" s="1"/>
      <c r="UHU2" s="1"/>
      <c r="UHV2" s="1"/>
      <c r="UHW2" s="1"/>
      <c r="UHX2" s="1"/>
      <c r="UHY2" s="1"/>
      <c r="UHZ2" s="1"/>
      <c r="UIA2" s="1"/>
      <c r="UIB2" s="1"/>
      <c r="UIC2" s="1"/>
      <c r="UID2" s="1"/>
      <c r="UIE2" s="1"/>
      <c r="UIF2" s="1"/>
      <c r="UIG2" s="1"/>
      <c r="UIH2" s="1"/>
      <c r="UII2" s="1"/>
      <c r="UIJ2" s="1"/>
      <c r="UIK2" s="1"/>
      <c r="UIL2" s="1"/>
      <c r="UIM2" s="1"/>
      <c r="UIN2" s="1"/>
      <c r="UIO2" s="1"/>
      <c r="UIP2" s="1"/>
      <c r="UIQ2" s="1"/>
      <c r="UIR2" s="1"/>
      <c r="UIS2" s="1"/>
      <c r="UIT2" s="1"/>
      <c r="UIU2" s="1"/>
      <c r="UIV2" s="1"/>
      <c r="UIW2" s="1"/>
      <c r="UIX2" s="1"/>
      <c r="UIY2" s="1"/>
      <c r="UIZ2" s="1"/>
      <c r="UJA2" s="1"/>
      <c r="UJB2" s="1"/>
      <c r="UJC2" s="1"/>
      <c r="UJD2" s="1"/>
      <c r="UJE2" s="1"/>
      <c r="UJF2" s="1"/>
      <c r="UJG2" s="1"/>
      <c r="UJH2" s="1"/>
      <c r="UJI2" s="1"/>
      <c r="UJJ2" s="1"/>
      <c r="UJK2" s="1"/>
      <c r="UJL2" s="1"/>
      <c r="UJM2" s="1"/>
      <c r="UJN2" s="1"/>
      <c r="UJO2" s="1"/>
      <c r="UJP2" s="1"/>
      <c r="UJQ2" s="1"/>
      <c r="UJR2" s="1"/>
      <c r="UJS2" s="1"/>
      <c r="UJT2" s="1"/>
      <c r="UJU2" s="1"/>
      <c r="UJV2" s="1"/>
      <c r="UJW2" s="1"/>
      <c r="UJX2" s="1"/>
      <c r="UJY2" s="1"/>
      <c r="UJZ2" s="1"/>
      <c r="UKA2" s="1"/>
      <c r="UKB2" s="1"/>
      <c r="UKC2" s="1"/>
      <c r="UKD2" s="1"/>
      <c r="UKE2" s="1"/>
      <c r="UKF2" s="1"/>
      <c r="UKG2" s="1"/>
      <c r="UKH2" s="1"/>
      <c r="UKI2" s="1"/>
      <c r="UKJ2" s="1"/>
      <c r="UKK2" s="1"/>
      <c r="UKL2" s="1"/>
      <c r="UKM2" s="1"/>
      <c r="UKN2" s="1"/>
      <c r="UKO2" s="1"/>
      <c r="UKP2" s="1"/>
      <c r="UKQ2" s="1"/>
      <c r="UKR2" s="1"/>
      <c r="UKS2" s="1"/>
      <c r="UKT2" s="1"/>
      <c r="UKU2" s="1"/>
      <c r="UKV2" s="1"/>
      <c r="UKW2" s="1"/>
      <c r="UKX2" s="1"/>
      <c r="UKY2" s="1"/>
      <c r="UKZ2" s="1"/>
      <c r="ULA2" s="1"/>
      <c r="ULB2" s="1"/>
      <c r="ULC2" s="1"/>
      <c r="ULD2" s="1"/>
      <c r="ULE2" s="1"/>
      <c r="ULF2" s="1"/>
      <c r="ULG2" s="1"/>
      <c r="ULH2" s="1"/>
      <c r="ULI2" s="1"/>
      <c r="ULJ2" s="1"/>
      <c r="ULK2" s="1"/>
      <c r="ULL2" s="1"/>
      <c r="ULM2" s="1"/>
      <c r="ULN2" s="1"/>
      <c r="ULO2" s="1"/>
      <c r="ULP2" s="1"/>
      <c r="ULQ2" s="1"/>
      <c r="ULR2" s="1"/>
      <c r="ULS2" s="1"/>
      <c r="ULT2" s="1"/>
      <c r="ULU2" s="1"/>
      <c r="ULV2" s="1"/>
      <c r="ULW2" s="1"/>
      <c r="ULX2" s="1"/>
      <c r="ULY2" s="1"/>
      <c r="ULZ2" s="1"/>
      <c r="UMA2" s="1"/>
      <c r="UMB2" s="1"/>
      <c r="UMC2" s="1"/>
      <c r="UMD2" s="1"/>
      <c r="UME2" s="1"/>
      <c r="UMF2" s="1"/>
      <c r="UMG2" s="1"/>
      <c r="UMH2" s="1"/>
      <c r="UMI2" s="1"/>
      <c r="UMJ2" s="1"/>
      <c r="UMK2" s="1"/>
      <c r="UML2" s="1"/>
      <c r="UMM2" s="1"/>
      <c r="UMN2" s="1"/>
      <c r="UMO2" s="1"/>
      <c r="UMP2" s="1"/>
      <c r="UMQ2" s="1"/>
      <c r="UMR2" s="1"/>
      <c r="UMS2" s="1"/>
      <c r="UMT2" s="1"/>
      <c r="UMU2" s="1"/>
      <c r="UMV2" s="1"/>
      <c r="UMW2" s="1"/>
      <c r="UMX2" s="1"/>
      <c r="UMY2" s="1"/>
      <c r="UMZ2" s="1"/>
      <c r="UNA2" s="1"/>
      <c r="UNB2" s="1"/>
      <c r="UNC2" s="1"/>
      <c r="UND2" s="1"/>
      <c r="UNE2" s="1"/>
      <c r="UNF2" s="1"/>
      <c r="UNG2" s="1"/>
      <c r="UNH2" s="1"/>
      <c r="UNI2" s="1"/>
      <c r="UNJ2" s="1"/>
      <c r="UNK2" s="1"/>
      <c r="UNL2" s="1"/>
      <c r="UNM2" s="1"/>
      <c r="UNN2" s="1"/>
      <c r="UNO2" s="1"/>
      <c r="UNP2" s="1"/>
      <c r="UNQ2" s="1"/>
      <c r="UNR2" s="1"/>
      <c r="UNS2" s="1"/>
      <c r="UNT2" s="1"/>
      <c r="UNU2" s="1"/>
      <c r="UNV2" s="1"/>
      <c r="UNW2" s="1"/>
      <c r="UNX2" s="1"/>
      <c r="UNY2" s="1"/>
      <c r="UNZ2" s="1"/>
      <c r="UOA2" s="1"/>
      <c r="UOB2" s="1"/>
      <c r="UOC2" s="1"/>
      <c r="UOD2" s="1"/>
      <c r="UOE2" s="1"/>
      <c r="UOF2" s="1"/>
      <c r="UOG2" s="1"/>
      <c r="UOH2" s="1"/>
      <c r="UOI2" s="1"/>
      <c r="UOJ2" s="1"/>
      <c r="UOK2" s="1"/>
      <c r="UOL2" s="1"/>
      <c r="UOM2" s="1"/>
      <c r="UON2" s="1"/>
      <c r="UOO2" s="1"/>
      <c r="UOP2" s="1"/>
      <c r="UOQ2" s="1"/>
      <c r="UOR2" s="1"/>
      <c r="UOS2" s="1"/>
      <c r="UOT2" s="1"/>
      <c r="UOU2" s="1"/>
      <c r="UOV2" s="1"/>
      <c r="UOW2" s="1"/>
      <c r="UOX2" s="1"/>
      <c r="UOY2" s="1"/>
      <c r="UOZ2" s="1"/>
      <c r="UPA2" s="1"/>
      <c r="UPB2" s="1"/>
      <c r="UPC2" s="1"/>
      <c r="UPD2" s="1"/>
      <c r="UPE2" s="1"/>
      <c r="UPF2" s="1"/>
      <c r="UPG2" s="1"/>
      <c r="UPH2" s="1"/>
      <c r="UPI2" s="1"/>
      <c r="UPJ2" s="1"/>
      <c r="UPK2" s="1"/>
      <c r="UPL2" s="1"/>
      <c r="UPM2" s="1"/>
      <c r="UPN2" s="1"/>
      <c r="UPO2" s="1"/>
      <c r="UPP2" s="1"/>
      <c r="UPQ2" s="1"/>
      <c r="UPR2" s="1"/>
      <c r="UPS2" s="1"/>
      <c r="UPT2" s="1"/>
      <c r="UPU2" s="1"/>
      <c r="UPV2" s="1"/>
      <c r="UPW2" s="1"/>
      <c r="UPX2" s="1"/>
      <c r="UPY2" s="1"/>
      <c r="UPZ2" s="1"/>
      <c r="UQA2" s="1"/>
      <c r="UQB2" s="1"/>
      <c r="UQC2" s="1"/>
      <c r="UQD2" s="1"/>
      <c r="UQE2" s="1"/>
      <c r="UQF2" s="1"/>
      <c r="UQG2" s="1"/>
      <c r="UQH2" s="1"/>
      <c r="UQI2" s="1"/>
      <c r="UQJ2" s="1"/>
      <c r="UQK2" s="1"/>
      <c r="UQL2" s="1"/>
      <c r="UQM2" s="1"/>
      <c r="UQN2" s="1"/>
      <c r="UQO2" s="1"/>
      <c r="UQP2" s="1"/>
      <c r="UQQ2" s="1"/>
      <c r="UQR2" s="1"/>
      <c r="UQS2" s="1"/>
      <c r="UQT2" s="1"/>
      <c r="UQU2" s="1"/>
      <c r="UQV2" s="1"/>
      <c r="UQW2" s="1"/>
      <c r="UQX2" s="1"/>
      <c r="UQY2" s="1"/>
      <c r="UQZ2" s="1"/>
      <c r="URA2" s="1"/>
      <c r="URB2" s="1"/>
      <c r="URC2" s="1"/>
      <c r="URD2" s="1"/>
      <c r="URE2" s="1"/>
      <c r="URF2" s="1"/>
      <c r="URG2" s="1"/>
      <c r="URH2" s="1"/>
      <c r="URI2" s="1"/>
      <c r="URJ2" s="1"/>
      <c r="URK2" s="1"/>
      <c r="URL2" s="1"/>
      <c r="URM2" s="1"/>
      <c r="URN2" s="1"/>
      <c r="URO2" s="1"/>
      <c r="URP2" s="1"/>
      <c r="URQ2" s="1"/>
      <c r="URR2" s="1"/>
      <c r="URS2" s="1"/>
      <c r="URT2" s="1"/>
      <c r="URU2" s="1"/>
      <c r="URV2" s="1"/>
      <c r="URW2" s="1"/>
      <c r="URX2" s="1"/>
      <c r="URY2" s="1"/>
      <c r="URZ2" s="1"/>
      <c r="USA2" s="1"/>
      <c r="USB2" s="1"/>
      <c r="USC2" s="1"/>
      <c r="USD2" s="1"/>
      <c r="USE2" s="1"/>
      <c r="USF2" s="1"/>
      <c r="USG2" s="1"/>
      <c r="USH2" s="1"/>
      <c r="USI2" s="1"/>
      <c r="USJ2" s="1"/>
      <c r="USK2" s="1"/>
      <c r="USL2" s="1"/>
      <c r="USM2" s="1"/>
      <c r="USN2" s="1"/>
      <c r="USO2" s="1"/>
      <c r="USP2" s="1"/>
      <c r="USQ2" s="1"/>
      <c r="USR2" s="1"/>
      <c r="USS2" s="1"/>
      <c r="UST2" s="1"/>
      <c r="USU2" s="1"/>
      <c r="USV2" s="1"/>
      <c r="USW2" s="1"/>
      <c r="USX2" s="1"/>
      <c r="USY2" s="1"/>
      <c r="USZ2" s="1"/>
      <c r="UTA2" s="1"/>
      <c r="UTB2" s="1"/>
      <c r="UTC2" s="1"/>
      <c r="UTD2" s="1"/>
      <c r="UTE2" s="1"/>
      <c r="UTF2" s="1"/>
      <c r="UTG2" s="1"/>
      <c r="UTH2" s="1"/>
      <c r="UTI2" s="1"/>
      <c r="UTJ2" s="1"/>
      <c r="UTK2" s="1"/>
      <c r="UTL2" s="1"/>
      <c r="UTM2" s="1"/>
      <c r="UTN2" s="1"/>
      <c r="UTO2" s="1"/>
      <c r="UTP2" s="1"/>
      <c r="UTQ2" s="1"/>
      <c r="UTR2" s="1"/>
      <c r="UTS2" s="1"/>
      <c r="UTT2" s="1"/>
      <c r="UTU2" s="1"/>
      <c r="UTV2" s="1"/>
      <c r="UTW2" s="1"/>
      <c r="UTX2" s="1"/>
      <c r="UTY2" s="1"/>
      <c r="UTZ2" s="1"/>
      <c r="UUA2" s="1"/>
      <c r="UUB2" s="1"/>
      <c r="UUC2" s="1"/>
      <c r="UUD2" s="1"/>
      <c r="UUE2" s="1"/>
      <c r="UUF2" s="1"/>
      <c r="UUG2" s="1"/>
      <c r="UUH2" s="1"/>
      <c r="UUI2" s="1"/>
      <c r="UUJ2" s="1"/>
      <c r="UUK2" s="1"/>
      <c r="UUL2" s="1"/>
      <c r="UUM2" s="1"/>
      <c r="UUN2" s="1"/>
      <c r="UUO2" s="1"/>
      <c r="UUP2" s="1"/>
      <c r="UUQ2" s="1"/>
      <c r="UUR2" s="1"/>
      <c r="UUS2" s="1"/>
      <c r="UUT2" s="1"/>
      <c r="UUU2" s="1"/>
      <c r="UUV2" s="1"/>
      <c r="UUW2" s="1"/>
      <c r="UUX2" s="1"/>
      <c r="UUY2" s="1"/>
      <c r="UUZ2" s="1"/>
      <c r="UVA2" s="1"/>
      <c r="UVB2" s="1"/>
      <c r="UVC2" s="1"/>
      <c r="UVD2" s="1"/>
      <c r="UVE2" s="1"/>
      <c r="UVF2" s="1"/>
      <c r="UVG2" s="1"/>
      <c r="UVH2" s="1"/>
      <c r="UVI2" s="1"/>
      <c r="UVJ2" s="1"/>
      <c r="UVK2" s="1"/>
      <c r="UVL2" s="1"/>
      <c r="UVM2" s="1"/>
      <c r="UVN2" s="1"/>
      <c r="UVO2" s="1"/>
      <c r="UVP2" s="1"/>
      <c r="UVQ2" s="1"/>
      <c r="UVR2" s="1"/>
      <c r="UVS2" s="1"/>
      <c r="UVT2" s="1"/>
      <c r="UVU2" s="1"/>
      <c r="UVV2" s="1"/>
      <c r="UVW2" s="1"/>
      <c r="UVX2" s="1"/>
      <c r="UVY2" s="1"/>
      <c r="UVZ2" s="1"/>
      <c r="UWA2" s="1"/>
      <c r="UWB2" s="1"/>
      <c r="UWC2" s="1"/>
      <c r="UWD2" s="1"/>
      <c r="UWE2" s="1"/>
      <c r="UWF2" s="1"/>
      <c r="UWG2" s="1"/>
      <c r="UWH2" s="1"/>
      <c r="UWI2" s="1"/>
      <c r="UWJ2" s="1"/>
      <c r="UWK2" s="1"/>
      <c r="UWL2" s="1"/>
      <c r="UWM2" s="1"/>
      <c r="UWN2" s="1"/>
      <c r="UWO2" s="1"/>
      <c r="UWP2" s="1"/>
      <c r="UWQ2" s="1"/>
      <c r="UWR2" s="1"/>
      <c r="UWS2" s="1"/>
      <c r="UWT2" s="1"/>
      <c r="UWU2" s="1"/>
      <c r="UWV2" s="1"/>
      <c r="UWW2" s="1"/>
      <c r="UWX2" s="1"/>
      <c r="UWY2" s="1"/>
      <c r="UWZ2" s="1"/>
      <c r="UXA2" s="1"/>
      <c r="UXB2" s="1"/>
      <c r="UXC2" s="1"/>
      <c r="UXD2" s="1"/>
      <c r="UXE2" s="1"/>
      <c r="UXF2" s="1"/>
      <c r="UXG2" s="1"/>
      <c r="UXH2" s="1"/>
      <c r="UXI2" s="1"/>
      <c r="UXJ2" s="1"/>
      <c r="UXK2" s="1"/>
      <c r="UXL2" s="1"/>
      <c r="UXM2" s="1"/>
      <c r="UXN2" s="1"/>
      <c r="UXO2" s="1"/>
      <c r="UXP2" s="1"/>
      <c r="UXQ2" s="1"/>
      <c r="UXR2" s="1"/>
      <c r="UXS2" s="1"/>
      <c r="UXT2" s="1"/>
      <c r="UXU2" s="1"/>
      <c r="UXV2" s="1"/>
      <c r="UXW2" s="1"/>
      <c r="UXX2" s="1"/>
      <c r="UXY2" s="1"/>
      <c r="UXZ2" s="1"/>
      <c r="UYA2" s="1"/>
      <c r="UYB2" s="1"/>
      <c r="UYC2" s="1"/>
      <c r="UYD2" s="1"/>
      <c r="UYE2" s="1"/>
      <c r="UYF2" s="1"/>
      <c r="UYG2" s="1"/>
      <c r="UYH2" s="1"/>
      <c r="UYI2" s="1"/>
      <c r="UYJ2" s="1"/>
      <c r="UYK2" s="1"/>
      <c r="UYL2" s="1"/>
      <c r="UYM2" s="1"/>
      <c r="UYN2" s="1"/>
      <c r="UYO2" s="1"/>
      <c r="UYP2" s="1"/>
      <c r="UYQ2" s="1"/>
      <c r="UYR2" s="1"/>
      <c r="UYS2" s="1"/>
      <c r="UYT2" s="1"/>
      <c r="UYU2" s="1"/>
      <c r="UYV2" s="1"/>
      <c r="UYW2" s="1"/>
      <c r="UYX2" s="1"/>
      <c r="UYY2" s="1"/>
      <c r="UYZ2" s="1"/>
      <c r="UZA2" s="1"/>
      <c r="UZB2" s="1"/>
      <c r="UZC2" s="1"/>
      <c r="UZD2" s="1"/>
      <c r="UZE2" s="1"/>
      <c r="UZF2" s="1"/>
      <c r="UZG2" s="1"/>
      <c r="UZH2" s="1"/>
      <c r="UZI2" s="1"/>
      <c r="UZJ2" s="1"/>
      <c r="UZK2" s="1"/>
      <c r="UZL2" s="1"/>
      <c r="UZM2" s="1"/>
      <c r="UZN2" s="1"/>
      <c r="UZO2" s="1"/>
      <c r="UZP2" s="1"/>
      <c r="UZQ2" s="1"/>
      <c r="UZR2" s="1"/>
      <c r="UZS2" s="1"/>
      <c r="UZT2" s="1"/>
      <c r="UZU2" s="1"/>
      <c r="UZV2" s="1"/>
      <c r="UZW2" s="1"/>
      <c r="UZX2" s="1"/>
      <c r="UZY2" s="1"/>
      <c r="UZZ2" s="1"/>
      <c r="VAA2" s="1"/>
      <c r="VAB2" s="1"/>
      <c r="VAC2" s="1"/>
      <c r="VAD2" s="1"/>
      <c r="VAE2" s="1"/>
      <c r="VAF2" s="1"/>
      <c r="VAG2" s="1"/>
      <c r="VAH2" s="1"/>
      <c r="VAI2" s="1"/>
      <c r="VAJ2" s="1"/>
      <c r="VAK2" s="1"/>
      <c r="VAL2" s="1"/>
      <c r="VAM2" s="1"/>
      <c r="VAN2" s="1"/>
      <c r="VAO2" s="1"/>
      <c r="VAP2" s="1"/>
      <c r="VAQ2" s="1"/>
      <c r="VAR2" s="1"/>
      <c r="VAS2" s="1"/>
      <c r="VAT2" s="1"/>
      <c r="VAU2" s="1"/>
      <c r="VAV2" s="1"/>
      <c r="VAW2" s="1"/>
      <c r="VAX2" s="1"/>
      <c r="VAY2" s="1"/>
      <c r="VAZ2" s="1"/>
      <c r="VBA2" s="1"/>
      <c r="VBB2" s="1"/>
      <c r="VBC2" s="1"/>
      <c r="VBD2" s="1"/>
      <c r="VBE2" s="1"/>
      <c r="VBF2" s="1"/>
      <c r="VBG2" s="1"/>
      <c r="VBH2" s="1"/>
      <c r="VBI2" s="1"/>
      <c r="VBJ2" s="1"/>
      <c r="VBK2" s="1"/>
      <c r="VBL2" s="1"/>
      <c r="VBM2" s="1"/>
      <c r="VBN2" s="1"/>
      <c r="VBO2" s="1"/>
      <c r="VBP2" s="1"/>
      <c r="VBQ2" s="1"/>
      <c r="VBR2" s="1"/>
      <c r="VBS2" s="1"/>
      <c r="VBT2" s="1"/>
      <c r="VBU2" s="1"/>
      <c r="VBV2" s="1"/>
      <c r="VBW2" s="1"/>
      <c r="VBX2" s="1"/>
      <c r="VBY2" s="1"/>
      <c r="VBZ2" s="1"/>
      <c r="VCA2" s="1"/>
      <c r="VCB2" s="1"/>
      <c r="VCC2" s="1"/>
      <c r="VCD2" s="1"/>
      <c r="VCE2" s="1"/>
      <c r="VCF2" s="1"/>
      <c r="VCG2" s="1"/>
      <c r="VCH2" s="1"/>
      <c r="VCI2" s="1"/>
      <c r="VCJ2" s="1"/>
      <c r="VCK2" s="1"/>
      <c r="VCL2" s="1"/>
      <c r="VCM2" s="1"/>
      <c r="VCN2" s="1"/>
      <c r="VCO2" s="1"/>
      <c r="VCP2" s="1"/>
      <c r="VCQ2" s="1"/>
      <c r="VCR2" s="1"/>
      <c r="VCS2" s="1"/>
      <c r="VCT2" s="1"/>
      <c r="VCU2" s="1"/>
      <c r="VCV2" s="1"/>
      <c r="VCW2" s="1"/>
      <c r="VCX2" s="1"/>
      <c r="VCY2" s="1"/>
      <c r="VCZ2" s="1"/>
      <c r="VDA2" s="1"/>
      <c r="VDB2" s="1"/>
      <c r="VDC2" s="1"/>
      <c r="VDD2" s="1"/>
      <c r="VDE2" s="1"/>
      <c r="VDF2" s="1"/>
      <c r="VDG2" s="1"/>
      <c r="VDH2" s="1"/>
      <c r="VDI2" s="1"/>
      <c r="VDJ2" s="1"/>
      <c r="VDK2" s="1"/>
      <c r="VDL2" s="1"/>
      <c r="VDM2" s="1"/>
      <c r="VDN2" s="1"/>
      <c r="VDO2" s="1"/>
      <c r="VDP2" s="1"/>
      <c r="VDQ2" s="1"/>
      <c r="VDR2" s="1"/>
      <c r="VDS2" s="1"/>
      <c r="VDT2" s="1"/>
      <c r="VDU2" s="1"/>
      <c r="VDV2" s="1"/>
      <c r="VDW2" s="1"/>
      <c r="VDX2" s="1"/>
      <c r="VDY2" s="1"/>
      <c r="VDZ2" s="1"/>
      <c r="VEA2" s="1"/>
      <c r="VEB2" s="1"/>
      <c r="VEC2" s="1"/>
      <c r="VED2" s="1"/>
      <c r="VEE2" s="1"/>
      <c r="VEF2" s="1"/>
      <c r="VEG2" s="1"/>
      <c r="VEH2" s="1"/>
      <c r="VEI2" s="1"/>
      <c r="VEJ2" s="1"/>
      <c r="VEK2" s="1"/>
      <c r="VEL2" s="1"/>
      <c r="VEM2" s="1"/>
      <c r="VEN2" s="1"/>
      <c r="VEO2" s="1"/>
      <c r="VEP2" s="1"/>
      <c r="VEQ2" s="1"/>
      <c r="VER2" s="1"/>
      <c r="VES2" s="1"/>
      <c r="VET2" s="1"/>
      <c r="VEU2" s="1"/>
      <c r="VEV2" s="1"/>
      <c r="VEW2" s="1"/>
      <c r="VEX2" s="1"/>
      <c r="VEY2" s="1"/>
      <c r="VEZ2" s="1"/>
      <c r="VFA2" s="1"/>
      <c r="VFB2" s="1"/>
      <c r="VFC2" s="1"/>
      <c r="VFD2" s="1"/>
      <c r="VFE2" s="1"/>
      <c r="VFF2" s="1"/>
      <c r="VFG2" s="1"/>
      <c r="VFH2" s="1"/>
      <c r="VFI2" s="1"/>
      <c r="VFJ2" s="1"/>
      <c r="VFK2" s="1"/>
      <c r="VFL2" s="1"/>
      <c r="VFM2" s="1"/>
      <c r="VFN2" s="1"/>
      <c r="VFO2" s="1"/>
      <c r="VFP2" s="1"/>
      <c r="VFQ2" s="1"/>
      <c r="VFR2" s="1"/>
      <c r="VFS2" s="1"/>
      <c r="VFT2" s="1"/>
      <c r="VFU2" s="1"/>
      <c r="VFV2" s="1"/>
      <c r="VFW2" s="1"/>
      <c r="VFX2" s="1"/>
      <c r="VFY2" s="1"/>
      <c r="VFZ2" s="1"/>
      <c r="VGA2" s="1"/>
      <c r="VGB2" s="1"/>
      <c r="VGC2" s="1"/>
      <c r="VGD2" s="1"/>
      <c r="VGE2" s="1"/>
      <c r="VGF2" s="1"/>
      <c r="VGG2" s="1"/>
      <c r="VGH2" s="1"/>
      <c r="VGI2" s="1"/>
      <c r="VGJ2" s="1"/>
      <c r="VGK2" s="1"/>
      <c r="VGL2" s="1"/>
      <c r="VGM2" s="1"/>
      <c r="VGN2" s="1"/>
      <c r="VGO2" s="1"/>
      <c r="VGP2" s="1"/>
      <c r="VGQ2" s="1"/>
      <c r="VGR2" s="1"/>
      <c r="VGS2" s="1"/>
      <c r="VGT2" s="1"/>
      <c r="VGU2" s="1"/>
      <c r="VGV2" s="1"/>
      <c r="VGW2" s="1"/>
      <c r="VGX2" s="1"/>
      <c r="VGY2" s="1"/>
      <c r="VGZ2" s="1"/>
      <c r="VHA2" s="1"/>
      <c r="VHB2" s="1"/>
      <c r="VHC2" s="1"/>
      <c r="VHD2" s="1"/>
      <c r="VHE2" s="1"/>
      <c r="VHF2" s="1"/>
      <c r="VHG2" s="1"/>
      <c r="VHH2" s="1"/>
      <c r="VHI2" s="1"/>
      <c r="VHJ2" s="1"/>
      <c r="VHK2" s="1"/>
      <c r="VHL2" s="1"/>
      <c r="VHM2" s="1"/>
      <c r="VHN2" s="1"/>
      <c r="VHO2" s="1"/>
      <c r="VHP2" s="1"/>
      <c r="VHQ2" s="1"/>
      <c r="VHR2" s="1"/>
      <c r="VHS2" s="1"/>
      <c r="VHT2" s="1"/>
      <c r="VHU2" s="1"/>
      <c r="VHV2" s="1"/>
      <c r="VHW2" s="1"/>
      <c r="VHX2" s="1"/>
      <c r="VHY2" s="1"/>
      <c r="VHZ2" s="1"/>
      <c r="VIA2" s="1"/>
      <c r="VIB2" s="1"/>
      <c r="VIC2" s="1"/>
      <c r="VID2" s="1"/>
      <c r="VIE2" s="1"/>
      <c r="VIF2" s="1"/>
      <c r="VIG2" s="1"/>
      <c r="VIH2" s="1"/>
      <c r="VII2" s="1"/>
      <c r="VIJ2" s="1"/>
      <c r="VIK2" s="1"/>
      <c r="VIL2" s="1"/>
      <c r="VIM2" s="1"/>
      <c r="VIN2" s="1"/>
      <c r="VIO2" s="1"/>
      <c r="VIP2" s="1"/>
      <c r="VIQ2" s="1"/>
      <c r="VIR2" s="1"/>
      <c r="VIS2" s="1"/>
      <c r="VIT2" s="1"/>
      <c r="VIU2" s="1"/>
      <c r="VIV2" s="1"/>
      <c r="VIW2" s="1"/>
      <c r="VIX2" s="1"/>
      <c r="VIY2" s="1"/>
      <c r="VIZ2" s="1"/>
      <c r="VJA2" s="1"/>
      <c r="VJB2" s="1"/>
      <c r="VJC2" s="1"/>
      <c r="VJD2" s="1"/>
      <c r="VJE2" s="1"/>
      <c r="VJF2" s="1"/>
      <c r="VJG2" s="1"/>
      <c r="VJH2" s="1"/>
      <c r="VJI2" s="1"/>
      <c r="VJJ2" s="1"/>
      <c r="VJK2" s="1"/>
      <c r="VJL2" s="1"/>
      <c r="VJM2" s="1"/>
      <c r="VJN2" s="1"/>
      <c r="VJO2" s="1"/>
      <c r="VJP2" s="1"/>
      <c r="VJQ2" s="1"/>
      <c r="VJR2" s="1"/>
      <c r="VJS2" s="1"/>
      <c r="VJT2" s="1"/>
      <c r="VJU2" s="1"/>
      <c r="VJV2" s="1"/>
      <c r="VJW2" s="1"/>
      <c r="VJX2" s="1"/>
      <c r="VJY2" s="1"/>
      <c r="VJZ2" s="1"/>
      <c r="VKA2" s="1"/>
      <c r="VKB2" s="1"/>
      <c r="VKC2" s="1"/>
      <c r="VKD2" s="1"/>
      <c r="VKE2" s="1"/>
      <c r="VKF2" s="1"/>
      <c r="VKG2" s="1"/>
      <c r="VKH2" s="1"/>
      <c r="VKI2" s="1"/>
      <c r="VKJ2" s="1"/>
      <c r="VKK2" s="1"/>
      <c r="VKL2" s="1"/>
      <c r="VKM2" s="1"/>
      <c r="VKN2" s="1"/>
      <c r="VKO2" s="1"/>
      <c r="VKP2" s="1"/>
      <c r="VKQ2" s="1"/>
      <c r="VKR2" s="1"/>
      <c r="VKS2" s="1"/>
      <c r="VKT2" s="1"/>
      <c r="VKU2" s="1"/>
      <c r="VKV2" s="1"/>
      <c r="VKW2" s="1"/>
      <c r="VKX2" s="1"/>
      <c r="VKY2" s="1"/>
      <c r="VKZ2" s="1"/>
      <c r="VLA2" s="1"/>
      <c r="VLB2" s="1"/>
      <c r="VLC2" s="1"/>
      <c r="VLD2" s="1"/>
      <c r="VLE2" s="1"/>
      <c r="VLF2" s="1"/>
      <c r="VLG2" s="1"/>
      <c r="VLH2" s="1"/>
      <c r="VLI2" s="1"/>
      <c r="VLJ2" s="1"/>
      <c r="VLK2" s="1"/>
      <c r="VLL2" s="1"/>
      <c r="VLM2" s="1"/>
      <c r="VLN2" s="1"/>
      <c r="VLO2" s="1"/>
      <c r="VLP2" s="1"/>
      <c r="VLQ2" s="1"/>
      <c r="VLR2" s="1"/>
      <c r="VLS2" s="1"/>
      <c r="VLT2" s="1"/>
      <c r="VLU2" s="1"/>
      <c r="VLV2" s="1"/>
      <c r="VLW2" s="1"/>
      <c r="VLX2" s="1"/>
      <c r="VLY2" s="1"/>
      <c r="VLZ2" s="1"/>
      <c r="VMA2" s="1"/>
      <c r="VMB2" s="1"/>
      <c r="VMC2" s="1"/>
      <c r="VMD2" s="1"/>
      <c r="VME2" s="1"/>
      <c r="VMF2" s="1"/>
      <c r="VMG2" s="1"/>
      <c r="VMH2" s="1"/>
      <c r="VMI2" s="1"/>
      <c r="VMJ2" s="1"/>
      <c r="VMK2" s="1"/>
      <c r="VML2" s="1"/>
      <c r="VMM2" s="1"/>
      <c r="VMN2" s="1"/>
      <c r="VMO2" s="1"/>
      <c r="VMP2" s="1"/>
      <c r="VMQ2" s="1"/>
      <c r="VMR2" s="1"/>
      <c r="VMS2" s="1"/>
      <c r="VMT2" s="1"/>
      <c r="VMU2" s="1"/>
      <c r="VMV2" s="1"/>
      <c r="VMW2" s="1"/>
      <c r="VMX2" s="1"/>
      <c r="VMY2" s="1"/>
      <c r="VMZ2" s="1"/>
      <c r="VNA2" s="1"/>
      <c r="VNB2" s="1"/>
      <c r="VNC2" s="1"/>
      <c r="VND2" s="1"/>
      <c r="VNE2" s="1"/>
      <c r="VNF2" s="1"/>
      <c r="VNG2" s="1"/>
      <c r="VNH2" s="1"/>
      <c r="VNI2" s="1"/>
      <c r="VNJ2" s="1"/>
      <c r="VNK2" s="1"/>
      <c r="VNL2" s="1"/>
      <c r="VNM2" s="1"/>
      <c r="VNN2" s="1"/>
      <c r="VNO2" s="1"/>
      <c r="VNP2" s="1"/>
      <c r="VNQ2" s="1"/>
      <c r="VNR2" s="1"/>
      <c r="VNS2" s="1"/>
      <c r="VNT2" s="1"/>
      <c r="VNU2" s="1"/>
      <c r="VNV2" s="1"/>
      <c r="VNW2" s="1"/>
      <c r="VNX2" s="1"/>
      <c r="VNY2" s="1"/>
      <c r="VNZ2" s="1"/>
      <c r="VOA2" s="1"/>
      <c r="VOB2" s="1"/>
      <c r="VOC2" s="1"/>
      <c r="VOD2" s="1"/>
      <c r="VOE2" s="1"/>
      <c r="VOF2" s="1"/>
      <c r="VOG2" s="1"/>
      <c r="VOH2" s="1"/>
      <c r="VOI2" s="1"/>
      <c r="VOJ2" s="1"/>
      <c r="VOK2" s="1"/>
      <c r="VOL2" s="1"/>
      <c r="VOM2" s="1"/>
      <c r="VON2" s="1"/>
      <c r="VOO2" s="1"/>
      <c r="VOP2" s="1"/>
      <c r="VOQ2" s="1"/>
      <c r="VOR2" s="1"/>
      <c r="VOS2" s="1"/>
      <c r="VOT2" s="1"/>
      <c r="VOU2" s="1"/>
      <c r="VOV2" s="1"/>
      <c r="VOW2" s="1"/>
      <c r="VOX2" s="1"/>
      <c r="VOY2" s="1"/>
      <c r="VOZ2" s="1"/>
      <c r="VPA2" s="1"/>
      <c r="VPB2" s="1"/>
      <c r="VPC2" s="1"/>
      <c r="VPD2" s="1"/>
      <c r="VPE2" s="1"/>
      <c r="VPF2" s="1"/>
      <c r="VPG2" s="1"/>
      <c r="VPH2" s="1"/>
      <c r="VPI2" s="1"/>
      <c r="VPJ2" s="1"/>
      <c r="VPK2" s="1"/>
      <c r="VPL2" s="1"/>
      <c r="VPM2" s="1"/>
      <c r="VPN2" s="1"/>
      <c r="VPO2" s="1"/>
      <c r="VPP2" s="1"/>
      <c r="VPQ2" s="1"/>
      <c r="VPR2" s="1"/>
      <c r="VPS2" s="1"/>
      <c r="VPT2" s="1"/>
      <c r="VPU2" s="1"/>
      <c r="VPV2" s="1"/>
      <c r="VPW2" s="1"/>
      <c r="VPX2" s="1"/>
      <c r="VPY2" s="1"/>
      <c r="VPZ2" s="1"/>
      <c r="VQA2" s="1"/>
      <c r="VQB2" s="1"/>
      <c r="VQC2" s="1"/>
      <c r="VQD2" s="1"/>
      <c r="VQE2" s="1"/>
      <c r="VQF2" s="1"/>
      <c r="VQG2" s="1"/>
      <c r="VQH2" s="1"/>
      <c r="VQI2" s="1"/>
      <c r="VQJ2" s="1"/>
      <c r="VQK2" s="1"/>
      <c r="VQL2" s="1"/>
      <c r="VQM2" s="1"/>
      <c r="VQN2" s="1"/>
      <c r="VQO2" s="1"/>
      <c r="VQP2" s="1"/>
      <c r="VQQ2" s="1"/>
      <c r="VQR2" s="1"/>
      <c r="VQS2" s="1"/>
      <c r="VQT2" s="1"/>
      <c r="VQU2" s="1"/>
      <c r="VQV2" s="1"/>
      <c r="VQW2" s="1"/>
      <c r="VQX2" s="1"/>
      <c r="VQY2" s="1"/>
      <c r="VQZ2" s="1"/>
      <c r="VRA2" s="1"/>
      <c r="VRB2" s="1"/>
      <c r="VRC2" s="1"/>
      <c r="VRD2" s="1"/>
      <c r="VRE2" s="1"/>
      <c r="VRF2" s="1"/>
      <c r="VRG2" s="1"/>
      <c r="VRH2" s="1"/>
      <c r="VRI2" s="1"/>
      <c r="VRJ2" s="1"/>
      <c r="VRK2" s="1"/>
      <c r="VRL2" s="1"/>
      <c r="VRM2" s="1"/>
      <c r="VRN2" s="1"/>
      <c r="VRO2" s="1"/>
      <c r="VRP2" s="1"/>
      <c r="VRQ2" s="1"/>
      <c r="VRR2" s="1"/>
      <c r="VRS2" s="1"/>
      <c r="VRT2" s="1"/>
      <c r="VRU2" s="1"/>
      <c r="VRV2" s="1"/>
      <c r="VRW2" s="1"/>
      <c r="VRX2" s="1"/>
      <c r="VRY2" s="1"/>
      <c r="VRZ2" s="1"/>
      <c r="VSA2" s="1"/>
      <c r="VSB2" s="1"/>
      <c r="VSC2" s="1"/>
      <c r="VSD2" s="1"/>
      <c r="VSE2" s="1"/>
      <c r="VSF2" s="1"/>
      <c r="VSG2" s="1"/>
      <c r="VSH2" s="1"/>
      <c r="VSI2" s="1"/>
      <c r="VSJ2" s="1"/>
      <c r="VSK2" s="1"/>
      <c r="VSL2" s="1"/>
      <c r="VSM2" s="1"/>
      <c r="VSN2" s="1"/>
      <c r="VSO2" s="1"/>
      <c r="VSP2" s="1"/>
      <c r="VSQ2" s="1"/>
      <c r="VSR2" s="1"/>
      <c r="VSS2" s="1"/>
      <c r="VST2" s="1"/>
      <c r="VSU2" s="1"/>
      <c r="VSV2" s="1"/>
      <c r="VSW2" s="1"/>
      <c r="VSX2" s="1"/>
      <c r="VSY2" s="1"/>
      <c r="VSZ2" s="1"/>
      <c r="VTA2" s="1"/>
      <c r="VTB2" s="1"/>
      <c r="VTC2" s="1"/>
      <c r="VTD2" s="1"/>
      <c r="VTE2" s="1"/>
      <c r="VTF2" s="1"/>
      <c r="VTG2" s="1"/>
      <c r="VTH2" s="1"/>
      <c r="VTI2" s="1"/>
      <c r="VTJ2" s="1"/>
      <c r="VTK2" s="1"/>
      <c r="VTL2" s="1"/>
      <c r="VTM2" s="1"/>
      <c r="VTN2" s="1"/>
      <c r="VTO2" s="1"/>
      <c r="VTP2" s="1"/>
      <c r="VTQ2" s="1"/>
      <c r="VTR2" s="1"/>
      <c r="VTS2" s="1"/>
      <c r="VTT2" s="1"/>
      <c r="VTU2" s="1"/>
      <c r="VTV2" s="1"/>
      <c r="VTW2" s="1"/>
      <c r="VTX2" s="1"/>
      <c r="VTY2" s="1"/>
      <c r="VTZ2" s="1"/>
      <c r="VUA2" s="1"/>
      <c r="VUB2" s="1"/>
      <c r="VUC2" s="1"/>
      <c r="VUD2" s="1"/>
      <c r="VUE2" s="1"/>
      <c r="VUF2" s="1"/>
      <c r="VUG2" s="1"/>
      <c r="VUH2" s="1"/>
      <c r="VUI2" s="1"/>
      <c r="VUJ2" s="1"/>
      <c r="VUK2" s="1"/>
      <c r="VUL2" s="1"/>
      <c r="VUM2" s="1"/>
      <c r="VUN2" s="1"/>
      <c r="VUO2" s="1"/>
      <c r="VUP2" s="1"/>
      <c r="VUQ2" s="1"/>
      <c r="VUR2" s="1"/>
      <c r="VUS2" s="1"/>
      <c r="VUT2" s="1"/>
      <c r="VUU2" s="1"/>
      <c r="VUV2" s="1"/>
      <c r="VUW2" s="1"/>
      <c r="VUX2" s="1"/>
      <c r="VUY2" s="1"/>
      <c r="VUZ2" s="1"/>
      <c r="VVA2" s="1"/>
      <c r="VVB2" s="1"/>
      <c r="VVC2" s="1"/>
      <c r="VVD2" s="1"/>
      <c r="VVE2" s="1"/>
      <c r="VVF2" s="1"/>
      <c r="VVG2" s="1"/>
      <c r="VVH2" s="1"/>
      <c r="VVI2" s="1"/>
      <c r="VVJ2" s="1"/>
      <c r="VVK2" s="1"/>
      <c r="VVL2" s="1"/>
      <c r="VVM2" s="1"/>
      <c r="VVN2" s="1"/>
      <c r="VVO2" s="1"/>
      <c r="VVP2" s="1"/>
      <c r="VVQ2" s="1"/>
      <c r="VVR2" s="1"/>
      <c r="VVS2" s="1"/>
      <c r="VVT2" s="1"/>
      <c r="VVU2" s="1"/>
      <c r="VVV2" s="1"/>
      <c r="VVW2" s="1"/>
      <c r="VVX2" s="1"/>
      <c r="VVY2" s="1"/>
      <c r="VVZ2" s="1"/>
      <c r="VWA2" s="1"/>
      <c r="VWB2" s="1"/>
      <c r="VWC2" s="1"/>
      <c r="VWD2" s="1"/>
      <c r="VWE2" s="1"/>
      <c r="VWF2" s="1"/>
      <c r="VWG2" s="1"/>
      <c r="VWH2" s="1"/>
      <c r="VWI2" s="1"/>
      <c r="VWJ2" s="1"/>
      <c r="VWK2" s="1"/>
      <c r="VWL2" s="1"/>
      <c r="VWM2" s="1"/>
      <c r="VWN2" s="1"/>
      <c r="VWO2" s="1"/>
      <c r="VWP2" s="1"/>
      <c r="VWQ2" s="1"/>
      <c r="VWR2" s="1"/>
      <c r="VWS2" s="1"/>
      <c r="VWT2" s="1"/>
      <c r="VWU2" s="1"/>
      <c r="VWV2" s="1"/>
      <c r="VWW2" s="1"/>
      <c r="VWX2" s="1"/>
      <c r="VWY2" s="1"/>
      <c r="VWZ2" s="1"/>
      <c r="VXA2" s="1"/>
      <c r="VXB2" s="1"/>
      <c r="VXC2" s="1"/>
      <c r="VXD2" s="1"/>
      <c r="VXE2" s="1"/>
      <c r="VXF2" s="1"/>
      <c r="VXG2" s="1"/>
      <c r="VXH2" s="1"/>
      <c r="VXI2" s="1"/>
      <c r="VXJ2" s="1"/>
      <c r="VXK2" s="1"/>
      <c r="VXL2" s="1"/>
      <c r="VXM2" s="1"/>
      <c r="VXN2" s="1"/>
      <c r="VXO2" s="1"/>
      <c r="VXP2" s="1"/>
      <c r="VXQ2" s="1"/>
      <c r="VXR2" s="1"/>
      <c r="VXS2" s="1"/>
      <c r="VXT2" s="1"/>
      <c r="VXU2" s="1"/>
      <c r="VXV2" s="1"/>
      <c r="VXW2" s="1"/>
      <c r="VXX2" s="1"/>
      <c r="VXY2" s="1"/>
      <c r="VXZ2" s="1"/>
      <c r="VYA2" s="1"/>
      <c r="VYB2" s="1"/>
      <c r="VYC2" s="1"/>
      <c r="VYD2" s="1"/>
      <c r="VYE2" s="1"/>
      <c r="VYF2" s="1"/>
      <c r="VYG2" s="1"/>
      <c r="VYH2" s="1"/>
      <c r="VYI2" s="1"/>
      <c r="VYJ2" s="1"/>
      <c r="VYK2" s="1"/>
      <c r="VYL2" s="1"/>
      <c r="VYM2" s="1"/>
      <c r="VYN2" s="1"/>
      <c r="VYO2" s="1"/>
      <c r="VYP2" s="1"/>
      <c r="VYQ2" s="1"/>
      <c r="VYR2" s="1"/>
      <c r="VYS2" s="1"/>
      <c r="VYT2" s="1"/>
      <c r="VYU2" s="1"/>
      <c r="VYV2" s="1"/>
      <c r="VYW2" s="1"/>
      <c r="VYX2" s="1"/>
      <c r="VYY2" s="1"/>
      <c r="VYZ2" s="1"/>
      <c r="VZA2" s="1"/>
      <c r="VZB2" s="1"/>
      <c r="VZC2" s="1"/>
      <c r="VZD2" s="1"/>
      <c r="VZE2" s="1"/>
      <c r="VZF2" s="1"/>
      <c r="VZG2" s="1"/>
      <c r="VZH2" s="1"/>
      <c r="VZI2" s="1"/>
      <c r="VZJ2" s="1"/>
      <c r="VZK2" s="1"/>
      <c r="VZL2" s="1"/>
      <c r="VZM2" s="1"/>
      <c r="VZN2" s="1"/>
      <c r="VZO2" s="1"/>
      <c r="VZP2" s="1"/>
      <c r="VZQ2" s="1"/>
      <c r="VZR2" s="1"/>
      <c r="VZS2" s="1"/>
      <c r="VZT2" s="1"/>
      <c r="VZU2" s="1"/>
      <c r="VZV2" s="1"/>
      <c r="VZW2" s="1"/>
      <c r="VZX2" s="1"/>
      <c r="VZY2" s="1"/>
      <c r="VZZ2" s="1"/>
      <c r="WAA2" s="1"/>
      <c r="WAB2" s="1"/>
      <c r="WAC2" s="1"/>
      <c r="WAD2" s="1"/>
      <c r="WAE2" s="1"/>
      <c r="WAF2" s="1"/>
      <c r="WAG2" s="1"/>
      <c r="WAH2" s="1"/>
      <c r="WAI2" s="1"/>
      <c r="WAJ2" s="1"/>
      <c r="WAK2" s="1"/>
      <c r="WAL2" s="1"/>
      <c r="WAM2" s="1"/>
      <c r="WAN2" s="1"/>
      <c r="WAO2" s="1"/>
      <c r="WAP2" s="1"/>
      <c r="WAQ2" s="1"/>
      <c r="WAR2" s="1"/>
      <c r="WAS2" s="1"/>
      <c r="WAT2" s="1"/>
      <c r="WAU2" s="1"/>
      <c r="WAV2" s="1"/>
      <c r="WAW2" s="1"/>
      <c r="WAX2" s="1"/>
      <c r="WAY2" s="1"/>
      <c r="WAZ2" s="1"/>
      <c r="WBA2" s="1"/>
      <c r="WBB2" s="1"/>
      <c r="WBC2" s="1"/>
      <c r="WBD2" s="1"/>
      <c r="WBE2" s="1"/>
      <c r="WBF2" s="1"/>
      <c r="WBG2" s="1"/>
      <c r="WBH2" s="1"/>
      <c r="WBI2" s="1"/>
      <c r="WBJ2" s="1"/>
      <c r="WBK2" s="1"/>
      <c r="WBL2" s="1"/>
      <c r="WBM2" s="1"/>
      <c r="WBN2" s="1"/>
      <c r="WBO2" s="1"/>
      <c r="WBP2" s="1"/>
      <c r="WBQ2" s="1"/>
      <c r="WBR2" s="1"/>
      <c r="WBS2" s="1"/>
      <c r="WBT2" s="1"/>
      <c r="WBU2" s="1"/>
      <c r="WBV2" s="1"/>
      <c r="WBW2" s="1"/>
      <c r="WBX2" s="1"/>
      <c r="WBY2" s="1"/>
      <c r="WBZ2" s="1"/>
      <c r="WCA2" s="1"/>
      <c r="WCB2" s="1"/>
      <c r="WCC2" s="1"/>
      <c r="WCD2" s="1"/>
      <c r="WCE2" s="1"/>
      <c r="WCF2" s="1"/>
      <c r="WCG2" s="1"/>
      <c r="WCH2" s="1"/>
      <c r="WCI2" s="1"/>
      <c r="WCJ2" s="1"/>
      <c r="WCK2" s="1"/>
      <c r="WCL2" s="1"/>
      <c r="WCM2" s="1"/>
      <c r="WCN2" s="1"/>
      <c r="WCO2" s="1"/>
      <c r="WCP2" s="1"/>
      <c r="WCQ2" s="1"/>
      <c r="WCR2" s="1"/>
      <c r="WCS2" s="1"/>
      <c r="WCT2" s="1"/>
      <c r="WCU2" s="1"/>
      <c r="WCV2" s="1"/>
      <c r="WCW2" s="1"/>
      <c r="WCX2" s="1"/>
      <c r="WCY2" s="1"/>
      <c r="WCZ2" s="1"/>
      <c r="WDA2" s="1"/>
      <c r="WDB2" s="1"/>
      <c r="WDC2" s="1"/>
      <c r="WDD2" s="1"/>
      <c r="WDE2" s="1"/>
      <c r="WDF2" s="1"/>
      <c r="WDG2" s="1"/>
      <c r="WDH2" s="1"/>
      <c r="WDI2" s="1"/>
      <c r="WDJ2" s="1"/>
      <c r="WDK2" s="1"/>
      <c r="WDL2" s="1"/>
      <c r="WDM2" s="1"/>
      <c r="WDN2" s="1"/>
      <c r="WDO2" s="1"/>
      <c r="WDP2" s="1"/>
      <c r="WDQ2" s="1"/>
      <c r="WDR2" s="1"/>
      <c r="WDS2" s="1"/>
      <c r="WDT2" s="1"/>
      <c r="WDU2" s="1"/>
      <c r="WDV2" s="1"/>
      <c r="WDW2" s="1"/>
      <c r="WDX2" s="1"/>
      <c r="WDY2" s="1"/>
      <c r="WDZ2" s="1"/>
      <c r="WEA2" s="1"/>
      <c r="WEB2" s="1"/>
      <c r="WEC2" s="1"/>
      <c r="WED2" s="1"/>
      <c r="WEE2" s="1"/>
      <c r="WEF2" s="1"/>
      <c r="WEG2" s="1"/>
      <c r="WEH2" s="1"/>
      <c r="WEI2" s="1"/>
      <c r="WEJ2" s="1"/>
      <c r="WEK2" s="1"/>
      <c r="WEL2" s="1"/>
      <c r="WEM2" s="1"/>
      <c r="WEN2" s="1"/>
      <c r="WEO2" s="1"/>
      <c r="WEP2" s="1"/>
      <c r="WEQ2" s="1"/>
      <c r="WER2" s="1"/>
      <c r="WES2" s="1"/>
      <c r="WET2" s="1"/>
      <c r="WEU2" s="1"/>
      <c r="WEV2" s="1"/>
      <c r="WEW2" s="1"/>
      <c r="WEX2" s="1"/>
      <c r="WEY2" s="1"/>
      <c r="WEZ2" s="1"/>
      <c r="WFA2" s="1"/>
      <c r="WFB2" s="1"/>
      <c r="WFC2" s="1"/>
      <c r="WFD2" s="1"/>
      <c r="WFE2" s="1"/>
      <c r="WFF2" s="1"/>
      <c r="WFG2" s="1"/>
      <c r="WFH2" s="1"/>
      <c r="WFI2" s="1"/>
      <c r="WFJ2" s="1"/>
      <c r="WFK2" s="1"/>
      <c r="WFL2" s="1"/>
      <c r="WFM2" s="1"/>
      <c r="WFN2" s="1"/>
      <c r="WFO2" s="1"/>
      <c r="WFP2" s="1"/>
      <c r="WFQ2" s="1"/>
      <c r="WFR2" s="1"/>
      <c r="WFS2" s="1"/>
      <c r="WFT2" s="1"/>
      <c r="WFU2" s="1"/>
      <c r="WFV2" s="1"/>
      <c r="WFW2" s="1"/>
      <c r="WFX2" s="1"/>
      <c r="WFY2" s="1"/>
      <c r="WFZ2" s="1"/>
      <c r="WGA2" s="1"/>
      <c r="WGB2" s="1"/>
      <c r="WGC2" s="1"/>
      <c r="WGD2" s="1"/>
      <c r="WGE2" s="1"/>
      <c r="WGF2" s="1"/>
      <c r="WGG2" s="1"/>
      <c r="WGH2" s="1"/>
      <c r="WGI2" s="1"/>
      <c r="WGJ2" s="1"/>
      <c r="WGK2" s="1"/>
      <c r="WGL2" s="1"/>
      <c r="WGM2" s="1"/>
      <c r="WGN2" s="1"/>
      <c r="WGO2" s="1"/>
      <c r="WGP2" s="1"/>
      <c r="WGQ2" s="1"/>
      <c r="WGR2" s="1"/>
      <c r="WGS2" s="1"/>
      <c r="WGT2" s="1"/>
      <c r="WGU2" s="1"/>
      <c r="WGV2" s="1"/>
      <c r="WGW2" s="1"/>
      <c r="WGX2" s="1"/>
      <c r="WGY2" s="1"/>
      <c r="WGZ2" s="1"/>
      <c r="WHA2" s="1"/>
      <c r="WHB2" s="1"/>
      <c r="WHC2" s="1"/>
      <c r="WHD2" s="1"/>
      <c r="WHE2" s="1"/>
      <c r="WHF2" s="1"/>
      <c r="WHG2" s="1"/>
      <c r="WHH2" s="1"/>
      <c r="WHI2" s="1"/>
      <c r="WHJ2" s="1"/>
      <c r="WHK2" s="1"/>
      <c r="WHL2" s="1"/>
      <c r="WHM2" s="1"/>
      <c r="WHN2" s="1"/>
      <c r="WHO2" s="1"/>
      <c r="WHP2" s="1"/>
      <c r="WHQ2" s="1"/>
      <c r="WHR2" s="1"/>
      <c r="WHS2" s="1"/>
      <c r="WHT2" s="1"/>
      <c r="WHU2" s="1"/>
      <c r="WHV2" s="1"/>
      <c r="WHW2" s="1"/>
      <c r="WHX2" s="1"/>
      <c r="WHY2" s="1"/>
      <c r="WHZ2" s="1"/>
      <c r="WIA2" s="1"/>
      <c r="WIB2" s="1"/>
      <c r="WIC2" s="1"/>
      <c r="WID2" s="1"/>
      <c r="WIE2" s="1"/>
      <c r="WIF2" s="1"/>
      <c r="WIG2" s="1"/>
      <c r="WIH2" s="1"/>
      <c r="WII2" s="1"/>
      <c r="WIJ2" s="1"/>
      <c r="WIK2" s="1"/>
      <c r="WIL2" s="1"/>
      <c r="WIM2" s="1"/>
      <c r="WIN2" s="1"/>
      <c r="WIO2" s="1"/>
      <c r="WIP2" s="1"/>
      <c r="WIQ2" s="1"/>
      <c r="WIR2" s="1"/>
      <c r="WIS2" s="1"/>
      <c r="WIT2" s="1"/>
      <c r="WIU2" s="1"/>
      <c r="WIV2" s="1"/>
      <c r="WIW2" s="1"/>
      <c r="WIX2" s="1"/>
      <c r="WIY2" s="1"/>
      <c r="WIZ2" s="1"/>
      <c r="WJA2" s="1"/>
      <c r="WJB2" s="1"/>
      <c r="WJC2" s="1"/>
      <c r="WJD2" s="1"/>
      <c r="WJE2" s="1"/>
      <c r="WJF2" s="1"/>
      <c r="WJG2" s="1"/>
      <c r="WJH2" s="1"/>
      <c r="WJI2" s="1"/>
      <c r="WJJ2" s="1"/>
      <c r="WJK2" s="1"/>
      <c r="WJL2" s="1"/>
      <c r="WJM2" s="1"/>
      <c r="WJN2" s="1"/>
      <c r="WJO2" s="1"/>
      <c r="WJP2" s="1"/>
      <c r="WJQ2" s="1"/>
      <c r="WJR2" s="1"/>
      <c r="WJS2" s="1"/>
      <c r="WJT2" s="1"/>
      <c r="WJU2" s="1"/>
      <c r="WJV2" s="1"/>
      <c r="WJW2" s="1"/>
      <c r="WJX2" s="1"/>
      <c r="WJY2" s="1"/>
      <c r="WJZ2" s="1"/>
      <c r="WKA2" s="1"/>
      <c r="WKB2" s="1"/>
      <c r="WKC2" s="1"/>
      <c r="WKD2" s="1"/>
      <c r="WKE2" s="1"/>
      <c r="WKF2" s="1"/>
      <c r="WKG2" s="1"/>
      <c r="WKH2" s="1"/>
      <c r="WKI2" s="1"/>
      <c r="WKJ2" s="1"/>
      <c r="WKK2" s="1"/>
      <c r="WKL2" s="1"/>
      <c r="WKM2" s="1"/>
      <c r="WKN2" s="1"/>
      <c r="WKO2" s="1"/>
      <c r="WKP2" s="1"/>
      <c r="WKQ2" s="1"/>
      <c r="WKR2" s="1"/>
      <c r="WKS2" s="1"/>
      <c r="WKT2" s="1"/>
      <c r="WKU2" s="1"/>
      <c r="WKV2" s="1"/>
      <c r="WKW2" s="1"/>
      <c r="WKX2" s="1"/>
      <c r="WKY2" s="1"/>
      <c r="WKZ2" s="1"/>
      <c r="WLA2" s="1"/>
      <c r="WLB2" s="1"/>
      <c r="WLC2" s="1"/>
      <c r="WLD2" s="1"/>
      <c r="WLE2" s="1"/>
      <c r="WLF2" s="1"/>
      <c r="WLG2" s="1"/>
      <c r="WLH2" s="1"/>
      <c r="WLI2" s="1"/>
      <c r="WLJ2" s="1"/>
      <c r="WLK2" s="1"/>
      <c r="WLL2" s="1"/>
      <c r="WLM2" s="1"/>
      <c r="WLN2" s="1"/>
      <c r="WLO2" s="1"/>
      <c r="WLP2" s="1"/>
      <c r="WLQ2" s="1"/>
      <c r="WLR2" s="1"/>
      <c r="WLS2" s="1"/>
      <c r="WLT2" s="1"/>
      <c r="WLU2" s="1"/>
      <c r="WLV2" s="1"/>
      <c r="WLW2" s="1"/>
      <c r="WLX2" s="1"/>
      <c r="WLY2" s="1"/>
      <c r="WLZ2" s="1"/>
      <c r="WMA2" s="1"/>
      <c r="WMB2" s="1"/>
      <c r="WMC2" s="1"/>
      <c r="WMD2" s="1"/>
      <c r="WME2" s="1"/>
      <c r="WMF2" s="1"/>
      <c r="WMG2" s="1"/>
      <c r="WMH2" s="1"/>
      <c r="WMI2" s="1"/>
      <c r="WMJ2" s="1"/>
      <c r="WMK2" s="1"/>
      <c r="WML2" s="1"/>
      <c r="WMM2" s="1"/>
      <c r="WMN2" s="1"/>
      <c r="WMO2" s="1"/>
      <c r="WMP2" s="1"/>
      <c r="WMQ2" s="1"/>
      <c r="WMR2" s="1"/>
      <c r="WMS2" s="1"/>
      <c r="WMT2" s="1"/>
      <c r="WMU2" s="1"/>
      <c r="WMV2" s="1"/>
      <c r="WMW2" s="1"/>
      <c r="WMX2" s="1"/>
      <c r="WMY2" s="1"/>
      <c r="WMZ2" s="1"/>
      <c r="WNA2" s="1"/>
      <c r="WNB2" s="1"/>
      <c r="WNC2" s="1"/>
      <c r="WND2" s="1"/>
      <c r="WNE2" s="1"/>
      <c r="WNF2" s="1"/>
      <c r="WNG2" s="1"/>
      <c r="WNH2" s="1"/>
      <c r="WNI2" s="1"/>
      <c r="WNJ2" s="1"/>
      <c r="WNK2" s="1"/>
      <c r="WNL2" s="1"/>
      <c r="WNM2" s="1"/>
      <c r="WNN2" s="1"/>
      <c r="WNO2" s="1"/>
      <c r="WNP2" s="1"/>
      <c r="WNQ2" s="1"/>
      <c r="WNR2" s="1"/>
      <c r="WNS2" s="1"/>
      <c r="WNT2" s="1"/>
      <c r="WNU2" s="1"/>
      <c r="WNV2" s="1"/>
      <c r="WNW2" s="1"/>
      <c r="WNX2" s="1"/>
      <c r="WNY2" s="1"/>
      <c r="WNZ2" s="1"/>
      <c r="WOA2" s="1"/>
      <c r="WOB2" s="1"/>
      <c r="WOC2" s="1"/>
      <c r="WOD2" s="1"/>
      <c r="WOE2" s="1"/>
      <c r="WOF2" s="1"/>
      <c r="WOG2" s="1"/>
      <c r="WOH2" s="1"/>
      <c r="WOI2" s="1"/>
      <c r="WOJ2" s="1"/>
      <c r="WOK2" s="1"/>
      <c r="WOL2" s="1"/>
      <c r="WOM2" s="1"/>
      <c r="WON2" s="1"/>
      <c r="WOO2" s="1"/>
      <c r="WOP2" s="1"/>
      <c r="WOQ2" s="1"/>
      <c r="WOR2" s="1"/>
      <c r="WOS2" s="1"/>
      <c r="WOT2" s="1"/>
      <c r="WOU2" s="1"/>
      <c r="WOV2" s="1"/>
      <c r="WOW2" s="1"/>
      <c r="WOX2" s="1"/>
      <c r="WOY2" s="1"/>
      <c r="WOZ2" s="1"/>
      <c r="WPA2" s="1"/>
      <c r="WPB2" s="1"/>
      <c r="WPC2" s="1"/>
      <c r="WPD2" s="1"/>
      <c r="WPE2" s="1"/>
      <c r="WPF2" s="1"/>
      <c r="WPG2" s="1"/>
      <c r="WPH2" s="1"/>
      <c r="WPI2" s="1"/>
      <c r="WPJ2" s="1"/>
      <c r="WPK2" s="1"/>
      <c r="WPL2" s="1"/>
      <c r="WPM2" s="1"/>
      <c r="WPN2" s="1"/>
      <c r="WPO2" s="1"/>
      <c r="WPP2" s="1"/>
      <c r="WPQ2" s="1"/>
      <c r="WPR2" s="1"/>
      <c r="WPS2" s="1"/>
      <c r="WPT2" s="1"/>
      <c r="WPU2" s="1"/>
      <c r="WPV2" s="1"/>
      <c r="WPW2" s="1"/>
      <c r="WPX2" s="1"/>
      <c r="WPY2" s="1"/>
      <c r="WPZ2" s="1"/>
      <c r="WQA2" s="1"/>
      <c r="WQB2" s="1"/>
      <c r="WQC2" s="1"/>
      <c r="WQD2" s="1"/>
      <c r="WQE2" s="1"/>
      <c r="WQF2" s="1"/>
      <c r="WQG2" s="1"/>
      <c r="WQH2" s="1"/>
      <c r="WQI2" s="1"/>
      <c r="WQJ2" s="1"/>
      <c r="WQK2" s="1"/>
      <c r="WQL2" s="1"/>
      <c r="WQM2" s="1"/>
      <c r="WQN2" s="1"/>
      <c r="WQO2" s="1"/>
      <c r="WQP2" s="1"/>
      <c r="WQQ2" s="1"/>
      <c r="WQR2" s="1"/>
      <c r="WQS2" s="1"/>
      <c r="WQT2" s="1"/>
      <c r="WQU2" s="1"/>
      <c r="WQV2" s="1"/>
      <c r="WQW2" s="1"/>
      <c r="WQX2" s="1"/>
      <c r="WQY2" s="1"/>
      <c r="WQZ2" s="1"/>
      <c r="WRA2" s="1"/>
      <c r="WRB2" s="1"/>
      <c r="WRC2" s="1"/>
      <c r="WRD2" s="1"/>
      <c r="WRE2" s="1"/>
      <c r="WRF2" s="1"/>
      <c r="WRG2" s="1"/>
      <c r="WRH2" s="1"/>
      <c r="WRI2" s="1"/>
      <c r="WRJ2" s="1"/>
      <c r="WRK2" s="1"/>
      <c r="WRL2" s="1"/>
      <c r="WRM2" s="1"/>
      <c r="WRN2" s="1"/>
      <c r="WRO2" s="1"/>
      <c r="WRP2" s="1"/>
      <c r="WRQ2" s="1"/>
      <c r="WRR2" s="1"/>
      <c r="WRS2" s="1"/>
      <c r="WRT2" s="1"/>
      <c r="WRU2" s="1"/>
      <c r="WRV2" s="1"/>
      <c r="WRW2" s="1"/>
      <c r="WRX2" s="1"/>
      <c r="WRY2" s="1"/>
      <c r="WRZ2" s="1"/>
      <c r="WSA2" s="1"/>
      <c r="WSB2" s="1"/>
      <c r="WSC2" s="1"/>
      <c r="WSD2" s="1"/>
      <c r="WSE2" s="1"/>
      <c r="WSF2" s="1"/>
      <c r="WSG2" s="1"/>
      <c r="WSH2" s="1"/>
      <c r="WSI2" s="1"/>
      <c r="WSJ2" s="1"/>
      <c r="WSK2" s="1"/>
      <c r="WSL2" s="1"/>
      <c r="WSM2" s="1"/>
      <c r="WSN2" s="1"/>
      <c r="WSO2" s="1"/>
      <c r="WSP2" s="1"/>
      <c r="WSQ2" s="1"/>
      <c r="WSR2" s="1"/>
      <c r="WSS2" s="1"/>
      <c r="WST2" s="1"/>
      <c r="WSU2" s="1"/>
      <c r="WSV2" s="1"/>
      <c r="WSW2" s="1"/>
      <c r="WSX2" s="1"/>
      <c r="WSY2" s="1"/>
      <c r="WSZ2" s="1"/>
      <c r="WTA2" s="1"/>
      <c r="WTB2" s="1"/>
      <c r="WTC2" s="1"/>
      <c r="WTD2" s="1"/>
      <c r="WTE2" s="1"/>
      <c r="WTF2" s="1"/>
      <c r="WTG2" s="1"/>
      <c r="WTH2" s="1"/>
      <c r="WTI2" s="1"/>
      <c r="WTJ2" s="1"/>
      <c r="WTK2" s="1"/>
      <c r="WTL2" s="1"/>
      <c r="WTM2" s="1"/>
      <c r="WTN2" s="1"/>
      <c r="WTO2" s="1"/>
      <c r="WTP2" s="1"/>
      <c r="WTQ2" s="1"/>
      <c r="WTR2" s="1"/>
      <c r="WTS2" s="1"/>
      <c r="WTT2" s="1"/>
      <c r="WTU2" s="1"/>
      <c r="WTV2" s="1"/>
      <c r="WTW2" s="1"/>
      <c r="WTX2" s="1"/>
      <c r="WTY2" s="1"/>
      <c r="WTZ2" s="1"/>
      <c r="WUA2" s="1"/>
      <c r="WUB2" s="1"/>
      <c r="WUC2" s="1"/>
      <c r="WUD2" s="1"/>
      <c r="WUE2" s="1"/>
      <c r="WUF2" s="1"/>
      <c r="WUG2" s="1"/>
      <c r="WUH2" s="1"/>
      <c r="WUI2" s="1"/>
      <c r="WUJ2" s="1"/>
      <c r="WUK2" s="1"/>
      <c r="WUL2" s="1"/>
      <c r="WUM2" s="1"/>
      <c r="WUN2" s="1"/>
      <c r="WUO2" s="1"/>
      <c r="WUP2" s="1"/>
      <c r="WUQ2" s="1"/>
      <c r="WUR2" s="1"/>
      <c r="WUS2" s="1"/>
      <c r="WUT2" s="1"/>
      <c r="WUU2" s="1"/>
      <c r="WUV2" s="1"/>
      <c r="WUW2" s="1"/>
      <c r="WUX2" s="1"/>
      <c r="WUY2" s="1"/>
      <c r="WUZ2" s="1"/>
      <c r="WVA2" s="1"/>
      <c r="WVB2" s="1"/>
      <c r="WVC2" s="1"/>
      <c r="WVD2" s="1"/>
      <c r="WVE2" s="1"/>
      <c r="WVF2" s="1"/>
      <c r="WVG2" s="1"/>
      <c r="WVH2" s="1"/>
      <c r="WVI2" s="1"/>
      <c r="WVJ2" s="1"/>
      <c r="WVK2" s="1"/>
      <c r="WVL2" s="1"/>
      <c r="WVM2" s="1"/>
      <c r="WVN2" s="1"/>
      <c r="WVO2" s="1"/>
      <c r="WVP2" s="1"/>
      <c r="WVQ2" s="1"/>
      <c r="WVR2" s="1"/>
      <c r="WVS2" s="1"/>
      <c r="WVT2" s="1"/>
      <c r="WVU2" s="1"/>
      <c r="WVV2" s="1"/>
      <c r="WVW2" s="1"/>
      <c r="WVX2" s="1"/>
      <c r="WVY2" s="1"/>
      <c r="WVZ2" s="1"/>
      <c r="WWA2" s="1"/>
      <c r="WWB2" s="1"/>
      <c r="WWC2" s="1"/>
      <c r="WWD2" s="1"/>
      <c r="WWE2" s="1"/>
      <c r="WWF2" s="1"/>
      <c r="WWG2" s="1"/>
      <c r="WWH2" s="1"/>
      <c r="WWI2" s="1"/>
      <c r="WWJ2" s="1"/>
      <c r="WWK2" s="1"/>
      <c r="WWL2" s="1"/>
      <c r="WWM2" s="1"/>
      <c r="WWN2" s="1"/>
      <c r="WWO2" s="1"/>
      <c r="WWP2" s="1"/>
      <c r="WWQ2" s="1"/>
      <c r="WWR2" s="1"/>
      <c r="WWS2" s="1"/>
      <c r="WWT2" s="1"/>
      <c r="WWU2" s="1"/>
      <c r="WWV2" s="1"/>
      <c r="WWW2" s="1"/>
      <c r="WWX2" s="1"/>
      <c r="WWY2" s="1"/>
      <c r="WWZ2" s="1"/>
      <c r="WXA2" s="1"/>
      <c r="WXB2" s="1"/>
      <c r="WXC2" s="1"/>
      <c r="WXD2" s="1"/>
      <c r="WXE2" s="1"/>
      <c r="WXF2" s="1"/>
      <c r="WXG2" s="1"/>
      <c r="WXH2" s="1"/>
      <c r="WXI2" s="1"/>
      <c r="WXJ2" s="1"/>
      <c r="WXK2" s="1"/>
      <c r="WXL2" s="1"/>
      <c r="WXM2" s="1"/>
      <c r="WXN2" s="1"/>
      <c r="WXO2" s="1"/>
      <c r="WXP2" s="1"/>
      <c r="WXQ2" s="1"/>
      <c r="WXR2" s="1"/>
      <c r="WXS2" s="1"/>
      <c r="WXT2" s="1"/>
      <c r="WXU2" s="1"/>
      <c r="WXV2" s="1"/>
      <c r="WXW2" s="1"/>
      <c r="WXX2" s="1"/>
      <c r="WXY2" s="1"/>
      <c r="WXZ2" s="1"/>
      <c r="WYA2" s="1"/>
      <c r="WYB2" s="1"/>
      <c r="WYC2" s="1"/>
      <c r="WYD2" s="1"/>
      <c r="WYE2" s="1"/>
      <c r="WYF2" s="1"/>
      <c r="WYG2" s="1"/>
      <c r="WYH2" s="1"/>
      <c r="WYI2" s="1"/>
      <c r="WYJ2" s="1"/>
      <c r="WYK2" s="1"/>
      <c r="WYL2" s="1"/>
      <c r="WYM2" s="1"/>
      <c r="WYN2" s="1"/>
      <c r="WYO2" s="1"/>
      <c r="WYP2" s="1"/>
      <c r="WYQ2" s="1"/>
      <c r="WYR2" s="1"/>
      <c r="WYS2" s="1"/>
      <c r="WYT2" s="1"/>
      <c r="WYU2" s="1"/>
      <c r="WYV2" s="1"/>
      <c r="WYW2" s="1"/>
      <c r="WYX2" s="1"/>
      <c r="WYY2" s="1"/>
      <c r="WYZ2" s="1"/>
      <c r="WZA2" s="1"/>
      <c r="WZB2" s="1"/>
      <c r="WZC2" s="1"/>
      <c r="WZD2" s="1"/>
      <c r="WZE2" s="1"/>
      <c r="WZF2" s="1"/>
      <c r="WZG2" s="1"/>
      <c r="WZH2" s="1"/>
      <c r="WZI2" s="1"/>
      <c r="WZJ2" s="1"/>
      <c r="WZK2" s="1"/>
      <c r="WZL2" s="1"/>
      <c r="WZM2" s="1"/>
      <c r="WZN2" s="1"/>
      <c r="WZO2" s="1"/>
      <c r="WZP2" s="1"/>
      <c r="WZQ2" s="1"/>
      <c r="WZR2" s="1"/>
      <c r="WZS2" s="1"/>
      <c r="WZT2" s="1"/>
      <c r="WZU2" s="1"/>
      <c r="WZV2" s="1"/>
      <c r="WZW2" s="1"/>
      <c r="WZX2" s="1"/>
      <c r="WZY2" s="1"/>
      <c r="WZZ2" s="1"/>
      <c r="XAA2" s="1"/>
      <c r="XAB2" s="1"/>
      <c r="XAC2" s="1"/>
      <c r="XAD2" s="1"/>
      <c r="XAE2" s="1"/>
      <c r="XAF2" s="1"/>
      <c r="XAG2" s="1"/>
      <c r="XAH2" s="1"/>
      <c r="XAI2" s="1"/>
      <c r="XAJ2" s="1"/>
      <c r="XAK2" s="1"/>
      <c r="XAL2" s="1"/>
      <c r="XAM2" s="1"/>
      <c r="XAN2" s="1"/>
      <c r="XAO2" s="1"/>
      <c r="XAP2" s="1"/>
      <c r="XAQ2" s="1"/>
      <c r="XAR2" s="1"/>
      <c r="XAS2" s="1"/>
      <c r="XAT2" s="1"/>
      <c r="XAU2" s="1"/>
      <c r="XAV2" s="1"/>
      <c r="XAW2" s="1"/>
      <c r="XAX2" s="1"/>
      <c r="XAY2" s="1"/>
      <c r="XAZ2" s="1"/>
      <c r="XBA2" s="1"/>
      <c r="XBB2" s="1"/>
      <c r="XBC2" s="1"/>
      <c r="XBD2" s="1"/>
      <c r="XBE2" s="1"/>
      <c r="XBF2" s="1"/>
      <c r="XBG2" s="1"/>
      <c r="XBH2" s="1"/>
      <c r="XBI2" s="1"/>
      <c r="XBJ2" s="1"/>
      <c r="XBK2" s="1"/>
      <c r="XBL2" s="1"/>
      <c r="XBM2" s="1"/>
      <c r="XBN2" s="1"/>
      <c r="XBO2" s="1"/>
      <c r="XBP2" s="1"/>
      <c r="XBQ2" s="1"/>
      <c r="XBR2" s="1"/>
      <c r="XBS2" s="1"/>
      <c r="XBT2" s="1"/>
      <c r="XBU2" s="1"/>
      <c r="XBV2" s="1"/>
      <c r="XBW2" s="1"/>
      <c r="XBX2" s="1"/>
      <c r="XBY2" s="1"/>
      <c r="XBZ2" s="1"/>
      <c r="XCA2" s="1"/>
      <c r="XCB2" s="1"/>
      <c r="XCC2" s="1"/>
      <c r="XCD2" s="1"/>
      <c r="XCE2" s="1"/>
      <c r="XCF2" s="1"/>
      <c r="XCG2" s="1"/>
      <c r="XCH2" s="1"/>
      <c r="XCI2" s="1"/>
      <c r="XCJ2" s="1"/>
      <c r="XCK2" s="1"/>
      <c r="XCL2" s="1"/>
      <c r="XCM2" s="1"/>
      <c r="XCN2" s="1"/>
      <c r="XCO2" s="1"/>
      <c r="XCP2" s="1"/>
      <c r="XCQ2" s="1"/>
      <c r="XCR2" s="1"/>
      <c r="XCS2" s="1"/>
      <c r="XCT2" s="1"/>
      <c r="XCU2" s="1"/>
      <c r="XCV2" s="1"/>
      <c r="XCW2" s="1"/>
      <c r="XCX2" s="1"/>
      <c r="XCY2" s="1"/>
      <c r="XCZ2" s="1"/>
      <c r="XDA2" s="1"/>
      <c r="XDB2" s="1"/>
      <c r="XDC2" s="1"/>
      <c r="XDD2" s="1"/>
      <c r="XDE2" s="1"/>
      <c r="XDF2" s="1"/>
      <c r="XDG2" s="1"/>
      <c r="XDH2" s="1"/>
      <c r="XDI2" s="1"/>
      <c r="XDJ2" s="1"/>
      <c r="XDK2" s="1"/>
      <c r="XDL2" s="1"/>
      <c r="XDM2" s="1"/>
      <c r="XDN2" s="1"/>
      <c r="XDO2" s="1"/>
      <c r="XDP2" s="1"/>
      <c r="XDQ2" s="1"/>
      <c r="XDR2" s="1"/>
      <c r="XDS2" s="1"/>
      <c r="XDT2" s="1"/>
      <c r="XDU2" s="1"/>
      <c r="XDV2" s="1"/>
      <c r="XDW2" s="1"/>
      <c r="XDX2" s="1"/>
      <c r="XDY2" s="1"/>
      <c r="XDZ2" s="1"/>
      <c r="XEA2" s="1"/>
      <c r="XEB2" s="1"/>
      <c r="XEC2" s="1"/>
      <c r="XED2" s="1"/>
      <c r="XEE2" s="1"/>
      <c r="XEF2" s="1"/>
      <c r="XEG2" s="1"/>
      <c r="XEH2" s="1"/>
      <c r="XEI2" s="1"/>
      <c r="XEJ2" s="1"/>
      <c r="XEK2" s="1"/>
      <c r="XEL2" s="1"/>
      <c r="XEM2" s="1"/>
      <c r="XEN2" s="1"/>
      <c r="XEO2" s="1"/>
      <c r="XEP2" s="1"/>
      <c r="XEQ2" s="1"/>
      <c r="XER2" s="1"/>
      <c r="XES2" s="1"/>
      <c r="XET2" s="1"/>
      <c r="XEU2" s="1"/>
      <c r="XEV2" s="1"/>
      <c r="XEW2" s="1"/>
      <c r="XEX2" s="1"/>
      <c r="XEY2" s="1"/>
      <c r="XEZ2" s="1"/>
      <c r="XFA2" s="1"/>
      <c r="XFB2" s="1"/>
      <c r="XFC2" s="1"/>
      <c r="XFD2" s="1"/>
    </row>
    <row r="3" s="3" customFormat="1" customHeight="1" spans="1:18">
      <c r="A3" s="15" t="s">
        <v>835</v>
      </c>
      <c r="B3" s="16" t="s">
        <v>836</v>
      </c>
      <c r="C3" s="17" t="s">
        <v>569</v>
      </c>
      <c r="D3" s="18" t="s">
        <v>837</v>
      </c>
      <c r="E3" s="19"/>
      <c r="F3" s="20"/>
      <c r="G3" s="20"/>
      <c r="H3" s="20"/>
      <c r="I3" s="20"/>
      <c r="J3" s="20"/>
      <c r="K3" s="20"/>
      <c r="L3" s="38">
        <f>出勤汇总!N2</f>
        <v>0</v>
      </c>
      <c r="M3" s="39">
        <f>VLOOKUP(B3,出勤汇总!C:AA,25,0)</f>
        <v>7</v>
      </c>
      <c r="N3" s="40"/>
      <c r="O3" s="41">
        <f>VLOOKUP(B3,出勤汇总!C:S,17,0)</f>
        <v>19</v>
      </c>
      <c r="P3" s="42">
        <f>O3-L3-M3-N3</f>
        <v>12</v>
      </c>
      <c r="Q3" s="42">
        <f>VLOOKUP(B3,餐补次数!R:S,2,0)</f>
        <v>5</v>
      </c>
      <c r="R3" s="51">
        <f>Q3*15</f>
        <v>75</v>
      </c>
    </row>
    <row r="4" s="3" customFormat="1" customHeight="1" spans="1:18">
      <c r="A4" s="21" t="s">
        <v>835</v>
      </c>
      <c r="B4" s="22" t="s">
        <v>838</v>
      </c>
      <c r="C4" s="22" t="s">
        <v>839</v>
      </c>
      <c r="D4" s="18" t="s">
        <v>837</v>
      </c>
      <c r="E4" s="23"/>
      <c r="F4" s="24"/>
      <c r="G4" s="24"/>
      <c r="H4" s="24"/>
      <c r="I4" s="24"/>
      <c r="J4" s="24"/>
      <c r="K4" s="24"/>
      <c r="L4" s="43"/>
      <c r="M4" s="39">
        <f>VLOOKUP(B4,出勤汇总!C:AA,25,0)</f>
        <v>1</v>
      </c>
      <c r="N4" s="40">
        <f>VLOOKUP(B4,出勤汇总!C:AB,26,0)</f>
        <v>1</v>
      </c>
      <c r="O4" s="41">
        <f>VLOOKUP(B4,出勤汇总!C:S,17,0)</f>
        <v>19</v>
      </c>
      <c r="P4" s="42">
        <f t="shared" ref="P4:P35" si="0">O4-L4-M4-N4</f>
        <v>17</v>
      </c>
      <c r="Q4" s="42">
        <f>VLOOKUP(B4,餐补次数!R:S,2,0)</f>
        <v>10.5</v>
      </c>
      <c r="R4" s="51">
        <f t="shared" ref="R4:R35" si="1">Q4*15</f>
        <v>157.5</v>
      </c>
    </row>
    <row r="5" s="3" customFormat="1" customHeight="1" spans="1:18">
      <c r="A5" s="21" t="s">
        <v>835</v>
      </c>
      <c r="B5" s="22" t="s">
        <v>840</v>
      </c>
      <c r="C5" s="22" t="s">
        <v>839</v>
      </c>
      <c r="D5" s="18" t="s">
        <v>837</v>
      </c>
      <c r="E5" s="23"/>
      <c r="F5" s="24"/>
      <c r="G5" s="24"/>
      <c r="H5" s="24"/>
      <c r="I5" s="24"/>
      <c r="J5" s="24"/>
      <c r="K5" s="24"/>
      <c r="L5" s="43"/>
      <c r="M5" s="39">
        <f>VLOOKUP(B5,出勤汇总!C:AA,25,0)</f>
        <v>3</v>
      </c>
      <c r="N5" s="40"/>
      <c r="O5" s="41">
        <f>VLOOKUP(B5,出勤汇总!C:S,17,0)</f>
        <v>19</v>
      </c>
      <c r="P5" s="42">
        <f t="shared" si="0"/>
        <v>16</v>
      </c>
      <c r="Q5" s="42">
        <f>VLOOKUP(B5,餐补次数!R:S,2,0)</f>
        <v>10</v>
      </c>
      <c r="R5" s="51">
        <f t="shared" si="1"/>
        <v>150</v>
      </c>
    </row>
    <row r="6" s="3" customFormat="1" customHeight="1" spans="1:18">
      <c r="A6" s="21" t="s">
        <v>835</v>
      </c>
      <c r="B6" s="22" t="s">
        <v>841</v>
      </c>
      <c r="C6" s="25" t="s">
        <v>569</v>
      </c>
      <c r="D6" s="18" t="s">
        <v>837</v>
      </c>
      <c r="E6" s="23"/>
      <c r="F6" s="24"/>
      <c r="G6" s="24"/>
      <c r="H6" s="24"/>
      <c r="I6" s="24"/>
      <c r="J6" s="24"/>
      <c r="K6" s="24"/>
      <c r="L6" s="43"/>
      <c r="M6" s="39"/>
      <c r="N6" s="40"/>
      <c r="O6" s="41">
        <f>VLOOKUP(B6,出勤汇总!C:S,17,0)</f>
        <v>19</v>
      </c>
      <c r="P6" s="42">
        <f t="shared" si="0"/>
        <v>19</v>
      </c>
      <c r="Q6" s="42">
        <f>VLOOKUP(B6,餐补次数!R:S,2,0)</f>
        <v>5</v>
      </c>
      <c r="R6" s="51">
        <f t="shared" si="1"/>
        <v>75</v>
      </c>
    </row>
    <row r="7" s="3" customFormat="1" customHeight="1" spans="1:18">
      <c r="A7" s="21" t="s">
        <v>835</v>
      </c>
      <c r="B7" s="22" t="s">
        <v>842</v>
      </c>
      <c r="C7" s="22" t="s">
        <v>843</v>
      </c>
      <c r="D7" s="18" t="s">
        <v>837</v>
      </c>
      <c r="E7" s="23"/>
      <c r="F7" s="24"/>
      <c r="G7" s="24"/>
      <c r="H7" s="24"/>
      <c r="I7" s="24"/>
      <c r="J7" s="24"/>
      <c r="K7" s="24"/>
      <c r="L7" s="43"/>
      <c r="M7" s="39"/>
      <c r="N7" s="40">
        <f>VLOOKUP(B7,出勤汇总!C:AB,26,0)</f>
        <v>0.5</v>
      </c>
      <c r="O7" s="41">
        <f>VLOOKUP(B7,出勤汇总!C:S,17,0)</f>
        <v>19</v>
      </c>
      <c r="P7" s="42">
        <f t="shared" si="0"/>
        <v>18.5</v>
      </c>
      <c r="Q7" s="42">
        <f>VLOOKUP(B7,餐补次数!R:S,2,0)</f>
        <v>7.5</v>
      </c>
      <c r="R7" s="51">
        <f t="shared" si="1"/>
        <v>112.5</v>
      </c>
    </row>
    <row r="8" s="3" customFormat="1" customHeight="1" spans="1:18">
      <c r="A8" s="21" t="s">
        <v>835</v>
      </c>
      <c r="B8" s="22" t="s">
        <v>844</v>
      </c>
      <c r="C8" s="25" t="s">
        <v>569</v>
      </c>
      <c r="D8" s="18" t="s">
        <v>837</v>
      </c>
      <c r="E8" s="23"/>
      <c r="F8" s="24"/>
      <c r="G8" s="24"/>
      <c r="H8" s="24"/>
      <c r="I8" s="24"/>
      <c r="J8" s="24"/>
      <c r="K8" s="24"/>
      <c r="L8" s="43"/>
      <c r="M8" s="39"/>
      <c r="N8" s="40"/>
      <c r="O8" s="41">
        <f>VLOOKUP(B8,出勤汇总!C:S,17,0)</f>
        <v>19</v>
      </c>
      <c r="P8" s="42">
        <f t="shared" si="0"/>
        <v>19</v>
      </c>
      <c r="Q8" s="42">
        <f>VLOOKUP(B8,餐补次数!R:S,2,0)</f>
        <v>8</v>
      </c>
      <c r="R8" s="51">
        <f t="shared" si="1"/>
        <v>120</v>
      </c>
    </row>
    <row r="9" s="3" customFormat="1" customHeight="1" spans="1:18">
      <c r="A9" s="21" t="s">
        <v>835</v>
      </c>
      <c r="B9" s="22" t="s">
        <v>845</v>
      </c>
      <c r="C9" s="25" t="s">
        <v>121</v>
      </c>
      <c r="D9" s="18" t="s">
        <v>837</v>
      </c>
      <c r="E9" s="23"/>
      <c r="F9" s="24"/>
      <c r="G9" s="24"/>
      <c r="H9" s="24"/>
      <c r="I9" s="24"/>
      <c r="J9" s="24"/>
      <c r="K9" s="24"/>
      <c r="L9" s="43"/>
      <c r="M9" s="39">
        <f>VLOOKUP(B9,出勤汇总!C:AA,25,0)</f>
        <v>5</v>
      </c>
      <c r="N9" s="40"/>
      <c r="O9" s="41">
        <f>VLOOKUP(B9,出勤汇总!C:S,17,0)</f>
        <v>19</v>
      </c>
      <c r="P9" s="42">
        <f t="shared" si="0"/>
        <v>14</v>
      </c>
      <c r="Q9" s="42">
        <f>VLOOKUP(B9,餐补次数!R:S,2,0)</f>
        <v>6</v>
      </c>
      <c r="R9" s="51">
        <f t="shared" si="1"/>
        <v>90</v>
      </c>
    </row>
    <row r="10" s="3" customFormat="1" customHeight="1" spans="1:18">
      <c r="A10" s="21" t="s">
        <v>846</v>
      </c>
      <c r="B10" s="22" t="s">
        <v>847</v>
      </c>
      <c r="C10" s="22" t="s">
        <v>848</v>
      </c>
      <c r="D10" s="18" t="s">
        <v>837</v>
      </c>
      <c r="E10" s="23"/>
      <c r="F10" s="24"/>
      <c r="G10" s="24"/>
      <c r="H10" s="24"/>
      <c r="I10" s="24"/>
      <c r="J10" s="24"/>
      <c r="K10" s="24"/>
      <c r="L10" s="43"/>
      <c r="M10" s="39"/>
      <c r="N10" s="40"/>
      <c r="O10" s="41">
        <f>VLOOKUP(B10,出勤汇总!C:S,17,0)</f>
        <v>19</v>
      </c>
      <c r="P10" s="42">
        <f t="shared" si="0"/>
        <v>19</v>
      </c>
      <c r="Q10" s="42">
        <f>VLOOKUP(B10,餐补次数!R:S,2,0)</f>
        <v>10</v>
      </c>
      <c r="R10" s="51">
        <f t="shared" si="1"/>
        <v>150</v>
      </c>
    </row>
    <row r="11" s="3" customFormat="1" customHeight="1" spans="1:18">
      <c r="A11" s="26" t="s">
        <v>849</v>
      </c>
      <c r="B11" s="22" t="s">
        <v>850</v>
      </c>
      <c r="C11" s="22" t="s">
        <v>851</v>
      </c>
      <c r="D11" s="18" t="s">
        <v>837</v>
      </c>
      <c r="E11" s="23"/>
      <c r="F11" s="24"/>
      <c r="G11" s="24"/>
      <c r="H11" s="24"/>
      <c r="I11" s="24"/>
      <c r="J11" s="24"/>
      <c r="K11" s="24" t="s">
        <v>852</v>
      </c>
      <c r="L11" s="43">
        <f>出勤汇总!N10</f>
        <v>1</v>
      </c>
      <c r="M11" s="39"/>
      <c r="N11" s="40">
        <f>VLOOKUP(B11,出勤汇总!C:AB,26,0)</f>
        <v>2</v>
      </c>
      <c r="O11" s="41">
        <f>VLOOKUP(B11,出勤汇总!C:S,17,0)</f>
        <v>19</v>
      </c>
      <c r="P11" s="42">
        <f t="shared" si="0"/>
        <v>16</v>
      </c>
      <c r="Q11" s="42">
        <f>VLOOKUP(B11,餐补次数!R:S,2,0)</f>
        <v>4</v>
      </c>
      <c r="R11" s="51">
        <f t="shared" si="1"/>
        <v>60</v>
      </c>
    </row>
    <row r="12" s="3" customFormat="1" customHeight="1" spans="1:18">
      <c r="A12" s="21" t="s">
        <v>846</v>
      </c>
      <c r="B12" s="22" t="s">
        <v>853</v>
      </c>
      <c r="C12" s="22" t="s">
        <v>854</v>
      </c>
      <c r="D12" s="18" t="s">
        <v>837</v>
      </c>
      <c r="E12" s="23"/>
      <c r="F12" s="24"/>
      <c r="G12" s="24"/>
      <c r="H12" s="24"/>
      <c r="I12" s="24"/>
      <c r="J12" s="24"/>
      <c r="K12" s="24"/>
      <c r="L12" s="43"/>
      <c r="M12" s="39"/>
      <c r="N12" s="40"/>
      <c r="O12" s="41">
        <f>VLOOKUP(B12,出勤汇总!C:S,17,0)</f>
        <v>19</v>
      </c>
      <c r="P12" s="42">
        <f t="shared" si="0"/>
        <v>19</v>
      </c>
      <c r="Q12" s="42">
        <v>0</v>
      </c>
      <c r="R12" s="51">
        <f t="shared" si="1"/>
        <v>0</v>
      </c>
    </row>
    <row r="13" s="3" customFormat="1" customHeight="1" spans="1:18">
      <c r="A13" s="21" t="s">
        <v>855</v>
      </c>
      <c r="B13" s="22" t="s">
        <v>856</v>
      </c>
      <c r="C13" s="22" t="s">
        <v>848</v>
      </c>
      <c r="D13" s="18" t="s">
        <v>837</v>
      </c>
      <c r="E13" s="23"/>
      <c r="F13" s="24"/>
      <c r="G13" s="24"/>
      <c r="H13" s="24"/>
      <c r="I13" s="24"/>
      <c r="J13" s="24"/>
      <c r="K13" s="24"/>
      <c r="L13" s="43"/>
      <c r="M13" s="39"/>
      <c r="N13" s="40">
        <f>VLOOKUP(B13,出勤汇总!C:AB,26,0)</f>
        <v>0.5</v>
      </c>
      <c r="O13" s="41">
        <f>VLOOKUP(B13,出勤汇总!C:S,17,0)</f>
        <v>19</v>
      </c>
      <c r="P13" s="42">
        <f t="shared" si="0"/>
        <v>18.5</v>
      </c>
      <c r="Q13" s="42">
        <f>VLOOKUP(B13,餐补次数!R:S,2,0)</f>
        <v>9</v>
      </c>
      <c r="R13" s="51">
        <f t="shared" si="1"/>
        <v>135</v>
      </c>
    </row>
    <row r="14" s="3" customFormat="1" customHeight="1" spans="1:18">
      <c r="A14" s="21" t="s">
        <v>855</v>
      </c>
      <c r="B14" s="22" t="s">
        <v>857</v>
      </c>
      <c r="C14" s="22" t="s">
        <v>858</v>
      </c>
      <c r="D14" s="18" t="s">
        <v>837</v>
      </c>
      <c r="E14" s="23"/>
      <c r="F14" s="24"/>
      <c r="G14" s="24"/>
      <c r="H14" s="24"/>
      <c r="I14" s="24"/>
      <c r="J14" s="24"/>
      <c r="K14" s="24"/>
      <c r="L14" s="43"/>
      <c r="M14" s="39"/>
      <c r="N14" s="40"/>
      <c r="O14" s="41">
        <f>VLOOKUP(B14,出勤汇总!C:S,17,0)</f>
        <v>19</v>
      </c>
      <c r="P14" s="42">
        <f t="shared" si="0"/>
        <v>19</v>
      </c>
      <c r="Q14" s="42">
        <f>VLOOKUP(B14,餐补次数!R:S,2,0)</f>
        <v>7</v>
      </c>
      <c r="R14" s="51">
        <f t="shared" si="1"/>
        <v>105</v>
      </c>
    </row>
    <row r="15" s="3" customFormat="1" customHeight="1" spans="1:18">
      <c r="A15" s="21" t="s">
        <v>855</v>
      </c>
      <c r="B15" s="22" t="s">
        <v>859</v>
      </c>
      <c r="C15" s="22" t="s">
        <v>860</v>
      </c>
      <c r="D15" s="18" t="s">
        <v>837</v>
      </c>
      <c r="E15" s="23"/>
      <c r="F15" s="24"/>
      <c r="G15" s="24"/>
      <c r="H15" s="24"/>
      <c r="I15" s="24"/>
      <c r="J15" s="24"/>
      <c r="K15" s="24"/>
      <c r="L15" s="43"/>
      <c r="M15" s="39"/>
      <c r="N15" s="40"/>
      <c r="O15" s="41">
        <f>VLOOKUP(B15,出勤汇总!C:S,17,0)</f>
        <v>19</v>
      </c>
      <c r="P15" s="42">
        <f t="shared" si="0"/>
        <v>19</v>
      </c>
      <c r="Q15" s="42">
        <f>VLOOKUP(B15,餐补次数!R:S,2,0)</f>
        <v>4</v>
      </c>
      <c r="R15" s="51">
        <f t="shared" si="1"/>
        <v>60</v>
      </c>
    </row>
    <row r="16" s="3" customFormat="1" customHeight="1" spans="1:18">
      <c r="A16" s="21" t="s">
        <v>855</v>
      </c>
      <c r="B16" s="22" t="s">
        <v>861</v>
      </c>
      <c r="C16" s="22" t="s">
        <v>860</v>
      </c>
      <c r="D16" s="18" t="s">
        <v>837</v>
      </c>
      <c r="E16" s="23"/>
      <c r="F16" s="24"/>
      <c r="G16" s="24"/>
      <c r="H16" s="24"/>
      <c r="I16" s="24"/>
      <c r="J16" s="24"/>
      <c r="K16" s="24"/>
      <c r="L16" s="43"/>
      <c r="M16" s="39"/>
      <c r="N16" s="40">
        <f>VLOOKUP(B16,出勤汇总!C:AB,26,0)</f>
        <v>0.5</v>
      </c>
      <c r="O16" s="41">
        <f>VLOOKUP(B16,出勤汇总!C:S,17,0)</f>
        <v>19</v>
      </c>
      <c r="P16" s="42">
        <f t="shared" si="0"/>
        <v>18.5</v>
      </c>
      <c r="Q16" s="42">
        <f>VLOOKUP(B16,餐补次数!R:S,2,0)</f>
        <v>9</v>
      </c>
      <c r="R16" s="51">
        <f t="shared" si="1"/>
        <v>135</v>
      </c>
    </row>
    <row r="17" s="3" customFormat="1" customHeight="1" spans="1:18">
      <c r="A17" s="21" t="s">
        <v>855</v>
      </c>
      <c r="B17" s="22" t="s">
        <v>862</v>
      </c>
      <c r="C17" s="22" t="s">
        <v>863</v>
      </c>
      <c r="D17" s="18" t="s">
        <v>837</v>
      </c>
      <c r="E17" s="23"/>
      <c r="F17" s="24"/>
      <c r="G17" s="24"/>
      <c r="H17" s="24"/>
      <c r="I17" s="24"/>
      <c r="J17" s="24"/>
      <c r="K17" s="24"/>
      <c r="L17" s="43"/>
      <c r="M17" s="39"/>
      <c r="N17" s="40">
        <f>VLOOKUP(B17,出勤汇总!C:AB,26,0)</f>
        <v>1</v>
      </c>
      <c r="O17" s="41">
        <f>VLOOKUP(B17,出勤汇总!C:S,17,0)</f>
        <v>19</v>
      </c>
      <c r="P17" s="42">
        <f t="shared" si="0"/>
        <v>18</v>
      </c>
      <c r="Q17" s="42">
        <f>VLOOKUP(B17,餐补次数!R:S,2,0)</f>
        <v>8</v>
      </c>
      <c r="R17" s="51">
        <f t="shared" si="1"/>
        <v>120</v>
      </c>
    </row>
    <row r="18" s="3" customFormat="1" customHeight="1" spans="1:18">
      <c r="A18" s="21" t="s">
        <v>855</v>
      </c>
      <c r="B18" s="22" t="s">
        <v>864</v>
      </c>
      <c r="C18" s="22" t="s">
        <v>863</v>
      </c>
      <c r="D18" s="18" t="s">
        <v>837</v>
      </c>
      <c r="E18" s="23"/>
      <c r="F18" s="24"/>
      <c r="G18" s="24"/>
      <c r="H18" s="24"/>
      <c r="I18" s="24"/>
      <c r="J18" s="24"/>
      <c r="K18" s="24"/>
      <c r="L18" s="43"/>
      <c r="M18" s="39"/>
      <c r="N18" s="40">
        <f>VLOOKUP(B18,出勤汇总!C:AB,26,0)</f>
        <v>2</v>
      </c>
      <c r="O18" s="41">
        <f>VLOOKUP(B18,出勤汇总!C:S,17,0)</f>
        <v>19</v>
      </c>
      <c r="P18" s="42">
        <f t="shared" si="0"/>
        <v>17</v>
      </c>
      <c r="Q18" s="42">
        <f>VLOOKUP(B18,餐补次数!R:S,2,0)</f>
        <v>6</v>
      </c>
      <c r="R18" s="51">
        <f t="shared" si="1"/>
        <v>90</v>
      </c>
    </row>
    <row r="19" s="3" customFormat="1" customHeight="1" spans="1:18">
      <c r="A19" s="21" t="s">
        <v>855</v>
      </c>
      <c r="B19" s="22" t="s">
        <v>865</v>
      </c>
      <c r="C19" s="22" t="s">
        <v>863</v>
      </c>
      <c r="D19" s="18" t="s">
        <v>837</v>
      </c>
      <c r="E19" s="23"/>
      <c r="F19" s="24"/>
      <c r="G19" s="24"/>
      <c r="H19" s="24"/>
      <c r="I19" s="24"/>
      <c r="J19" s="24"/>
      <c r="K19" s="24"/>
      <c r="L19" s="43"/>
      <c r="M19" s="39"/>
      <c r="N19" s="40">
        <f>VLOOKUP(B19,出勤汇总!C:AB,26,0)</f>
        <v>1</v>
      </c>
      <c r="O19" s="41">
        <f>VLOOKUP(B19,出勤汇总!C:S,17,0)</f>
        <v>19</v>
      </c>
      <c r="P19" s="42">
        <f t="shared" si="0"/>
        <v>18</v>
      </c>
      <c r="Q19" s="42">
        <f>VLOOKUP(B19,餐补次数!R:S,2,0)</f>
        <v>7</v>
      </c>
      <c r="R19" s="51">
        <f t="shared" si="1"/>
        <v>105</v>
      </c>
    </row>
    <row r="20" s="3" customFormat="1" customHeight="1" spans="1:18">
      <c r="A20" s="21" t="s">
        <v>855</v>
      </c>
      <c r="B20" s="22" t="s">
        <v>866</v>
      </c>
      <c r="C20" s="22" t="s">
        <v>863</v>
      </c>
      <c r="D20" s="18" t="s">
        <v>837</v>
      </c>
      <c r="E20" s="23"/>
      <c r="F20" s="24"/>
      <c r="G20" s="24"/>
      <c r="H20" s="24"/>
      <c r="I20" s="24"/>
      <c r="J20" s="24"/>
      <c r="K20" s="24"/>
      <c r="L20" s="43"/>
      <c r="M20" s="39"/>
      <c r="N20" s="40">
        <f>VLOOKUP(B20,出勤汇总!C:AB,26,0)</f>
        <v>0.5</v>
      </c>
      <c r="O20" s="41">
        <f>VLOOKUP(B20,出勤汇总!C:S,17,0)</f>
        <v>19</v>
      </c>
      <c r="P20" s="42">
        <f t="shared" si="0"/>
        <v>18.5</v>
      </c>
      <c r="Q20" s="42">
        <f>VLOOKUP(B20,餐补次数!R:S,2,0)</f>
        <v>7.5</v>
      </c>
      <c r="R20" s="51">
        <f t="shared" si="1"/>
        <v>112.5</v>
      </c>
    </row>
    <row r="21" s="3" customFormat="1" customHeight="1" spans="1:18">
      <c r="A21" s="21" t="s">
        <v>855</v>
      </c>
      <c r="B21" s="22" t="s">
        <v>867</v>
      </c>
      <c r="C21" s="22" t="s">
        <v>863</v>
      </c>
      <c r="D21" s="18" t="s">
        <v>837</v>
      </c>
      <c r="E21" s="23"/>
      <c r="F21" s="24"/>
      <c r="G21" s="24"/>
      <c r="H21" s="24"/>
      <c r="I21" s="24"/>
      <c r="J21" s="24"/>
      <c r="K21" s="24"/>
      <c r="L21" s="43"/>
      <c r="M21" s="39"/>
      <c r="N21" s="40"/>
      <c r="O21" s="41">
        <f>VLOOKUP(B21,出勤汇总!C:S,17,0)</f>
        <v>19</v>
      </c>
      <c r="P21" s="42">
        <f t="shared" si="0"/>
        <v>19</v>
      </c>
      <c r="Q21" s="42">
        <f>VLOOKUP(B21,餐补次数!R:S,2,0)</f>
        <v>8</v>
      </c>
      <c r="R21" s="51">
        <f t="shared" si="1"/>
        <v>120</v>
      </c>
    </row>
    <row r="22" s="3" customFormat="1" customHeight="1" spans="1:18">
      <c r="A22" s="21" t="s">
        <v>855</v>
      </c>
      <c r="B22" s="22" t="s">
        <v>868</v>
      </c>
      <c r="C22" s="22" t="s">
        <v>863</v>
      </c>
      <c r="D22" s="18" t="s">
        <v>837</v>
      </c>
      <c r="E22" s="23"/>
      <c r="F22" s="24"/>
      <c r="G22" s="24"/>
      <c r="H22" s="24"/>
      <c r="I22" s="24"/>
      <c r="J22" s="24"/>
      <c r="K22" s="24"/>
      <c r="L22" s="43"/>
      <c r="M22" s="39"/>
      <c r="N22" s="40"/>
      <c r="O22" s="41">
        <f>VLOOKUP(B22,出勤汇总!C:S,17,0)</f>
        <v>19</v>
      </c>
      <c r="P22" s="42">
        <f t="shared" si="0"/>
        <v>19</v>
      </c>
      <c r="Q22" s="42">
        <f>VLOOKUP(B22,餐补次数!R:S,2,0)</f>
        <v>7</v>
      </c>
      <c r="R22" s="51">
        <f t="shared" si="1"/>
        <v>105</v>
      </c>
    </row>
    <row r="23" s="3" customFormat="1" customHeight="1" spans="1:18">
      <c r="A23" s="21" t="s">
        <v>855</v>
      </c>
      <c r="B23" s="22" t="s">
        <v>869</v>
      </c>
      <c r="C23" s="22" t="s">
        <v>863</v>
      </c>
      <c r="D23" s="18" t="s">
        <v>837</v>
      </c>
      <c r="E23" s="23"/>
      <c r="F23" s="24"/>
      <c r="G23" s="24"/>
      <c r="H23" s="24"/>
      <c r="I23" s="24"/>
      <c r="J23" s="24"/>
      <c r="K23" s="24"/>
      <c r="L23" s="43"/>
      <c r="M23" s="39"/>
      <c r="N23" s="40"/>
      <c r="O23" s="41">
        <f>VLOOKUP(B23,出勤汇总!C:S,17,0)</f>
        <v>19</v>
      </c>
      <c r="P23" s="42">
        <f t="shared" si="0"/>
        <v>19</v>
      </c>
      <c r="Q23" s="42">
        <f>VLOOKUP(B23,餐补次数!R:S,2,0)</f>
        <v>6</v>
      </c>
      <c r="R23" s="51">
        <f t="shared" si="1"/>
        <v>90</v>
      </c>
    </row>
    <row r="24" s="3" customFormat="1" customHeight="1" spans="1:18">
      <c r="A24" s="21" t="s">
        <v>855</v>
      </c>
      <c r="B24" s="22" t="s">
        <v>870</v>
      </c>
      <c r="C24" s="22" t="s">
        <v>863</v>
      </c>
      <c r="D24" s="18" t="s">
        <v>837</v>
      </c>
      <c r="E24" s="23"/>
      <c r="F24" s="24"/>
      <c r="G24" s="24"/>
      <c r="H24" s="24"/>
      <c r="I24" s="24"/>
      <c r="J24" s="24"/>
      <c r="K24" s="24"/>
      <c r="L24" s="43"/>
      <c r="M24" s="39"/>
      <c r="N24" s="40">
        <f>VLOOKUP(B24,出勤汇总!C:AB,26,0)</f>
        <v>1</v>
      </c>
      <c r="O24" s="41">
        <f>VLOOKUP(B24,出勤汇总!C:S,17,0)</f>
        <v>19</v>
      </c>
      <c r="P24" s="42">
        <f t="shared" si="0"/>
        <v>18</v>
      </c>
      <c r="Q24" s="42">
        <f>VLOOKUP(B24,餐补次数!R:S,2,0)</f>
        <v>10.5</v>
      </c>
      <c r="R24" s="51">
        <f t="shared" si="1"/>
        <v>157.5</v>
      </c>
    </row>
    <row r="25" s="3" customFormat="1" customHeight="1" spans="1:18">
      <c r="A25" s="21" t="s">
        <v>855</v>
      </c>
      <c r="B25" s="22" t="s">
        <v>871</v>
      </c>
      <c r="C25" s="22" t="s">
        <v>863</v>
      </c>
      <c r="D25" s="18" t="s">
        <v>837</v>
      </c>
      <c r="E25" s="23"/>
      <c r="F25" s="24"/>
      <c r="G25" s="24"/>
      <c r="H25" s="24"/>
      <c r="I25" s="24"/>
      <c r="J25" s="24"/>
      <c r="K25" s="24"/>
      <c r="L25" s="43"/>
      <c r="M25" s="39"/>
      <c r="N25" s="40">
        <f>VLOOKUP(B25,出勤汇总!C:AB,26,0)</f>
        <v>3</v>
      </c>
      <c r="O25" s="41">
        <f>VLOOKUP(B25,出勤汇总!C:S,17,0)</f>
        <v>19</v>
      </c>
      <c r="P25" s="42">
        <f t="shared" si="0"/>
        <v>16</v>
      </c>
      <c r="Q25" s="42">
        <f>VLOOKUP(B25,餐补次数!R:S,2,0)</f>
        <v>9</v>
      </c>
      <c r="R25" s="51">
        <f t="shared" si="1"/>
        <v>135</v>
      </c>
    </row>
    <row r="26" s="3" customFormat="1" customHeight="1" spans="1:18">
      <c r="A26" s="21" t="s">
        <v>855</v>
      </c>
      <c r="B26" s="22" t="s">
        <v>872</v>
      </c>
      <c r="C26" s="22" t="s">
        <v>863</v>
      </c>
      <c r="D26" s="18" t="s">
        <v>837</v>
      </c>
      <c r="E26" s="23"/>
      <c r="F26" s="24"/>
      <c r="G26" s="24"/>
      <c r="H26" s="24"/>
      <c r="I26" s="24"/>
      <c r="J26" s="24"/>
      <c r="K26" s="24"/>
      <c r="L26" s="43"/>
      <c r="M26" s="39"/>
      <c r="N26" s="40">
        <f>VLOOKUP(B26,出勤汇总!C:AB,26,0)</f>
        <v>5</v>
      </c>
      <c r="O26" s="41">
        <f>VLOOKUP(B26,出勤汇总!C:S,17,0)</f>
        <v>19</v>
      </c>
      <c r="P26" s="42">
        <f t="shared" si="0"/>
        <v>14</v>
      </c>
      <c r="Q26" s="42">
        <f>VLOOKUP(B26,餐补次数!R:S,2,0)</f>
        <v>5.5</v>
      </c>
      <c r="R26" s="51">
        <f t="shared" si="1"/>
        <v>82.5</v>
      </c>
    </row>
    <row r="27" s="3" customFormat="1" customHeight="1" spans="1:18">
      <c r="A27" s="21" t="s">
        <v>855</v>
      </c>
      <c r="B27" s="22" t="s">
        <v>873</v>
      </c>
      <c r="C27" s="22" t="s">
        <v>863</v>
      </c>
      <c r="D27" s="18" t="s">
        <v>837</v>
      </c>
      <c r="E27" s="23"/>
      <c r="F27" s="24"/>
      <c r="G27" s="24"/>
      <c r="H27" s="24"/>
      <c r="I27" s="24"/>
      <c r="J27" s="24"/>
      <c r="K27" s="24"/>
      <c r="L27" s="43"/>
      <c r="M27" s="39"/>
      <c r="N27" s="40"/>
      <c r="O27" s="41">
        <f>VLOOKUP(B27,出勤汇总!C:S,17,0)</f>
        <v>19</v>
      </c>
      <c r="P27" s="42">
        <f t="shared" si="0"/>
        <v>19</v>
      </c>
      <c r="Q27" s="42">
        <f>VLOOKUP(B27,餐补次数!R:S,2,0)</f>
        <v>7</v>
      </c>
      <c r="R27" s="51">
        <f t="shared" si="1"/>
        <v>105</v>
      </c>
    </row>
    <row r="28" s="3" customFormat="1" customHeight="1" spans="1:18">
      <c r="A28" s="21" t="s">
        <v>855</v>
      </c>
      <c r="B28" s="22" t="s">
        <v>874</v>
      </c>
      <c r="C28" s="22" t="s">
        <v>863</v>
      </c>
      <c r="D28" s="18" t="s">
        <v>837</v>
      </c>
      <c r="E28" s="23"/>
      <c r="F28" s="24"/>
      <c r="G28" s="24"/>
      <c r="H28" s="24"/>
      <c r="I28" s="24"/>
      <c r="J28" s="24"/>
      <c r="K28" s="24"/>
      <c r="L28" s="43"/>
      <c r="M28" s="39"/>
      <c r="N28" s="40"/>
      <c r="O28" s="41">
        <f>VLOOKUP(B28,出勤汇总!C:S,17,0)</f>
        <v>19</v>
      </c>
      <c r="P28" s="42">
        <f t="shared" si="0"/>
        <v>19</v>
      </c>
      <c r="Q28" s="42">
        <f>VLOOKUP(B28,餐补次数!R:S,2,0)</f>
        <v>7</v>
      </c>
      <c r="R28" s="51">
        <f t="shared" si="1"/>
        <v>105</v>
      </c>
    </row>
    <row r="29" s="3" customFormat="1" customHeight="1" spans="1:18">
      <c r="A29" s="21" t="s">
        <v>875</v>
      </c>
      <c r="B29" s="27" t="s">
        <v>876</v>
      </c>
      <c r="C29" s="22" t="s">
        <v>877</v>
      </c>
      <c r="D29" s="18" t="s">
        <v>837</v>
      </c>
      <c r="E29" s="23"/>
      <c r="F29" s="24"/>
      <c r="G29" s="24"/>
      <c r="H29" s="24"/>
      <c r="I29" s="24"/>
      <c r="J29" s="24"/>
      <c r="K29" s="24"/>
      <c r="L29" s="43"/>
      <c r="M29" s="39"/>
      <c r="N29" s="40">
        <f>VLOOKUP(B29,出勤汇总!C:AB,26,0)</f>
        <v>0.5</v>
      </c>
      <c r="O29" s="41">
        <f>VLOOKUP(B29,出勤汇总!C:S,17,0)</f>
        <v>19</v>
      </c>
      <c r="P29" s="42">
        <f t="shared" si="0"/>
        <v>18.5</v>
      </c>
      <c r="Q29" s="42">
        <f>VLOOKUP(B29,餐补次数!R:S,2,0)</f>
        <v>7</v>
      </c>
      <c r="R29" s="51">
        <f t="shared" si="1"/>
        <v>105</v>
      </c>
    </row>
    <row r="30" s="3" customFormat="1" customHeight="1" spans="1:18">
      <c r="A30" s="21" t="s">
        <v>875</v>
      </c>
      <c r="B30" s="27" t="s">
        <v>878</v>
      </c>
      <c r="C30" s="27" t="s">
        <v>879</v>
      </c>
      <c r="D30" s="18" t="s">
        <v>837</v>
      </c>
      <c r="E30" s="23"/>
      <c r="F30" s="24"/>
      <c r="G30" s="24"/>
      <c r="H30" s="24"/>
      <c r="I30" s="24"/>
      <c r="J30" s="24"/>
      <c r="K30" s="24"/>
      <c r="L30" s="43"/>
      <c r="M30" s="39"/>
      <c r="N30" s="40">
        <f>VLOOKUP(B30,出勤汇总!C:AB,26,0)</f>
        <v>0.5</v>
      </c>
      <c r="O30" s="41">
        <f>VLOOKUP(B30,出勤汇总!C:S,17,0)</f>
        <v>19</v>
      </c>
      <c r="P30" s="42">
        <f t="shared" si="0"/>
        <v>18.5</v>
      </c>
      <c r="Q30" s="42">
        <f>VLOOKUP(B30,餐补次数!R:S,2,0)</f>
        <v>3</v>
      </c>
      <c r="R30" s="51">
        <f t="shared" si="1"/>
        <v>45</v>
      </c>
    </row>
    <row r="31" s="3" customFormat="1" customHeight="1" spans="1:18">
      <c r="A31" s="21" t="s">
        <v>880</v>
      </c>
      <c r="B31" s="27" t="s">
        <v>881</v>
      </c>
      <c r="C31" s="22" t="s">
        <v>882</v>
      </c>
      <c r="D31" s="18" t="s">
        <v>837</v>
      </c>
      <c r="E31" s="23"/>
      <c r="F31" s="24"/>
      <c r="G31" s="24"/>
      <c r="H31" s="24"/>
      <c r="I31" s="24"/>
      <c r="J31" s="24"/>
      <c r="K31" s="24"/>
      <c r="L31" s="43"/>
      <c r="M31" s="39"/>
      <c r="N31" s="40"/>
      <c r="O31" s="41">
        <f>VLOOKUP(B31,出勤汇总!C:S,17,0)</f>
        <v>19</v>
      </c>
      <c r="P31" s="42">
        <f t="shared" si="0"/>
        <v>19</v>
      </c>
      <c r="Q31" s="42">
        <f>VLOOKUP(B31,餐补次数!R:S,2,0)</f>
        <v>2</v>
      </c>
      <c r="R31" s="51">
        <f t="shared" si="1"/>
        <v>30</v>
      </c>
    </row>
    <row r="32" s="3" customFormat="1" customHeight="1" spans="1:18">
      <c r="A32" s="21" t="s">
        <v>880</v>
      </c>
      <c r="B32" s="22" t="s">
        <v>883</v>
      </c>
      <c r="C32" s="25" t="s">
        <v>149</v>
      </c>
      <c r="D32" s="18" t="s">
        <v>837</v>
      </c>
      <c r="E32" s="23"/>
      <c r="F32" s="24"/>
      <c r="G32" s="24"/>
      <c r="H32" s="24"/>
      <c r="I32" s="24"/>
      <c r="J32" s="24"/>
      <c r="K32" s="24"/>
      <c r="L32" s="43"/>
      <c r="M32" s="39">
        <f>VLOOKUP(B32,出勤汇总!C:AA,25,0)</f>
        <v>1</v>
      </c>
      <c r="N32" s="40"/>
      <c r="O32" s="41">
        <f>VLOOKUP(B32,出勤汇总!C:S,17,0)</f>
        <v>19</v>
      </c>
      <c r="P32" s="42">
        <f t="shared" si="0"/>
        <v>18</v>
      </c>
      <c r="Q32" s="42">
        <f>VLOOKUP(B32,餐补次数!R:S,2,0)</f>
        <v>6</v>
      </c>
      <c r="R32" s="51">
        <f t="shared" si="1"/>
        <v>90</v>
      </c>
    </row>
    <row r="33" s="3" customFormat="1" customHeight="1" spans="1:18">
      <c r="A33" s="21" t="s">
        <v>880</v>
      </c>
      <c r="B33" s="22" t="s">
        <v>884</v>
      </c>
      <c r="C33" s="22" t="s">
        <v>885</v>
      </c>
      <c r="D33" s="18" t="s">
        <v>837</v>
      </c>
      <c r="E33" s="23"/>
      <c r="F33" s="24"/>
      <c r="G33" s="24"/>
      <c r="H33" s="24"/>
      <c r="I33" s="24"/>
      <c r="J33" s="24"/>
      <c r="K33" s="24"/>
      <c r="L33" s="43"/>
      <c r="M33" s="39"/>
      <c r="N33" s="40"/>
      <c r="O33" s="41">
        <f>VLOOKUP(B33,出勤汇总!C:S,17,0)</f>
        <v>19</v>
      </c>
      <c r="P33" s="42">
        <f t="shared" si="0"/>
        <v>19</v>
      </c>
      <c r="Q33" s="42">
        <f>VLOOKUP(B33,餐补次数!R:S,2,0)</f>
        <v>7</v>
      </c>
      <c r="R33" s="51">
        <f t="shared" si="1"/>
        <v>105</v>
      </c>
    </row>
    <row r="34" s="3" customFormat="1" customHeight="1" spans="1:18">
      <c r="A34" s="21" t="s">
        <v>880</v>
      </c>
      <c r="B34" s="22" t="s">
        <v>886</v>
      </c>
      <c r="C34" s="22" t="s">
        <v>885</v>
      </c>
      <c r="D34" s="18" t="s">
        <v>837</v>
      </c>
      <c r="E34" s="23"/>
      <c r="F34" s="24"/>
      <c r="G34" s="24"/>
      <c r="H34" s="24"/>
      <c r="I34" s="24"/>
      <c r="J34" s="24"/>
      <c r="K34" s="24"/>
      <c r="L34" s="43"/>
      <c r="M34" s="39"/>
      <c r="N34" s="40">
        <f>VLOOKUP(B34,出勤汇总!C:AB,26,0)</f>
        <v>1</v>
      </c>
      <c r="O34" s="41">
        <f>VLOOKUP(B34,出勤汇总!C:S,17,0)</f>
        <v>19</v>
      </c>
      <c r="P34" s="42">
        <f t="shared" si="0"/>
        <v>18</v>
      </c>
      <c r="Q34" s="42">
        <f>VLOOKUP(B34,餐补次数!R:S,2,0)</f>
        <v>7</v>
      </c>
      <c r="R34" s="51">
        <f t="shared" si="1"/>
        <v>105</v>
      </c>
    </row>
    <row r="35" s="3" customFormat="1" customHeight="1" spans="1:18">
      <c r="A35" s="21" t="s">
        <v>887</v>
      </c>
      <c r="B35" s="22" t="s">
        <v>888</v>
      </c>
      <c r="C35" s="22" t="s">
        <v>889</v>
      </c>
      <c r="D35" s="18" t="s">
        <v>837</v>
      </c>
      <c r="E35" s="23"/>
      <c r="F35" s="24"/>
      <c r="G35" s="24"/>
      <c r="H35" s="24"/>
      <c r="I35" s="24"/>
      <c r="J35" s="24"/>
      <c r="K35" s="24"/>
      <c r="L35" s="43"/>
      <c r="M35" s="39"/>
      <c r="N35" s="40"/>
      <c r="O35" s="41">
        <f>VLOOKUP(B35,出勤汇总!C:S,17,0)</f>
        <v>19</v>
      </c>
      <c r="P35" s="42">
        <f t="shared" si="0"/>
        <v>19</v>
      </c>
      <c r="Q35" s="42">
        <f>VLOOKUP(B35,餐补次数!R:S,2,0)</f>
        <v>11</v>
      </c>
      <c r="R35" s="51">
        <f t="shared" ref="R35:R66" si="2">Q35*15</f>
        <v>165</v>
      </c>
    </row>
    <row r="36" s="3" customFormat="1" customHeight="1" spans="1:18">
      <c r="A36" s="21" t="s">
        <v>887</v>
      </c>
      <c r="B36" s="22" t="s">
        <v>890</v>
      </c>
      <c r="C36" s="22" t="s">
        <v>891</v>
      </c>
      <c r="D36" s="18" t="s">
        <v>837</v>
      </c>
      <c r="E36" s="23"/>
      <c r="F36" s="24"/>
      <c r="G36" s="24"/>
      <c r="H36" s="24"/>
      <c r="I36" s="24"/>
      <c r="J36" s="24"/>
      <c r="K36" s="24"/>
      <c r="L36" s="43"/>
      <c r="M36" s="39"/>
      <c r="N36" s="40"/>
      <c r="O36" s="41">
        <f>VLOOKUP(B36,出勤汇总!C:S,17,0)</f>
        <v>19</v>
      </c>
      <c r="P36" s="42">
        <f t="shared" ref="P36:P67" si="3">O36-L36-M36-N36</f>
        <v>19</v>
      </c>
      <c r="Q36" s="42">
        <f>VLOOKUP(B36,餐补次数!R:S,2,0)</f>
        <v>6</v>
      </c>
      <c r="R36" s="51">
        <f t="shared" si="2"/>
        <v>90</v>
      </c>
    </row>
    <row r="37" s="3" customFormat="1" customHeight="1" spans="1:18">
      <c r="A37" s="21" t="s">
        <v>887</v>
      </c>
      <c r="B37" s="22" t="s">
        <v>892</v>
      </c>
      <c r="C37" s="22" t="s">
        <v>889</v>
      </c>
      <c r="D37" s="18" t="s">
        <v>837</v>
      </c>
      <c r="E37" s="23"/>
      <c r="F37" s="24"/>
      <c r="G37" s="24"/>
      <c r="H37" s="24"/>
      <c r="I37" s="24"/>
      <c r="J37" s="24"/>
      <c r="K37" s="24"/>
      <c r="L37" s="43"/>
      <c r="M37" s="39"/>
      <c r="N37" s="40">
        <f>VLOOKUP(B37,出勤汇总!C:AB,26,0)</f>
        <v>1</v>
      </c>
      <c r="O37" s="41">
        <f>VLOOKUP(B37,出勤汇总!C:S,17,0)</f>
        <v>19</v>
      </c>
      <c r="P37" s="42">
        <f t="shared" si="3"/>
        <v>18</v>
      </c>
      <c r="Q37" s="42">
        <f>VLOOKUP(B37,餐补次数!R:S,2,0)</f>
        <v>6</v>
      </c>
      <c r="R37" s="51">
        <f t="shared" si="2"/>
        <v>90</v>
      </c>
    </row>
    <row r="38" s="3" customFormat="1" customHeight="1" spans="1:18">
      <c r="A38" s="21" t="s">
        <v>887</v>
      </c>
      <c r="B38" s="22" t="s">
        <v>893</v>
      </c>
      <c r="C38" s="22" t="s">
        <v>889</v>
      </c>
      <c r="D38" s="18" t="s">
        <v>837</v>
      </c>
      <c r="E38" s="23"/>
      <c r="F38" s="24"/>
      <c r="G38" s="24"/>
      <c r="H38" s="24"/>
      <c r="I38" s="24"/>
      <c r="J38" s="24"/>
      <c r="K38" s="24"/>
      <c r="L38" s="43"/>
      <c r="M38" s="39"/>
      <c r="N38" s="40"/>
      <c r="O38" s="41">
        <f>VLOOKUP(B38,出勤汇总!C:S,17,0)</f>
        <v>19</v>
      </c>
      <c r="P38" s="42">
        <f t="shared" si="3"/>
        <v>19</v>
      </c>
      <c r="Q38" s="42">
        <f>VLOOKUP(B38,餐补次数!R:S,2,0)</f>
        <v>8</v>
      </c>
      <c r="R38" s="51">
        <f t="shared" si="2"/>
        <v>120</v>
      </c>
    </row>
    <row r="39" s="3" customFormat="1" customHeight="1" spans="1:18">
      <c r="A39" s="21" t="s">
        <v>887</v>
      </c>
      <c r="B39" s="22" t="s">
        <v>894</v>
      </c>
      <c r="C39" s="22" t="s">
        <v>895</v>
      </c>
      <c r="D39" s="18" t="s">
        <v>837</v>
      </c>
      <c r="E39" s="23"/>
      <c r="F39" s="24"/>
      <c r="G39" s="24"/>
      <c r="H39" s="24"/>
      <c r="I39" s="24"/>
      <c r="J39" s="24"/>
      <c r="K39" s="24"/>
      <c r="L39" s="43"/>
      <c r="M39" s="39"/>
      <c r="N39" s="40">
        <f>VLOOKUP(B39,出勤汇总!C:AB,26,0)</f>
        <v>1</v>
      </c>
      <c r="O39" s="41">
        <f>VLOOKUP(B39,出勤汇总!C:S,17,0)</f>
        <v>19</v>
      </c>
      <c r="P39" s="42">
        <f t="shared" si="3"/>
        <v>18</v>
      </c>
      <c r="Q39" s="42">
        <f>VLOOKUP(B39,餐补次数!R:S,2,0)</f>
        <v>6</v>
      </c>
      <c r="R39" s="51">
        <f t="shared" si="2"/>
        <v>90</v>
      </c>
    </row>
    <row r="40" s="3" customFormat="1" customHeight="1" spans="1:18">
      <c r="A40" s="21" t="s">
        <v>896</v>
      </c>
      <c r="B40" s="22" t="s">
        <v>897</v>
      </c>
      <c r="C40" s="22" t="s">
        <v>898</v>
      </c>
      <c r="D40" s="18" t="s">
        <v>837</v>
      </c>
      <c r="E40" s="23"/>
      <c r="F40" s="24"/>
      <c r="G40" s="24"/>
      <c r="H40" s="24"/>
      <c r="I40" s="24"/>
      <c r="J40" s="24"/>
      <c r="K40" s="24"/>
      <c r="L40" s="43"/>
      <c r="M40" s="39"/>
      <c r="N40" s="40">
        <f>VLOOKUP(B40,出勤汇总!C:AB,26,0)</f>
        <v>1</v>
      </c>
      <c r="O40" s="41">
        <f>VLOOKUP(B40,出勤汇总!C:S,17,0)</f>
        <v>19</v>
      </c>
      <c r="P40" s="42">
        <f t="shared" si="3"/>
        <v>18</v>
      </c>
      <c r="Q40" s="42">
        <f>VLOOKUP(B40,餐补次数!R:S,2,0)</f>
        <v>12</v>
      </c>
      <c r="R40" s="51">
        <f t="shared" si="2"/>
        <v>180</v>
      </c>
    </row>
    <row r="41" s="3" customFormat="1" customHeight="1" spans="1:18">
      <c r="A41" s="21" t="s">
        <v>896</v>
      </c>
      <c r="B41" s="22" t="s">
        <v>899</v>
      </c>
      <c r="C41" s="22" t="s">
        <v>900</v>
      </c>
      <c r="D41" s="18" t="s">
        <v>837</v>
      </c>
      <c r="E41" s="23"/>
      <c r="F41" s="24"/>
      <c r="G41" s="24"/>
      <c r="H41" s="24"/>
      <c r="I41" s="24"/>
      <c r="J41" s="24"/>
      <c r="K41" s="24"/>
      <c r="L41" s="43"/>
      <c r="M41" s="39"/>
      <c r="N41" s="40"/>
      <c r="O41" s="41">
        <f>VLOOKUP(B41,出勤汇总!C:S,17,0)</f>
        <v>19</v>
      </c>
      <c r="P41" s="42">
        <f t="shared" si="3"/>
        <v>19</v>
      </c>
      <c r="Q41" s="42">
        <f>VLOOKUP(B41,餐补次数!R:S,2,0)</f>
        <v>8</v>
      </c>
      <c r="R41" s="51">
        <f t="shared" si="2"/>
        <v>120</v>
      </c>
    </row>
    <row r="42" s="3" customFormat="1" customHeight="1" spans="1:18">
      <c r="A42" s="21" t="s">
        <v>896</v>
      </c>
      <c r="B42" s="22" t="s">
        <v>901</v>
      </c>
      <c r="C42" s="22" t="s">
        <v>863</v>
      </c>
      <c r="D42" s="18" t="s">
        <v>837</v>
      </c>
      <c r="E42" s="23"/>
      <c r="F42" s="24"/>
      <c r="G42" s="24"/>
      <c r="H42" s="24"/>
      <c r="I42" s="24"/>
      <c r="J42" s="24"/>
      <c r="K42" s="24"/>
      <c r="L42" s="43"/>
      <c r="M42" s="39"/>
      <c r="N42" s="40"/>
      <c r="O42" s="41">
        <f>VLOOKUP(B42,出勤汇总!C:S,17,0)</f>
        <v>19</v>
      </c>
      <c r="P42" s="42">
        <f t="shared" si="3"/>
        <v>19</v>
      </c>
      <c r="Q42" s="42">
        <f>VLOOKUP(B42,餐补次数!R:S,2,0)</f>
        <v>8</v>
      </c>
      <c r="R42" s="51">
        <f t="shared" si="2"/>
        <v>120</v>
      </c>
    </row>
    <row r="43" s="3" customFormat="1" customHeight="1" spans="1:18">
      <c r="A43" s="21" t="s">
        <v>896</v>
      </c>
      <c r="B43" s="22" t="s">
        <v>902</v>
      </c>
      <c r="C43" s="22" t="s">
        <v>863</v>
      </c>
      <c r="D43" s="18" t="s">
        <v>837</v>
      </c>
      <c r="E43" s="23"/>
      <c r="F43" s="24"/>
      <c r="G43" s="24"/>
      <c r="H43" s="24"/>
      <c r="I43" s="24"/>
      <c r="J43" s="24"/>
      <c r="K43" s="24"/>
      <c r="L43" s="43"/>
      <c r="M43" s="39"/>
      <c r="N43" s="40"/>
      <c r="O43" s="41">
        <f>VLOOKUP(B43,出勤汇总!C:S,17,0)</f>
        <v>19</v>
      </c>
      <c r="P43" s="42">
        <f t="shared" si="3"/>
        <v>19</v>
      </c>
      <c r="Q43" s="42">
        <f>VLOOKUP(B43,餐补次数!R:S,2,0)</f>
        <v>5</v>
      </c>
      <c r="R43" s="51">
        <f t="shared" si="2"/>
        <v>75</v>
      </c>
    </row>
    <row r="44" s="3" customFormat="1" customHeight="1" spans="1:18">
      <c r="A44" s="21" t="s">
        <v>896</v>
      </c>
      <c r="B44" s="22" t="s">
        <v>903</v>
      </c>
      <c r="C44" s="22" t="s">
        <v>904</v>
      </c>
      <c r="D44" s="18" t="s">
        <v>837</v>
      </c>
      <c r="E44" s="23"/>
      <c r="F44" s="24"/>
      <c r="G44" s="24"/>
      <c r="H44" s="24"/>
      <c r="I44" s="24"/>
      <c r="J44" s="24"/>
      <c r="K44" s="24"/>
      <c r="L44" s="43"/>
      <c r="M44" s="39"/>
      <c r="N44" s="40">
        <f>VLOOKUP(B44,出勤汇总!C:AB,26,0)</f>
        <v>1</v>
      </c>
      <c r="O44" s="41">
        <f>VLOOKUP(B44,出勤汇总!C:S,17,0)</f>
        <v>19</v>
      </c>
      <c r="P44" s="42">
        <f t="shared" si="3"/>
        <v>18</v>
      </c>
      <c r="Q44" s="42">
        <f>VLOOKUP(B44,餐补次数!R:S,2,0)</f>
        <v>7</v>
      </c>
      <c r="R44" s="51">
        <f t="shared" si="2"/>
        <v>105</v>
      </c>
    </row>
    <row r="45" s="3" customFormat="1" customHeight="1" spans="1:18">
      <c r="A45" s="21" t="s">
        <v>905</v>
      </c>
      <c r="B45" s="22" t="s">
        <v>906</v>
      </c>
      <c r="C45" s="22" t="s">
        <v>907</v>
      </c>
      <c r="D45" s="18" t="s">
        <v>837</v>
      </c>
      <c r="E45" s="23"/>
      <c r="F45" s="24"/>
      <c r="G45" s="24"/>
      <c r="H45" s="24"/>
      <c r="I45" s="24"/>
      <c r="J45" s="24"/>
      <c r="K45" s="24"/>
      <c r="L45" s="43"/>
      <c r="M45" s="39"/>
      <c r="N45" s="40"/>
      <c r="O45" s="41">
        <f>VLOOKUP(B45,出勤汇总!C:S,17,0)</f>
        <v>19</v>
      </c>
      <c r="P45" s="42">
        <f t="shared" si="3"/>
        <v>19</v>
      </c>
      <c r="Q45" s="42">
        <f>VLOOKUP(B45,餐补次数!R:S,2,0)</f>
        <v>11</v>
      </c>
      <c r="R45" s="51">
        <f t="shared" si="2"/>
        <v>165</v>
      </c>
    </row>
    <row r="46" s="3" customFormat="1" customHeight="1" spans="1:18">
      <c r="A46" s="21" t="s">
        <v>905</v>
      </c>
      <c r="B46" s="22" t="s">
        <v>908</v>
      </c>
      <c r="C46" s="22" t="s">
        <v>858</v>
      </c>
      <c r="D46" s="18" t="s">
        <v>837</v>
      </c>
      <c r="E46" s="23"/>
      <c r="F46" s="24"/>
      <c r="G46" s="24"/>
      <c r="H46" s="24"/>
      <c r="I46" s="24"/>
      <c r="J46" s="24"/>
      <c r="K46" s="24"/>
      <c r="L46" s="43"/>
      <c r="M46" s="39">
        <f>VLOOKUP(B46,出勤汇总!C:AA,25,0)</f>
        <v>1</v>
      </c>
      <c r="N46" s="40">
        <f>VLOOKUP(B46,出勤汇总!C:AB,26,0)</f>
        <v>0.5</v>
      </c>
      <c r="O46" s="41">
        <f>VLOOKUP(B46,出勤汇总!C:S,17,0)</f>
        <v>19</v>
      </c>
      <c r="P46" s="42">
        <f t="shared" si="3"/>
        <v>17.5</v>
      </c>
      <c r="Q46" s="42">
        <f>VLOOKUP(B46,餐补次数!R:S,2,0)</f>
        <v>11</v>
      </c>
      <c r="R46" s="51">
        <f t="shared" si="2"/>
        <v>165</v>
      </c>
    </row>
    <row r="47" s="3" customFormat="1" customHeight="1" spans="1:18">
      <c r="A47" s="21" t="s">
        <v>905</v>
      </c>
      <c r="B47" s="22" t="s">
        <v>909</v>
      </c>
      <c r="C47" s="22" t="s">
        <v>907</v>
      </c>
      <c r="D47" s="18" t="s">
        <v>837</v>
      </c>
      <c r="E47" s="23"/>
      <c r="F47" s="24"/>
      <c r="G47" s="24"/>
      <c r="H47" s="24"/>
      <c r="I47" s="24"/>
      <c r="J47" s="24"/>
      <c r="K47" s="24"/>
      <c r="L47" s="43"/>
      <c r="M47" s="39"/>
      <c r="N47" s="40"/>
      <c r="O47" s="41">
        <f>VLOOKUP(B47,出勤汇总!C:S,17,0)</f>
        <v>19</v>
      </c>
      <c r="P47" s="42">
        <f t="shared" si="3"/>
        <v>19</v>
      </c>
      <c r="Q47" s="42">
        <f>VLOOKUP(B47,餐补次数!R:S,2,0)</f>
        <v>11</v>
      </c>
      <c r="R47" s="51">
        <f t="shared" si="2"/>
        <v>165</v>
      </c>
    </row>
    <row r="48" s="3" customFormat="1" customHeight="1" spans="1:18">
      <c r="A48" s="21" t="s">
        <v>905</v>
      </c>
      <c r="B48" s="22" t="s">
        <v>910</v>
      </c>
      <c r="C48" s="22" t="s">
        <v>907</v>
      </c>
      <c r="D48" s="18" t="s">
        <v>837</v>
      </c>
      <c r="E48" s="23"/>
      <c r="F48" s="24"/>
      <c r="G48" s="28"/>
      <c r="H48" s="24"/>
      <c r="I48" s="24"/>
      <c r="J48" s="24"/>
      <c r="K48" s="24"/>
      <c r="L48" s="43"/>
      <c r="M48" s="39">
        <f>VLOOKUP(B48,出勤汇总!C:AA,25,0)</f>
        <v>1</v>
      </c>
      <c r="N48" s="40"/>
      <c r="O48" s="41">
        <f>VLOOKUP(B48,出勤汇总!C:S,17,0)</f>
        <v>19</v>
      </c>
      <c r="P48" s="42">
        <f t="shared" si="3"/>
        <v>18</v>
      </c>
      <c r="Q48" s="42">
        <f>VLOOKUP(B48,餐补次数!R:S,2,0)</f>
        <v>11</v>
      </c>
      <c r="R48" s="51">
        <f t="shared" si="2"/>
        <v>165</v>
      </c>
    </row>
    <row r="49" s="3" customFormat="1" customHeight="1" spans="1:18">
      <c r="A49" s="21" t="s">
        <v>905</v>
      </c>
      <c r="B49" s="22" t="s">
        <v>911</v>
      </c>
      <c r="C49" s="22" t="s">
        <v>907</v>
      </c>
      <c r="D49" s="18" t="s">
        <v>837</v>
      </c>
      <c r="E49" s="23"/>
      <c r="F49" s="24"/>
      <c r="G49" s="24"/>
      <c r="H49" s="24"/>
      <c r="I49" s="24"/>
      <c r="J49" s="24"/>
      <c r="K49" s="24"/>
      <c r="L49" s="43"/>
      <c r="M49" s="39"/>
      <c r="N49" s="40"/>
      <c r="O49" s="41">
        <f>VLOOKUP(B49,出勤汇总!C:S,17,0)</f>
        <v>19</v>
      </c>
      <c r="P49" s="42">
        <f t="shared" si="3"/>
        <v>19</v>
      </c>
      <c r="Q49" s="42">
        <f>VLOOKUP(B49,餐补次数!R:S,2,0)</f>
        <v>6</v>
      </c>
      <c r="R49" s="51">
        <f t="shared" si="2"/>
        <v>90</v>
      </c>
    </row>
    <row r="50" s="3" customFormat="1" customHeight="1" spans="1:18">
      <c r="A50" s="21" t="s">
        <v>905</v>
      </c>
      <c r="B50" s="22" t="s">
        <v>912</v>
      </c>
      <c r="C50" s="22" t="s">
        <v>907</v>
      </c>
      <c r="D50" s="18" t="s">
        <v>837</v>
      </c>
      <c r="E50" s="23"/>
      <c r="F50" s="24"/>
      <c r="G50" s="24"/>
      <c r="H50" s="24"/>
      <c r="I50" s="24"/>
      <c r="J50" s="24"/>
      <c r="K50" s="24"/>
      <c r="L50" s="43"/>
      <c r="M50" s="39"/>
      <c r="N50" s="40">
        <f>VLOOKUP(B50,出勤汇总!C:AB,26,0)</f>
        <v>2</v>
      </c>
      <c r="O50" s="41">
        <f>VLOOKUP(B50,出勤汇总!C:S,17,0)</f>
        <v>19</v>
      </c>
      <c r="P50" s="42">
        <f t="shared" si="3"/>
        <v>17</v>
      </c>
      <c r="Q50" s="42">
        <f>VLOOKUP(B50,餐补次数!R:S,2,0)</f>
        <v>8</v>
      </c>
      <c r="R50" s="51">
        <f t="shared" si="2"/>
        <v>120</v>
      </c>
    </row>
    <row r="51" s="3" customFormat="1" customHeight="1" spans="1:18">
      <c r="A51" s="21" t="s">
        <v>905</v>
      </c>
      <c r="B51" s="22" t="s">
        <v>913</v>
      </c>
      <c r="C51" s="22" t="s">
        <v>907</v>
      </c>
      <c r="D51" s="18" t="s">
        <v>837</v>
      </c>
      <c r="E51" s="23"/>
      <c r="F51" s="24"/>
      <c r="G51" s="24"/>
      <c r="H51" s="24"/>
      <c r="I51" s="24"/>
      <c r="J51" s="24"/>
      <c r="K51" s="24"/>
      <c r="L51" s="43"/>
      <c r="M51" s="39"/>
      <c r="N51" s="40"/>
      <c r="O51" s="41">
        <f>VLOOKUP(B51,出勤汇总!C:S,17,0)</f>
        <v>19</v>
      </c>
      <c r="P51" s="42">
        <f t="shared" si="3"/>
        <v>19</v>
      </c>
      <c r="Q51" s="42">
        <f>VLOOKUP(B51,餐补次数!R:S,2,0)</f>
        <v>14</v>
      </c>
      <c r="R51" s="51">
        <f t="shared" si="2"/>
        <v>210</v>
      </c>
    </row>
    <row r="52" s="3" customFormat="1" customHeight="1" spans="1:18">
      <c r="A52" s="21" t="s">
        <v>905</v>
      </c>
      <c r="B52" s="22" t="s">
        <v>914</v>
      </c>
      <c r="C52" s="22" t="s">
        <v>907</v>
      </c>
      <c r="D52" s="18" t="s">
        <v>837</v>
      </c>
      <c r="E52" s="23"/>
      <c r="F52" s="24"/>
      <c r="G52" s="24"/>
      <c r="H52" s="24"/>
      <c r="I52" s="24"/>
      <c r="J52" s="24"/>
      <c r="K52" s="24"/>
      <c r="L52" s="43"/>
      <c r="M52" s="39"/>
      <c r="N52" s="40">
        <f>VLOOKUP(B52,出勤汇总!C:AB,26,0)</f>
        <v>2</v>
      </c>
      <c r="O52" s="41">
        <f>VLOOKUP(B52,出勤汇总!C:S,17,0)</f>
        <v>19</v>
      </c>
      <c r="P52" s="42">
        <f t="shared" si="3"/>
        <v>17</v>
      </c>
      <c r="Q52" s="42">
        <f>VLOOKUP(B52,餐补次数!R:S,2,0)</f>
        <v>9</v>
      </c>
      <c r="R52" s="51">
        <f t="shared" si="2"/>
        <v>135</v>
      </c>
    </row>
    <row r="53" s="3" customFormat="1" customHeight="1" spans="1:18">
      <c r="A53" s="21" t="s">
        <v>905</v>
      </c>
      <c r="B53" s="22" t="s">
        <v>915</v>
      </c>
      <c r="C53" s="22" t="s">
        <v>907</v>
      </c>
      <c r="D53" s="18" t="s">
        <v>837</v>
      </c>
      <c r="E53" s="23"/>
      <c r="F53" s="24"/>
      <c r="G53" s="24"/>
      <c r="H53" s="24"/>
      <c r="I53" s="24"/>
      <c r="J53" s="24"/>
      <c r="K53" s="24"/>
      <c r="L53" s="43"/>
      <c r="M53" s="39"/>
      <c r="N53" s="40">
        <f>VLOOKUP(B53,出勤汇总!C:AB,26,0)</f>
        <v>1</v>
      </c>
      <c r="O53" s="41">
        <f>VLOOKUP(B53,出勤汇总!C:S,17,0)</f>
        <v>19</v>
      </c>
      <c r="P53" s="42">
        <f t="shared" si="3"/>
        <v>18</v>
      </c>
      <c r="Q53" s="42">
        <f>VLOOKUP(B53,餐补次数!R:S,2,0)</f>
        <v>7</v>
      </c>
      <c r="R53" s="51">
        <f t="shared" si="2"/>
        <v>105</v>
      </c>
    </row>
    <row r="54" s="3" customFormat="1" customHeight="1" spans="1:18">
      <c r="A54" s="21" t="s">
        <v>905</v>
      </c>
      <c r="B54" s="22" t="s">
        <v>916</v>
      </c>
      <c r="C54" s="22" t="s">
        <v>907</v>
      </c>
      <c r="D54" s="18" t="s">
        <v>837</v>
      </c>
      <c r="E54" s="23"/>
      <c r="F54" s="24"/>
      <c r="G54" s="24"/>
      <c r="H54" s="24"/>
      <c r="I54" s="24"/>
      <c r="J54" s="24"/>
      <c r="K54" s="24"/>
      <c r="L54" s="43"/>
      <c r="M54" s="39"/>
      <c r="N54" s="40">
        <f>VLOOKUP(B54,出勤汇总!C:AB,26,0)</f>
        <v>1.5</v>
      </c>
      <c r="O54" s="41">
        <f>VLOOKUP(B54,出勤汇总!C:S,17,0)</f>
        <v>19</v>
      </c>
      <c r="P54" s="42">
        <f t="shared" si="3"/>
        <v>17.5</v>
      </c>
      <c r="Q54" s="42">
        <f>VLOOKUP(B54,餐补次数!R:S,2,0)</f>
        <v>8</v>
      </c>
      <c r="R54" s="51">
        <f t="shared" si="2"/>
        <v>120</v>
      </c>
    </row>
    <row r="55" s="3" customFormat="1" customHeight="1" spans="1:18">
      <c r="A55" s="21" t="s">
        <v>905</v>
      </c>
      <c r="B55" s="22" t="s">
        <v>917</v>
      </c>
      <c r="C55" s="22" t="s">
        <v>907</v>
      </c>
      <c r="D55" s="18" t="s">
        <v>837</v>
      </c>
      <c r="E55" s="23"/>
      <c r="F55" s="24"/>
      <c r="G55" s="24"/>
      <c r="H55" s="24"/>
      <c r="I55" s="24"/>
      <c r="J55" s="24"/>
      <c r="K55" s="24"/>
      <c r="L55" s="43"/>
      <c r="M55" s="39"/>
      <c r="N55" s="40">
        <f>VLOOKUP(B55,出勤汇总!C:AB,26,0)</f>
        <v>1</v>
      </c>
      <c r="O55" s="41">
        <f>VLOOKUP(B55,出勤汇总!C:S,17,0)</f>
        <v>19</v>
      </c>
      <c r="P55" s="42">
        <f t="shared" si="3"/>
        <v>18</v>
      </c>
      <c r="Q55" s="42">
        <f>VLOOKUP(B55,餐补次数!R:S,2,0)</f>
        <v>6.5</v>
      </c>
      <c r="R55" s="51">
        <f t="shared" si="2"/>
        <v>97.5</v>
      </c>
    </row>
    <row r="56" s="3" customFormat="1" customHeight="1" spans="1:18">
      <c r="A56" s="21" t="s">
        <v>905</v>
      </c>
      <c r="B56" s="22" t="s">
        <v>918</v>
      </c>
      <c r="C56" s="22" t="s">
        <v>907</v>
      </c>
      <c r="D56" s="18" t="s">
        <v>837</v>
      </c>
      <c r="E56" s="23"/>
      <c r="F56" s="24"/>
      <c r="G56" s="24"/>
      <c r="H56" s="24"/>
      <c r="I56" s="24"/>
      <c r="J56" s="24"/>
      <c r="K56" s="24"/>
      <c r="L56" s="43"/>
      <c r="M56" s="39"/>
      <c r="N56" s="40">
        <f>VLOOKUP(B56,出勤汇总!C:AB,26,0)</f>
        <v>4</v>
      </c>
      <c r="O56" s="41">
        <f>VLOOKUP(B56,出勤汇总!C:S,17,0)</f>
        <v>19</v>
      </c>
      <c r="P56" s="42">
        <f t="shared" si="3"/>
        <v>15</v>
      </c>
      <c r="Q56" s="42">
        <f>VLOOKUP(B56,餐补次数!R:S,2,0)</f>
        <v>7.5</v>
      </c>
      <c r="R56" s="51">
        <f t="shared" si="2"/>
        <v>112.5</v>
      </c>
    </row>
    <row r="57" s="3" customFormat="1" customHeight="1" spans="1:18">
      <c r="A57" s="21" t="s">
        <v>919</v>
      </c>
      <c r="B57" s="22" t="s">
        <v>920</v>
      </c>
      <c r="C57" s="22" t="s">
        <v>877</v>
      </c>
      <c r="D57" s="18" t="s">
        <v>837</v>
      </c>
      <c r="E57" s="23"/>
      <c r="F57" s="24"/>
      <c r="G57" s="24"/>
      <c r="H57" s="24"/>
      <c r="I57" s="24"/>
      <c r="J57" s="24"/>
      <c r="K57" s="24"/>
      <c r="L57" s="43"/>
      <c r="M57" s="39">
        <f>VLOOKUP(B57,出勤汇总!C:AA,25,0)</f>
        <v>1</v>
      </c>
      <c r="N57" s="40"/>
      <c r="O57" s="41">
        <f>VLOOKUP(B57,出勤汇总!C:S,17,0)</f>
        <v>19</v>
      </c>
      <c r="P57" s="42">
        <f t="shared" si="3"/>
        <v>18</v>
      </c>
      <c r="Q57" s="42">
        <f>VLOOKUP(B57,餐补次数!R:S,2,0)</f>
        <v>10</v>
      </c>
      <c r="R57" s="51">
        <f t="shared" si="2"/>
        <v>150</v>
      </c>
    </row>
    <row r="58" s="3" customFormat="1" customHeight="1" spans="1:18">
      <c r="A58" s="21" t="s">
        <v>919</v>
      </c>
      <c r="B58" s="22" t="s">
        <v>921</v>
      </c>
      <c r="C58" s="22" t="s">
        <v>848</v>
      </c>
      <c r="D58" s="18" t="s">
        <v>837</v>
      </c>
      <c r="E58" s="23"/>
      <c r="F58" s="24"/>
      <c r="G58" s="24"/>
      <c r="H58" s="24"/>
      <c r="I58" s="24"/>
      <c r="J58" s="24"/>
      <c r="K58" s="24"/>
      <c r="L58" s="43"/>
      <c r="M58" s="39"/>
      <c r="N58" s="40"/>
      <c r="O58" s="41">
        <f>VLOOKUP(B58,出勤汇总!C:S,17,0)</f>
        <v>19</v>
      </c>
      <c r="P58" s="42">
        <f t="shared" si="3"/>
        <v>19</v>
      </c>
      <c r="Q58" s="42">
        <f>VLOOKUP(B58,餐补次数!R:S,2,0)</f>
        <v>10</v>
      </c>
      <c r="R58" s="51">
        <f t="shared" si="2"/>
        <v>150</v>
      </c>
    </row>
    <row r="59" s="3" customFormat="1" customHeight="1" spans="1:18">
      <c r="A59" s="21" t="s">
        <v>919</v>
      </c>
      <c r="B59" s="22" t="s">
        <v>922</v>
      </c>
      <c r="C59" s="22" t="s">
        <v>877</v>
      </c>
      <c r="D59" s="18" t="s">
        <v>837</v>
      </c>
      <c r="E59" s="23"/>
      <c r="F59" s="24"/>
      <c r="G59" s="24"/>
      <c r="H59" s="24"/>
      <c r="I59" s="24"/>
      <c r="J59" s="24"/>
      <c r="K59" s="24"/>
      <c r="L59" s="43"/>
      <c r="M59" s="39">
        <f>VLOOKUP(B59,出勤汇总!C:AA,25,0)</f>
        <v>2</v>
      </c>
      <c r="N59" s="40">
        <f>VLOOKUP(B59,出勤汇总!C:AB,26,0)</f>
        <v>2</v>
      </c>
      <c r="O59" s="41">
        <f>VLOOKUP(B59,出勤汇总!C:S,17,0)</f>
        <v>19</v>
      </c>
      <c r="P59" s="42">
        <f t="shared" si="3"/>
        <v>15</v>
      </c>
      <c r="Q59" s="42">
        <f>VLOOKUP(B59,餐补次数!R:S,2,0)</f>
        <v>6</v>
      </c>
      <c r="R59" s="51">
        <f t="shared" si="2"/>
        <v>90</v>
      </c>
    </row>
    <row r="60" s="4" customFormat="1" customHeight="1" spans="1:16384">
      <c r="A60" s="29" t="s">
        <v>919</v>
      </c>
      <c r="B60" s="30" t="s">
        <v>923</v>
      </c>
      <c r="C60" s="30" t="s">
        <v>900</v>
      </c>
      <c r="D60" s="31" t="s">
        <v>837</v>
      </c>
      <c r="E60" s="32"/>
      <c r="F60" s="33"/>
      <c r="G60" s="33"/>
      <c r="H60" s="33"/>
      <c r="I60" s="33"/>
      <c r="J60" s="33"/>
      <c r="K60" s="33"/>
      <c r="L60" s="44"/>
      <c r="M60" s="45"/>
      <c r="N60" s="46">
        <f>VLOOKUP(B60,出勤汇总!C:AB,26,0)</f>
        <v>1</v>
      </c>
      <c r="O60" s="47">
        <f>VLOOKUP(B60,出勤汇总!C:S,17,0)</f>
        <v>19</v>
      </c>
      <c r="P60" s="48">
        <f t="shared" si="3"/>
        <v>18</v>
      </c>
      <c r="Q60" s="48">
        <f>VLOOKUP(B60,餐补次数!R:S,2,0)</f>
        <v>5</v>
      </c>
      <c r="R60" s="52">
        <f>Q60*15+P60*15</f>
        <v>345</v>
      </c>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c r="CJ60" s="53"/>
      <c r="CK60" s="53"/>
      <c r="CL60" s="53"/>
      <c r="CM60" s="53"/>
      <c r="CN60" s="53"/>
      <c r="CO60" s="53"/>
      <c r="CP60" s="53"/>
      <c r="CQ60" s="53"/>
      <c r="CR60" s="53"/>
      <c r="CS60" s="53"/>
      <c r="CT60" s="53"/>
      <c r="CU60" s="53"/>
      <c r="CV60" s="53"/>
      <c r="CW60" s="53"/>
      <c r="CX60" s="53"/>
      <c r="CY60" s="53"/>
      <c r="CZ60" s="53"/>
      <c r="DA60" s="53"/>
      <c r="DB60" s="53"/>
      <c r="DC60" s="53"/>
      <c r="DD60" s="53"/>
      <c r="DE60" s="53"/>
      <c r="DF60" s="53"/>
      <c r="DG60" s="53"/>
      <c r="DH60" s="53"/>
      <c r="DI60" s="53"/>
      <c r="DJ60" s="53"/>
      <c r="DK60" s="53"/>
      <c r="DL60" s="53"/>
      <c r="DM60" s="53"/>
      <c r="DN60" s="53"/>
      <c r="DO60" s="53"/>
      <c r="DP60" s="53"/>
      <c r="DQ60" s="53"/>
      <c r="DR60" s="53"/>
      <c r="DS60" s="53"/>
      <c r="DT60" s="53"/>
      <c r="DU60" s="53"/>
      <c r="DV60" s="53"/>
      <c r="DW60" s="53"/>
      <c r="DX60" s="53"/>
      <c r="DY60" s="53"/>
      <c r="DZ60" s="53"/>
      <c r="EA60" s="53"/>
      <c r="EB60" s="53"/>
      <c r="EC60" s="53"/>
      <c r="ED60" s="53"/>
      <c r="EE60" s="53"/>
      <c r="EF60" s="53"/>
      <c r="EG60" s="53"/>
      <c r="EH60" s="53"/>
      <c r="EI60" s="53"/>
      <c r="EJ60" s="53"/>
      <c r="EK60" s="53"/>
      <c r="EL60" s="53"/>
      <c r="EM60" s="53"/>
      <c r="EN60" s="53"/>
      <c r="EO60" s="53"/>
      <c r="EP60" s="53"/>
      <c r="EQ60" s="53"/>
      <c r="ER60" s="53"/>
      <c r="ES60" s="53"/>
      <c r="ET60" s="53"/>
      <c r="EU60" s="53"/>
      <c r="EV60" s="53"/>
      <c r="EW60" s="53"/>
      <c r="EX60" s="53"/>
      <c r="EY60" s="53"/>
      <c r="EZ60" s="53"/>
      <c r="FA60" s="53"/>
      <c r="FB60" s="53"/>
      <c r="FC60" s="53"/>
      <c r="FD60" s="53"/>
      <c r="FE60" s="53"/>
      <c r="FF60" s="53"/>
      <c r="FG60" s="53"/>
      <c r="FH60" s="53"/>
      <c r="FI60" s="53"/>
      <c r="FJ60" s="53"/>
      <c r="FK60" s="53"/>
      <c r="FL60" s="53"/>
      <c r="FM60" s="53"/>
      <c r="FN60" s="53"/>
      <c r="FO60" s="53"/>
      <c r="FP60" s="53"/>
      <c r="FQ60" s="53"/>
      <c r="FR60" s="53"/>
      <c r="FS60" s="53"/>
      <c r="FT60" s="53"/>
      <c r="FU60" s="53"/>
      <c r="FV60" s="53"/>
      <c r="FW60" s="53"/>
      <c r="FX60" s="53"/>
      <c r="FY60" s="53"/>
      <c r="FZ60" s="53"/>
      <c r="GA60" s="53"/>
      <c r="GB60" s="53"/>
      <c r="GC60" s="53"/>
      <c r="GD60" s="53"/>
      <c r="GE60" s="53"/>
      <c r="GF60" s="53"/>
      <c r="GG60" s="53"/>
      <c r="GH60" s="53"/>
      <c r="GI60" s="53"/>
      <c r="GJ60" s="53"/>
      <c r="GK60" s="53"/>
      <c r="GL60" s="53"/>
      <c r="GM60" s="53"/>
      <c r="GN60" s="53"/>
      <c r="GO60" s="53"/>
      <c r="GP60" s="53"/>
      <c r="GQ60" s="53"/>
      <c r="GR60" s="53"/>
      <c r="GS60" s="53"/>
      <c r="GT60" s="53"/>
      <c r="GU60" s="53"/>
      <c r="GV60" s="53"/>
      <c r="GW60" s="53"/>
      <c r="GX60" s="53"/>
      <c r="GY60" s="53"/>
      <c r="GZ60" s="53"/>
      <c r="HA60" s="53"/>
      <c r="HB60" s="53"/>
      <c r="HC60" s="53"/>
      <c r="HD60" s="53"/>
      <c r="HE60" s="53"/>
      <c r="HF60" s="53"/>
      <c r="HG60" s="53"/>
      <c r="HH60" s="53"/>
      <c r="HI60" s="53"/>
      <c r="HJ60" s="53"/>
      <c r="HK60" s="53"/>
      <c r="HL60" s="53"/>
      <c r="HM60" s="53"/>
      <c r="HN60" s="53"/>
      <c r="HO60" s="53"/>
      <c r="HP60" s="53"/>
      <c r="HQ60" s="53"/>
      <c r="HR60" s="53"/>
      <c r="HS60" s="53"/>
      <c r="HT60" s="53"/>
      <c r="HU60" s="53"/>
      <c r="HV60" s="53"/>
      <c r="HW60" s="53"/>
      <c r="HX60" s="53"/>
      <c r="HY60" s="53"/>
      <c r="HZ60" s="53"/>
      <c r="IA60" s="53"/>
      <c r="IB60" s="53"/>
      <c r="IC60" s="53"/>
      <c r="ID60" s="53"/>
      <c r="IE60" s="53"/>
      <c r="IF60" s="53"/>
      <c r="IG60" s="53"/>
      <c r="IH60" s="53"/>
      <c r="II60" s="53"/>
      <c r="IJ60" s="53"/>
      <c r="IK60" s="53"/>
      <c r="IL60" s="53"/>
      <c r="IM60" s="53"/>
      <c r="IN60" s="53"/>
      <c r="IO60" s="53"/>
      <c r="IP60" s="53"/>
      <c r="IQ60" s="53"/>
      <c r="IR60" s="53"/>
      <c r="IS60" s="53"/>
      <c r="IT60" s="53"/>
      <c r="IU60" s="53"/>
      <c r="IV60" s="53"/>
      <c r="IW60" s="53"/>
      <c r="IX60" s="53"/>
      <c r="IY60" s="53"/>
      <c r="IZ60" s="53"/>
      <c r="JA60" s="53"/>
      <c r="JB60" s="53"/>
      <c r="JC60" s="53"/>
      <c r="JD60" s="53"/>
      <c r="JE60" s="53"/>
      <c r="JF60" s="53"/>
      <c r="JG60" s="53"/>
      <c r="JH60" s="53"/>
      <c r="JI60" s="53"/>
      <c r="JJ60" s="53"/>
      <c r="JK60" s="53"/>
      <c r="JL60" s="53"/>
      <c r="JM60" s="53"/>
      <c r="JN60" s="53"/>
      <c r="JO60" s="53"/>
      <c r="JP60" s="53"/>
      <c r="JQ60" s="53"/>
      <c r="JR60" s="53"/>
      <c r="JS60" s="53"/>
      <c r="JT60" s="53"/>
      <c r="JU60" s="53"/>
      <c r="JV60" s="53"/>
      <c r="JW60" s="53"/>
      <c r="JX60" s="53"/>
      <c r="JY60" s="53"/>
      <c r="JZ60" s="53"/>
      <c r="KA60" s="53"/>
      <c r="KB60" s="53"/>
      <c r="KC60" s="53"/>
      <c r="KD60" s="53"/>
      <c r="KE60" s="53"/>
      <c r="KF60" s="53"/>
      <c r="KG60" s="53"/>
      <c r="KH60" s="53"/>
      <c r="KI60" s="53"/>
      <c r="KJ60" s="53"/>
      <c r="KK60" s="53"/>
      <c r="KL60" s="53"/>
      <c r="KM60" s="53"/>
      <c r="KN60" s="53"/>
      <c r="KO60" s="53"/>
      <c r="KP60" s="53"/>
      <c r="KQ60" s="53"/>
      <c r="KR60" s="53"/>
      <c r="KS60" s="53"/>
      <c r="KT60" s="53"/>
      <c r="KU60" s="53"/>
      <c r="KV60" s="53"/>
      <c r="KW60" s="53"/>
      <c r="KX60" s="53"/>
      <c r="KY60" s="53"/>
      <c r="KZ60" s="53"/>
      <c r="LA60" s="53"/>
      <c r="LB60" s="53"/>
      <c r="LC60" s="53"/>
      <c r="LD60" s="53"/>
      <c r="LE60" s="53"/>
      <c r="LF60" s="53"/>
      <c r="LG60" s="53"/>
      <c r="LH60" s="53"/>
      <c r="LI60" s="53"/>
      <c r="LJ60" s="53"/>
      <c r="LK60" s="53"/>
      <c r="LL60" s="53"/>
      <c r="LM60" s="53"/>
      <c r="LN60" s="53"/>
      <c r="LO60" s="53"/>
      <c r="LP60" s="53"/>
      <c r="LQ60" s="53"/>
      <c r="LR60" s="53"/>
      <c r="LS60" s="53"/>
      <c r="LT60" s="53"/>
      <c r="LU60" s="53"/>
      <c r="LV60" s="53"/>
      <c r="LW60" s="53"/>
      <c r="LX60" s="53"/>
      <c r="LY60" s="53"/>
      <c r="LZ60" s="53"/>
      <c r="MA60" s="53"/>
      <c r="MB60" s="53"/>
      <c r="MC60" s="53"/>
      <c r="MD60" s="53"/>
      <c r="ME60" s="53"/>
      <c r="MF60" s="53"/>
      <c r="MG60" s="53"/>
      <c r="MH60" s="53"/>
      <c r="MI60" s="53"/>
      <c r="MJ60" s="53"/>
      <c r="MK60" s="53"/>
      <c r="ML60" s="53"/>
      <c r="MM60" s="53"/>
      <c r="MN60" s="53"/>
      <c r="MO60" s="53"/>
      <c r="MP60" s="53"/>
      <c r="MQ60" s="53"/>
      <c r="MR60" s="53"/>
      <c r="MS60" s="53"/>
      <c r="MT60" s="53"/>
      <c r="MU60" s="53"/>
      <c r="MV60" s="53"/>
      <c r="MW60" s="53"/>
      <c r="MX60" s="53"/>
      <c r="MY60" s="53"/>
      <c r="MZ60" s="53"/>
      <c r="NA60" s="53"/>
      <c r="NB60" s="53"/>
      <c r="NC60" s="53"/>
      <c r="ND60" s="53"/>
      <c r="NE60" s="53"/>
      <c r="NF60" s="53"/>
      <c r="NG60" s="53"/>
      <c r="NH60" s="53"/>
      <c r="NI60" s="53"/>
      <c r="NJ60" s="53"/>
      <c r="NK60" s="53"/>
      <c r="NL60" s="53"/>
      <c r="NM60" s="53"/>
      <c r="NN60" s="53"/>
      <c r="NO60" s="53"/>
      <c r="NP60" s="53"/>
      <c r="NQ60" s="53"/>
      <c r="NR60" s="53"/>
      <c r="NS60" s="53"/>
      <c r="NT60" s="53"/>
      <c r="NU60" s="53"/>
      <c r="NV60" s="53"/>
      <c r="NW60" s="53"/>
      <c r="NX60" s="53"/>
      <c r="NY60" s="53"/>
      <c r="NZ60" s="53"/>
      <c r="OA60" s="53"/>
      <c r="OB60" s="53"/>
      <c r="OC60" s="53"/>
      <c r="OD60" s="53"/>
      <c r="OE60" s="53"/>
      <c r="OF60" s="53"/>
      <c r="OG60" s="53"/>
      <c r="OH60" s="53"/>
      <c r="OI60" s="53"/>
      <c r="OJ60" s="53"/>
      <c r="OK60" s="53"/>
      <c r="OL60" s="53"/>
      <c r="OM60" s="53"/>
      <c r="ON60" s="53"/>
      <c r="OO60" s="53"/>
      <c r="OP60" s="53"/>
      <c r="OQ60" s="53"/>
      <c r="OR60" s="53"/>
      <c r="OS60" s="53"/>
      <c r="OT60" s="53"/>
      <c r="OU60" s="53"/>
      <c r="OV60" s="53"/>
      <c r="OW60" s="53"/>
      <c r="OX60" s="53"/>
      <c r="OY60" s="53"/>
      <c r="OZ60" s="53"/>
      <c r="PA60" s="53"/>
      <c r="PB60" s="53"/>
      <c r="PC60" s="53"/>
      <c r="PD60" s="53"/>
      <c r="PE60" s="53"/>
      <c r="PF60" s="53"/>
      <c r="PG60" s="53"/>
      <c r="PH60" s="53"/>
      <c r="PI60" s="53"/>
      <c r="PJ60" s="53"/>
      <c r="PK60" s="53"/>
      <c r="PL60" s="53"/>
      <c r="PM60" s="53"/>
      <c r="PN60" s="53"/>
      <c r="PO60" s="53"/>
      <c r="PP60" s="53"/>
      <c r="PQ60" s="53"/>
      <c r="PR60" s="53"/>
      <c r="PS60" s="53"/>
      <c r="PT60" s="53"/>
      <c r="PU60" s="53"/>
      <c r="PV60" s="53"/>
      <c r="PW60" s="53"/>
      <c r="PX60" s="53"/>
      <c r="PY60" s="53"/>
      <c r="PZ60" s="53"/>
      <c r="QA60" s="53"/>
      <c r="QB60" s="53"/>
      <c r="QC60" s="53"/>
      <c r="QD60" s="53"/>
      <c r="QE60" s="53"/>
      <c r="QF60" s="53"/>
      <c r="QG60" s="53"/>
      <c r="QH60" s="53"/>
      <c r="QI60" s="53"/>
      <c r="QJ60" s="53"/>
      <c r="QK60" s="53"/>
      <c r="QL60" s="53"/>
      <c r="QM60" s="53"/>
      <c r="QN60" s="53"/>
      <c r="QO60" s="53"/>
      <c r="QP60" s="53"/>
      <c r="QQ60" s="53"/>
      <c r="QR60" s="53"/>
      <c r="QS60" s="53"/>
      <c r="QT60" s="53"/>
      <c r="QU60" s="53"/>
      <c r="QV60" s="53"/>
      <c r="QW60" s="53"/>
      <c r="QX60" s="53"/>
      <c r="QY60" s="53"/>
      <c r="QZ60" s="53"/>
      <c r="RA60" s="53"/>
      <c r="RB60" s="53"/>
      <c r="RC60" s="53"/>
      <c r="RD60" s="53"/>
      <c r="RE60" s="53"/>
      <c r="RF60" s="53"/>
      <c r="RG60" s="53"/>
      <c r="RH60" s="53"/>
      <c r="RI60" s="53"/>
      <c r="RJ60" s="53"/>
      <c r="RK60" s="53"/>
      <c r="RL60" s="53"/>
      <c r="RM60" s="53"/>
      <c r="RN60" s="53"/>
      <c r="RO60" s="53"/>
      <c r="RP60" s="53"/>
      <c r="RQ60" s="53"/>
      <c r="RR60" s="53"/>
      <c r="RS60" s="53"/>
      <c r="RT60" s="53"/>
      <c r="RU60" s="53"/>
      <c r="RV60" s="53"/>
      <c r="RW60" s="53"/>
      <c r="RX60" s="53"/>
      <c r="RY60" s="53"/>
      <c r="RZ60" s="53"/>
      <c r="SA60" s="53"/>
      <c r="SB60" s="53"/>
      <c r="SC60" s="53"/>
      <c r="SD60" s="53"/>
      <c r="SE60" s="53"/>
      <c r="SF60" s="53"/>
      <c r="SG60" s="53"/>
      <c r="SH60" s="53"/>
      <c r="SI60" s="53"/>
      <c r="SJ60" s="53"/>
      <c r="SK60" s="53"/>
      <c r="SL60" s="53"/>
      <c r="SM60" s="53"/>
      <c r="SN60" s="53"/>
      <c r="SO60" s="53"/>
      <c r="SP60" s="53"/>
      <c r="SQ60" s="53"/>
      <c r="SR60" s="53"/>
      <c r="SS60" s="53"/>
      <c r="ST60" s="53"/>
      <c r="SU60" s="53"/>
      <c r="SV60" s="53"/>
      <c r="SW60" s="53"/>
      <c r="SX60" s="53"/>
      <c r="SY60" s="53"/>
      <c r="SZ60" s="53"/>
      <c r="TA60" s="53"/>
      <c r="TB60" s="53"/>
      <c r="TC60" s="53"/>
      <c r="TD60" s="53"/>
      <c r="TE60" s="53"/>
      <c r="TF60" s="53"/>
      <c r="TG60" s="53"/>
      <c r="TH60" s="53"/>
      <c r="TI60" s="53"/>
      <c r="TJ60" s="53"/>
      <c r="TK60" s="53"/>
      <c r="TL60" s="53"/>
      <c r="TM60" s="53"/>
      <c r="TN60" s="53"/>
      <c r="TO60" s="53"/>
      <c r="TP60" s="53"/>
      <c r="TQ60" s="53"/>
      <c r="TR60" s="53"/>
      <c r="TS60" s="53"/>
      <c r="TT60" s="53"/>
      <c r="TU60" s="53"/>
      <c r="TV60" s="53"/>
      <c r="TW60" s="53"/>
      <c r="TX60" s="53"/>
      <c r="TY60" s="53"/>
      <c r="TZ60" s="53"/>
      <c r="UA60" s="53"/>
      <c r="UB60" s="53"/>
      <c r="UC60" s="53"/>
      <c r="UD60" s="53"/>
      <c r="UE60" s="53"/>
      <c r="UF60" s="53"/>
      <c r="UG60" s="53"/>
      <c r="UH60" s="53"/>
      <c r="UI60" s="53"/>
      <c r="UJ60" s="53"/>
      <c r="UK60" s="53"/>
      <c r="UL60" s="53"/>
      <c r="UM60" s="53"/>
      <c r="UN60" s="53"/>
      <c r="UO60" s="53"/>
      <c r="UP60" s="53"/>
      <c r="UQ60" s="53"/>
      <c r="UR60" s="53"/>
      <c r="US60" s="53"/>
      <c r="UT60" s="53"/>
      <c r="UU60" s="53"/>
      <c r="UV60" s="53"/>
      <c r="UW60" s="53"/>
      <c r="UX60" s="53"/>
      <c r="UY60" s="53"/>
      <c r="UZ60" s="53"/>
      <c r="VA60" s="53"/>
      <c r="VB60" s="53"/>
      <c r="VC60" s="53"/>
      <c r="VD60" s="53"/>
      <c r="VE60" s="53"/>
      <c r="VF60" s="53"/>
      <c r="VG60" s="53"/>
      <c r="VH60" s="53"/>
      <c r="VI60" s="53"/>
      <c r="VJ60" s="53"/>
      <c r="VK60" s="53"/>
      <c r="VL60" s="53"/>
      <c r="VM60" s="53"/>
      <c r="VN60" s="53"/>
      <c r="VO60" s="53"/>
      <c r="VP60" s="53"/>
      <c r="VQ60" s="53"/>
      <c r="VR60" s="53"/>
      <c r="VS60" s="53"/>
      <c r="VT60" s="53"/>
      <c r="VU60" s="53"/>
      <c r="VV60" s="53"/>
      <c r="VW60" s="53"/>
      <c r="VX60" s="53"/>
      <c r="VY60" s="53"/>
      <c r="VZ60" s="53"/>
      <c r="WA60" s="53"/>
      <c r="WB60" s="53"/>
      <c r="WC60" s="53"/>
      <c r="WD60" s="53"/>
      <c r="WE60" s="53"/>
      <c r="WF60" s="53"/>
      <c r="WG60" s="53"/>
      <c r="WH60" s="53"/>
      <c r="WI60" s="53"/>
      <c r="WJ60" s="53"/>
      <c r="WK60" s="53"/>
      <c r="WL60" s="53"/>
      <c r="WM60" s="53"/>
      <c r="WN60" s="53"/>
      <c r="WO60" s="53"/>
      <c r="WP60" s="53"/>
      <c r="WQ60" s="53"/>
      <c r="WR60" s="53"/>
      <c r="WS60" s="53"/>
      <c r="WT60" s="53"/>
      <c r="WU60" s="53"/>
      <c r="WV60" s="53"/>
      <c r="WW60" s="53"/>
      <c r="WX60" s="53"/>
      <c r="WY60" s="53"/>
      <c r="WZ60" s="53"/>
      <c r="XA60" s="53"/>
      <c r="XB60" s="53"/>
      <c r="XC60" s="53"/>
      <c r="XD60" s="53"/>
      <c r="XE60" s="53"/>
      <c r="XF60" s="53"/>
      <c r="XG60" s="53"/>
      <c r="XH60" s="53"/>
      <c r="XI60" s="53"/>
      <c r="XJ60" s="53"/>
      <c r="XK60" s="53"/>
      <c r="XL60" s="53"/>
      <c r="XM60" s="53"/>
      <c r="XN60" s="53"/>
      <c r="XO60" s="53"/>
      <c r="XP60" s="53"/>
      <c r="XQ60" s="53"/>
      <c r="XR60" s="53"/>
      <c r="XS60" s="53"/>
      <c r="XT60" s="53"/>
      <c r="XU60" s="53"/>
      <c r="XV60" s="53"/>
      <c r="XW60" s="53"/>
      <c r="XX60" s="53"/>
      <c r="XY60" s="53"/>
      <c r="XZ60" s="53"/>
      <c r="YA60" s="53"/>
      <c r="YB60" s="53"/>
      <c r="YC60" s="53"/>
      <c r="YD60" s="53"/>
      <c r="YE60" s="53"/>
      <c r="YF60" s="53"/>
      <c r="YG60" s="53"/>
      <c r="YH60" s="53"/>
      <c r="YI60" s="53"/>
      <c r="YJ60" s="53"/>
      <c r="YK60" s="53"/>
      <c r="YL60" s="53"/>
      <c r="YM60" s="53"/>
      <c r="YN60" s="53"/>
      <c r="YO60" s="53"/>
      <c r="YP60" s="53"/>
      <c r="YQ60" s="53"/>
      <c r="YR60" s="53"/>
      <c r="YS60" s="53"/>
      <c r="YT60" s="53"/>
      <c r="YU60" s="53"/>
      <c r="YV60" s="53"/>
      <c r="YW60" s="53"/>
      <c r="YX60" s="53"/>
      <c r="YY60" s="53"/>
      <c r="YZ60" s="53"/>
      <c r="ZA60" s="53"/>
      <c r="ZB60" s="53"/>
      <c r="ZC60" s="53"/>
      <c r="ZD60" s="53"/>
      <c r="ZE60" s="53"/>
      <c r="ZF60" s="53"/>
      <c r="ZG60" s="53"/>
      <c r="ZH60" s="53"/>
      <c r="ZI60" s="53"/>
      <c r="ZJ60" s="53"/>
      <c r="ZK60" s="53"/>
      <c r="ZL60" s="53"/>
      <c r="ZM60" s="53"/>
      <c r="ZN60" s="53"/>
      <c r="ZO60" s="53"/>
      <c r="ZP60" s="53"/>
      <c r="ZQ60" s="53"/>
      <c r="ZR60" s="53"/>
      <c r="ZS60" s="53"/>
      <c r="ZT60" s="53"/>
      <c r="ZU60" s="53"/>
      <c r="ZV60" s="53"/>
      <c r="ZW60" s="53"/>
      <c r="ZX60" s="53"/>
      <c r="ZY60" s="53"/>
      <c r="ZZ60" s="53"/>
      <c r="AAA60" s="53"/>
      <c r="AAB60" s="53"/>
      <c r="AAC60" s="53"/>
      <c r="AAD60" s="53"/>
      <c r="AAE60" s="53"/>
      <c r="AAF60" s="53"/>
      <c r="AAG60" s="53"/>
      <c r="AAH60" s="53"/>
      <c r="AAI60" s="53"/>
      <c r="AAJ60" s="53"/>
      <c r="AAK60" s="53"/>
      <c r="AAL60" s="53"/>
      <c r="AAM60" s="53"/>
      <c r="AAN60" s="53"/>
      <c r="AAO60" s="53"/>
      <c r="AAP60" s="53"/>
      <c r="AAQ60" s="53"/>
      <c r="AAR60" s="53"/>
      <c r="AAS60" s="53"/>
      <c r="AAT60" s="53"/>
      <c r="AAU60" s="53"/>
      <c r="AAV60" s="53"/>
      <c r="AAW60" s="53"/>
      <c r="AAX60" s="53"/>
      <c r="AAY60" s="53"/>
      <c r="AAZ60" s="53"/>
      <c r="ABA60" s="53"/>
      <c r="ABB60" s="53"/>
      <c r="ABC60" s="53"/>
      <c r="ABD60" s="53"/>
      <c r="ABE60" s="53"/>
      <c r="ABF60" s="53"/>
      <c r="ABG60" s="53"/>
      <c r="ABH60" s="53"/>
      <c r="ABI60" s="53"/>
      <c r="ABJ60" s="53"/>
      <c r="ABK60" s="53"/>
      <c r="ABL60" s="53"/>
      <c r="ABM60" s="53"/>
      <c r="ABN60" s="53"/>
      <c r="ABO60" s="53"/>
      <c r="ABP60" s="53"/>
      <c r="ABQ60" s="53"/>
      <c r="ABR60" s="53"/>
      <c r="ABS60" s="53"/>
      <c r="ABT60" s="53"/>
      <c r="ABU60" s="53"/>
      <c r="ABV60" s="53"/>
      <c r="ABW60" s="53"/>
      <c r="ABX60" s="53"/>
      <c r="ABY60" s="53"/>
      <c r="ABZ60" s="53"/>
      <c r="ACA60" s="53"/>
      <c r="ACB60" s="53"/>
      <c r="ACC60" s="53"/>
      <c r="ACD60" s="53"/>
      <c r="ACE60" s="53"/>
      <c r="ACF60" s="53"/>
      <c r="ACG60" s="53"/>
      <c r="ACH60" s="53"/>
      <c r="ACI60" s="53"/>
      <c r="ACJ60" s="53"/>
      <c r="ACK60" s="53"/>
      <c r="ACL60" s="53"/>
      <c r="ACM60" s="53"/>
      <c r="ACN60" s="53"/>
      <c r="ACO60" s="53"/>
      <c r="ACP60" s="53"/>
      <c r="ACQ60" s="53"/>
      <c r="ACR60" s="53"/>
      <c r="ACS60" s="53"/>
      <c r="ACT60" s="53"/>
      <c r="ACU60" s="53"/>
      <c r="ACV60" s="53"/>
      <c r="ACW60" s="53"/>
      <c r="ACX60" s="53"/>
      <c r="ACY60" s="53"/>
      <c r="ACZ60" s="53"/>
      <c r="ADA60" s="53"/>
      <c r="ADB60" s="53"/>
      <c r="ADC60" s="53"/>
      <c r="ADD60" s="53"/>
      <c r="ADE60" s="53"/>
      <c r="ADF60" s="53"/>
      <c r="ADG60" s="53"/>
      <c r="ADH60" s="53"/>
      <c r="ADI60" s="53"/>
      <c r="ADJ60" s="53"/>
      <c r="ADK60" s="53"/>
      <c r="ADL60" s="53"/>
      <c r="ADM60" s="53"/>
      <c r="ADN60" s="53"/>
      <c r="ADO60" s="53"/>
      <c r="ADP60" s="53"/>
      <c r="ADQ60" s="53"/>
      <c r="ADR60" s="53"/>
      <c r="ADS60" s="53"/>
      <c r="ADT60" s="53"/>
      <c r="ADU60" s="53"/>
      <c r="ADV60" s="53"/>
      <c r="ADW60" s="53"/>
      <c r="ADX60" s="53"/>
      <c r="ADY60" s="53"/>
      <c r="ADZ60" s="53"/>
      <c r="AEA60" s="53"/>
      <c r="AEB60" s="53"/>
      <c r="AEC60" s="53"/>
      <c r="AED60" s="53"/>
      <c r="AEE60" s="53"/>
      <c r="AEF60" s="53"/>
      <c r="AEG60" s="53"/>
      <c r="AEH60" s="53"/>
      <c r="AEI60" s="53"/>
      <c r="AEJ60" s="53"/>
      <c r="AEK60" s="53"/>
      <c r="AEL60" s="53"/>
      <c r="AEM60" s="53"/>
      <c r="AEN60" s="53"/>
      <c r="AEO60" s="53"/>
      <c r="AEP60" s="53"/>
      <c r="AEQ60" s="53"/>
      <c r="AER60" s="53"/>
      <c r="AES60" s="53"/>
      <c r="AET60" s="53"/>
      <c r="AEU60" s="53"/>
      <c r="AEV60" s="53"/>
      <c r="AEW60" s="53"/>
      <c r="AEX60" s="53"/>
      <c r="AEY60" s="53"/>
      <c r="AEZ60" s="53"/>
      <c r="AFA60" s="53"/>
      <c r="AFB60" s="53"/>
      <c r="AFC60" s="53"/>
      <c r="AFD60" s="53"/>
      <c r="AFE60" s="53"/>
      <c r="AFF60" s="53"/>
      <c r="AFG60" s="53"/>
      <c r="AFH60" s="53"/>
      <c r="AFI60" s="53"/>
      <c r="AFJ60" s="53"/>
      <c r="AFK60" s="53"/>
      <c r="AFL60" s="53"/>
      <c r="AFM60" s="53"/>
      <c r="AFN60" s="53"/>
      <c r="AFO60" s="53"/>
      <c r="AFP60" s="53"/>
      <c r="AFQ60" s="53"/>
      <c r="AFR60" s="53"/>
      <c r="AFS60" s="53"/>
      <c r="AFT60" s="53"/>
      <c r="AFU60" s="53"/>
      <c r="AFV60" s="53"/>
      <c r="AFW60" s="53"/>
      <c r="AFX60" s="53"/>
      <c r="AFY60" s="53"/>
      <c r="AFZ60" s="53"/>
      <c r="AGA60" s="53"/>
      <c r="AGB60" s="53"/>
      <c r="AGC60" s="53"/>
      <c r="AGD60" s="53"/>
      <c r="AGE60" s="53"/>
      <c r="AGF60" s="53"/>
      <c r="AGG60" s="53"/>
      <c r="AGH60" s="53"/>
      <c r="AGI60" s="53"/>
      <c r="AGJ60" s="53"/>
      <c r="AGK60" s="53"/>
      <c r="AGL60" s="53"/>
      <c r="AGM60" s="53"/>
      <c r="AGN60" s="53"/>
      <c r="AGO60" s="53"/>
      <c r="AGP60" s="53"/>
      <c r="AGQ60" s="53"/>
      <c r="AGR60" s="53"/>
      <c r="AGS60" s="53"/>
      <c r="AGT60" s="53"/>
      <c r="AGU60" s="53"/>
      <c r="AGV60" s="53"/>
      <c r="AGW60" s="53"/>
      <c r="AGX60" s="53"/>
      <c r="AGY60" s="53"/>
      <c r="AGZ60" s="53"/>
      <c r="AHA60" s="53"/>
      <c r="AHB60" s="53"/>
      <c r="AHC60" s="53"/>
      <c r="AHD60" s="53"/>
      <c r="AHE60" s="53"/>
      <c r="AHF60" s="53"/>
      <c r="AHG60" s="53"/>
      <c r="AHH60" s="53"/>
      <c r="AHI60" s="53"/>
      <c r="AHJ60" s="53"/>
      <c r="AHK60" s="53"/>
      <c r="AHL60" s="53"/>
      <c r="AHM60" s="53"/>
      <c r="AHN60" s="53"/>
      <c r="AHO60" s="53"/>
      <c r="AHP60" s="53"/>
      <c r="AHQ60" s="53"/>
      <c r="AHR60" s="53"/>
      <c r="AHS60" s="53"/>
      <c r="AHT60" s="53"/>
      <c r="AHU60" s="53"/>
      <c r="AHV60" s="53"/>
      <c r="AHW60" s="53"/>
      <c r="AHX60" s="53"/>
      <c r="AHY60" s="53"/>
      <c r="AHZ60" s="53"/>
      <c r="AIA60" s="53"/>
      <c r="AIB60" s="53"/>
      <c r="AIC60" s="53"/>
      <c r="AID60" s="53"/>
      <c r="AIE60" s="53"/>
      <c r="AIF60" s="53"/>
      <c r="AIG60" s="53"/>
      <c r="AIH60" s="53"/>
      <c r="AII60" s="53"/>
      <c r="AIJ60" s="53"/>
      <c r="AIK60" s="53"/>
      <c r="AIL60" s="53"/>
      <c r="AIM60" s="53"/>
      <c r="AIN60" s="53"/>
      <c r="AIO60" s="53"/>
      <c r="AIP60" s="53"/>
      <c r="AIQ60" s="53"/>
      <c r="AIR60" s="53"/>
      <c r="AIS60" s="53"/>
      <c r="AIT60" s="53"/>
      <c r="AIU60" s="53"/>
      <c r="AIV60" s="53"/>
      <c r="AIW60" s="53"/>
      <c r="AIX60" s="53"/>
      <c r="AIY60" s="53"/>
      <c r="AIZ60" s="53"/>
      <c r="AJA60" s="53"/>
      <c r="AJB60" s="53"/>
      <c r="AJC60" s="53"/>
      <c r="AJD60" s="53"/>
      <c r="AJE60" s="53"/>
      <c r="AJF60" s="53"/>
      <c r="AJG60" s="53"/>
      <c r="AJH60" s="53"/>
      <c r="AJI60" s="53"/>
      <c r="AJJ60" s="53"/>
      <c r="AJK60" s="53"/>
      <c r="AJL60" s="53"/>
      <c r="AJM60" s="53"/>
      <c r="AJN60" s="53"/>
      <c r="AJO60" s="53"/>
      <c r="AJP60" s="53"/>
      <c r="AJQ60" s="53"/>
      <c r="AJR60" s="53"/>
      <c r="AJS60" s="53"/>
      <c r="AJT60" s="53"/>
      <c r="AJU60" s="53"/>
      <c r="AJV60" s="53"/>
      <c r="AJW60" s="53"/>
      <c r="AJX60" s="53"/>
      <c r="AJY60" s="53"/>
      <c r="AJZ60" s="53"/>
      <c r="AKA60" s="53"/>
      <c r="AKB60" s="53"/>
      <c r="AKC60" s="53"/>
      <c r="AKD60" s="53"/>
      <c r="AKE60" s="53"/>
      <c r="AKF60" s="53"/>
      <c r="AKG60" s="53"/>
      <c r="AKH60" s="53"/>
      <c r="AKI60" s="53"/>
      <c r="AKJ60" s="53"/>
      <c r="AKK60" s="53"/>
      <c r="AKL60" s="53"/>
      <c r="AKM60" s="53"/>
      <c r="AKN60" s="53"/>
      <c r="AKO60" s="53"/>
      <c r="AKP60" s="53"/>
      <c r="AKQ60" s="53"/>
      <c r="AKR60" s="53"/>
      <c r="AKS60" s="53"/>
      <c r="AKT60" s="53"/>
      <c r="AKU60" s="53"/>
      <c r="AKV60" s="53"/>
      <c r="AKW60" s="53"/>
      <c r="AKX60" s="53"/>
      <c r="AKY60" s="53"/>
      <c r="AKZ60" s="53"/>
      <c r="ALA60" s="53"/>
      <c r="ALB60" s="53"/>
      <c r="ALC60" s="53"/>
      <c r="ALD60" s="53"/>
      <c r="ALE60" s="53"/>
      <c r="ALF60" s="53"/>
      <c r="ALG60" s="53"/>
      <c r="ALH60" s="53"/>
      <c r="ALI60" s="53"/>
      <c r="ALJ60" s="53"/>
      <c r="ALK60" s="53"/>
      <c r="ALL60" s="53"/>
      <c r="ALM60" s="53"/>
      <c r="ALN60" s="53"/>
      <c r="ALO60" s="53"/>
      <c r="ALP60" s="53"/>
      <c r="ALQ60" s="53"/>
      <c r="ALR60" s="53"/>
      <c r="ALS60" s="53"/>
      <c r="ALT60" s="53"/>
      <c r="ALU60" s="53"/>
      <c r="ALV60" s="53"/>
      <c r="ALW60" s="53"/>
      <c r="ALX60" s="53"/>
      <c r="ALY60" s="53"/>
      <c r="ALZ60" s="53"/>
      <c r="AMA60" s="53"/>
      <c r="AMB60" s="53"/>
      <c r="AMC60" s="53"/>
      <c r="AMD60" s="53"/>
      <c r="AME60" s="53"/>
      <c r="AMF60" s="53"/>
      <c r="AMG60" s="53"/>
      <c r="AMH60" s="53"/>
      <c r="AMI60" s="53"/>
      <c r="AMJ60" s="53"/>
      <c r="AMK60" s="53"/>
      <c r="AML60" s="53"/>
      <c r="AMM60" s="53"/>
      <c r="AMN60" s="53"/>
      <c r="AMO60" s="53"/>
      <c r="AMP60" s="53"/>
      <c r="AMQ60" s="53"/>
      <c r="AMR60" s="53"/>
      <c r="AMS60" s="53"/>
      <c r="AMT60" s="53"/>
      <c r="AMU60" s="53"/>
      <c r="AMV60" s="53"/>
      <c r="AMW60" s="53"/>
      <c r="AMX60" s="53"/>
      <c r="AMY60" s="53"/>
      <c r="AMZ60" s="53"/>
      <c r="ANA60" s="53"/>
      <c r="ANB60" s="53"/>
      <c r="ANC60" s="53"/>
      <c r="AND60" s="53"/>
      <c r="ANE60" s="53"/>
      <c r="ANF60" s="53"/>
      <c r="ANG60" s="53"/>
      <c r="ANH60" s="53"/>
      <c r="ANI60" s="53"/>
      <c r="ANJ60" s="53"/>
      <c r="ANK60" s="53"/>
      <c r="ANL60" s="53"/>
      <c r="ANM60" s="53"/>
      <c r="ANN60" s="53"/>
      <c r="ANO60" s="53"/>
      <c r="ANP60" s="53"/>
      <c r="ANQ60" s="53"/>
      <c r="ANR60" s="53"/>
      <c r="ANS60" s="53"/>
      <c r="ANT60" s="53"/>
      <c r="ANU60" s="53"/>
      <c r="ANV60" s="53"/>
      <c r="ANW60" s="53"/>
      <c r="ANX60" s="53"/>
      <c r="ANY60" s="53"/>
      <c r="ANZ60" s="53"/>
      <c r="AOA60" s="53"/>
      <c r="AOB60" s="53"/>
      <c r="AOC60" s="53"/>
      <c r="AOD60" s="53"/>
      <c r="AOE60" s="53"/>
      <c r="AOF60" s="53"/>
      <c r="AOG60" s="53"/>
      <c r="AOH60" s="53"/>
      <c r="AOI60" s="53"/>
      <c r="AOJ60" s="53"/>
      <c r="AOK60" s="53"/>
      <c r="AOL60" s="53"/>
      <c r="AOM60" s="53"/>
      <c r="AON60" s="53"/>
      <c r="AOO60" s="53"/>
      <c r="AOP60" s="53"/>
      <c r="AOQ60" s="53"/>
      <c r="AOR60" s="53"/>
      <c r="AOS60" s="53"/>
      <c r="AOT60" s="53"/>
      <c r="AOU60" s="53"/>
      <c r="AOV60" s="53"/>
      <c r="AOW60" s="53"/>
      <c r="AOX60" s="53"/>
      <c r="AOY60" s="53"/>
      <c r="AOZ60" s="53"/>
      <c r="APA60" s="53"/>
      <c r="APB60" s="53"/>
      <c r="APC60" s="53"/>
      <c r="APD60" s="53"/>
      <c r="APE60" s="53"/>
      <c r="APF60" s="53"/>
      <c r="APG60" s="53"/>
      <c r="APH60" s="53"/>
      <c r="API60" s="53"/>
      <c r="APJ60" s="53"/>
      <c r="APK60" s="53"/>
      <c r="APL60" s="53"/>
      <c r="APM60" s="53"/>
      <c r="APN60" s="53"/>
      <c r="APO60" s="53"/>
      <c r="APP60" s="53"/>
      <c r="APQ60" s="53"/>
      <c r="APR60" s="53"/>
      <c r="APS60" s="53"/>
      <c r="APT60" s="53"/>
      <c r="APU60" s="53"/>
      <c r="APV60" s="53"/>
      <c r="APW60" s="53"/>
      <c r="APX60" s="53"/>
      <c r="APY60" s="53"/>
      <c r="APZ60" s="53"/>
      <c r="AQA60" s="53"/>
      <c r="AQB60" s="53"/>
      <c r="AQC60" s="53"/>
      <c r="AQD60" s="53"/>
      <c r="AQE60" s="53"/>
      <c r="AQF60" s="53"/>
      <c r="AQG60" s="53"/>
      <c r="AQH60" s="53"/>
      <c r="AQI60" s="53"/>
      <c r="AQJ60" s="53"/>
      <c r="AQK60" s="53"/>
      <c r="AQL60" s="53"/>
      <c r="AQM60" s="53"/>
      <c r="AQN60" s="53"/>
      <c r="AQO60" s="53"/>
      <c r="AQP60" s="53"/>
      <c r="AQQ60" s="53"/>
      <c r="AQR60" s="53"/>
      <c r="AQS60" s="53"/>
      <c r="AQT60" s="53"/>
      <c r="AQU60" s="53"/>
      <c r="AQV60" s="53"/>
      <c r="AQW60" s="53"/>
      <c r="AQX60" s="53"/>
      <c r="AQY60" s="53"/>
      <c r="AQZ60" s="53"/>
      <c r="ARA60" s="53"/>
      <c r="ARB60" s="53"/>
      <c r="ARC60" s="53"/>
      <c r="ARD60" s="53"/>
      <c r="ARE60" s="53"/>
      <c r="ARF60" s="53"/>
      <c r="ARG60" s="53"/>
      <c r="ARH60" s="53"/>
      <c r="ARI60" s="53"/>
      <c r="ARJ60" s="53"/>
      <c r="ARK60" s="53"/>
      <c r="ARL60" s="53"/>
      <c r="ARM60" s="53"/>
      <c r="ARN60" s="53"/>
      <c r="ARO60" s="53"/>
      <c r="ARP60" s="53"/>
      <c r="ARQ60" s="53"/>
      <c r="ARR60" s="53"/>
      <c r="ARS60" s="53"/>
      <c r="ART60" s="53"/>
      <c r="ARU60" s="53"/>
      <c r="ARV60" s="53"/>
      <c r="ARW60" s="53"/>
      <c r="ARX60" s="53"/>
      <c r="ARY60" s="53"/>
      <c r="ARZ60" s="53"/>
      <c r="ASA60" s="53"/>
      <c r="ASB60" s="53"/>
      <c r="ASC60" s="53"/>
      <c r="ASD60" s="53"/>
      <c r="ASE60" s="53"/>
      <c r="ASF60" s="53"/>
      <c r="ASG60" s="53"/>
      <c r="ASH60" s="53"/>
      <c r="ASI60" s="53"/>
      <c r="ASJ60" s="53"/>
      <c r="ASK60" s="53"/>
      <c r="ASL60" s="53"/>
      <c r="ASM60" s="53"/>
      <c r="ASN60" s="53"/>
      <c r="ASO60" s="53"/>
      <c r="ASP60" s="53"/>
      <c r="ASQ60" s="53"/>
      <c r="ASR60" s="53"/>
      <c r="ASS60" s="53"/>
      <c r="AST60" s="53"/>
      <c r="ASU60" s="53"/>
      <c r="ASV60" s="53"/>
      <c r="ASW60" s="53"/>
      <c r="ASX60" s="53"/>
      <c r="ASY60" s="53"/>
      <c r="ASZ60" s="53"/>
      <c r="ATA60" s="53"/>
      <c r="ATB60" s="53"/>
      <c r="ATC60" s="53"/>
      <c r="ATD60" s="53"/>
      <c r="ATE60" s="53"/>
      <c r="ATF60" s="53"/>
      <c r="ATG60" s="53"/>
      <c r="ATH60" s="53"/>
      <c r="ATI60" s="53"/>
      <c r="ATJ60" s="53"/>
      <c r="ATK60" s="53"/>
      <c r="ATL60" s="53"/>
      <c r="ATM60" s="53"/>
      <c r="ATN60" s="53"/>
      <c r="ATO60" s="53"/>
      <c r="ATP60" s="53"/>
      <c r="ATQ60" s="53"/>
      <c r="ATR60" s="53"/>
      <c r="ATS60" s="53"/>
      <c r="ATT60" s="53"/>
      <c r="ATU60" s="53"/>
      <c r="ATV60" s="53"/>
      <c r="ATW60" s="53"/>
      <c r="ATX60" s="53"/>
      <c r="ATY60" s="53"/>
      <c r="ATZ60" s="53"/>
      <c r="AUA60" s="53"/>
      <c r="AUB60" s="53"/>
      <c r="AUC60" s="53"/>
      <c r="AUD60" s="53"/>
      <c r="AUE60" s="53"/>
      <c r="AUF60" s="53"/>
      <c r="AUG60" s="53"/>
      <c r="AUH60" s="53"/>
      <c r="AUI60" s="53"/>
      <c r="AUJ60" s="53"/>
      <c r="AUK60" s="53"/>
      <c r="AUL60" s="53"/>
      <c r="AUM60" s="53"/>
      <c r="AUN60" s="53"/>
      <c r="AUO60" s="53"/>
      <c r="AUP60" s="53"/>
      <c r="AUQ60" s="53"/>
      <c r="AUR60" s="53"/>
      <c r="AUS60" s="53"/>
      <c r="AUT60" s="53"/>
      <c r="AUU60" s="53"/>
      <c r="AUV60" s="53"/>
      <c r="AUW60" s="53"/>
      <c r="AUX60" s="53"/>
      <c r="AUY60" s="53"/>
      <c r="AUZ60" s="53"/>
      <c r="AVA60" s="53"/>
      <c r="AVB60" s="53"/>
      <c r="AVC60" s="53"/>
      <c r="AVD60" s="53"/>
      <c r="AVE60" s="53"/>
      <c r="AVF60" s="53"/>
      <c r="AVG60" s="53"/>
      <c r="AVH60" s="53"/>
      <c r="AVI60" s="53"/>
      <c r="AVJ60" s="53"/>
      <c r="AVK60" s="53"/>
      <c r="AVL60" s="53"/>
      <c r="AVM60" s="53"/>
      <c r="AVN60" s="53"/>
      <c r="AVO60" s="53"/>
      <c r="AVP60" s="53"/>
      <c r="AVQ60" s="53"/>
      <c r="AVR60" s="53"/>
      <c r="AVS60" s="53"/>
      <c r="AVT60" s="53"/>
      <c r="AVU60" s="53"/>
      <c r="AVV60" s="53"/>
      <c r="AVW60" s="53"/>
      <c r="AVX60" s="53"/>
      <c r="AVY60" s="53"/>
      <c r="AVZ60" s="53"/>
      <c r="AWA60" s="53"/>
      <c r="AWB60" s="53"/>
      <c r="AWC60" s="53"/>
      <c r="AWD60" s="53"/>
      <c r="AWE60" s="53"/>
      <c r="AWF60" s="53"/>
      <c r="AWG60" s="53"/>
      <c r="AWH60" s="53"/>
      <c r="AWI60" s="53"/>
      <c r="AWJ60" s="53"/>
      <c r="AWK60" s="53"/>
      <c r="AWL60" s="53"/>
      <c r="AWM60" s="53"/>
      <c r="AWN60" s="53"/>
      <c r="AWO60" s="53"/>
      <c r="AWP60" s="53"/>
      <c r="AWQ60" s="53"/>
      <c r="AWR60" s="53"/>
      <c r="AWS60" s="53"/>
      <c r="AWT60" s="53"/>
      <c r="AWU60" s="53"/>
      <c r="AWV60" s="53"/>
      <c r="AWW60" s="53"/>
      <c r="AWX60" s="53"/>
      <c r="AWY60" s="53"/>
      <c r="AWZ60" s="53"/>
      <c r="AXA60" s="53"/>
      <c r="AXB60" s="53"/>
      <c r="AXC60" s="53"/>
      <c r="AXD60" s="53"/>
      <c r="AXE60" s="53"/>
      <c r="AXF60" s="53"/>
      <c r="AXG60" s="53"/>
      <c r="AXH60" s="53"/>
      <c r="AXI60" s="53"/>
      <c r="AXJ60" s="53"/>
      <c r="AXK60" s="53"/>
      <c r="AXL60" s="53"/>
      <c r="AXM60" s="53"/>
      <c r="AXN60" s="53"/>
      <c r="AXO60" s="53"/>
      <c r="AXP60" s="53"/>
      <c r="AXQ60" s="53"/>
      <c r="AXR60" s="53"/>
      <c r="AXS60" s="53"/>
      <c r="AXT60" s="53"/>
      <c r="AXU60" s="53"/>
      <c r="AXV60" s="53"/>
      <c r="AXW60" s="53"/>
      <c r="AXX60" s="53"/>
      <c r="AXY60" s="53"/>
      <c r="AXZ60" s="53"/>
      <c r="AYA60" s="53"/>
      <c r="AYB60" s="53"/>
      <c r="AYC60" s="53"/>
      <c r="AYD60" s="53"/>
      <c r="AYE60" s="53"/>
      <c r="AYF60" s="53"/>
      <c r="AYG60" s="53"/>
      <c r="AYH60" s="53"/>
      <c r="AYI60" s="53"/>
      <c r="AYJ60" s="53"/>
      <c r="AYK60" s="53"/>
      <c r="AYL60" s="53"/>
      <c r="AYM60" s="53"/>
      <c r="AYN60" s="53"/>
      <c r="AYO60" s="53"/>
      <c r="AYP60" s="53"/>
      <c r="AYQ60" s="53"/>
      <c r="AYR60" s="53"/>
      <c r="AYS60" s="53"/>
      <c r="AYT60" s="53"/>
      <c r="AYU60" s="53"/>
      <c r="AYV60" s="53"/>
      <c r="AYW60" s="53"/>
      <c r="AYX60" s="53"/>
      <c r="AYY60" s="53"/>
      <c r="AYZ60" s="53"/>
      <c r="AZA60" s="53"/>
      <c r="AZB60" s="53"/>
      <c r="AZC60" s="53"/>
      <c r="AZD60" s="53"/>
      <c r="AZE60" s="53"/>
      <c r="AZF60" s="53"/>
      <c r="AZG60" s="53"/>
      <c r="AZH60" s="53"/>
      <c r="AZI60" s="53"/>
      <c r="AZJ60" s="53"/>
      <c r="AZK60" s="53"/>
      <c r="AZL60" s="53"/>
      <c r="AZM60" s="53"/>
      <c r="AZN60" s="53"/>
      <c r="AZO60" s="53"/>
      <c r="AZP60" s="53"/>
      <c r="AZQ60" s="53"/>
      <c r="AZR60" s="53"/>
      <c r="AZS60" s="53"/>
      <c r="AZT60" s="53"/>
      <c r="AZU60" s="53"/>
      <c r="AZV60" s="53"/>
      <c r="AZW60" s="53"/>
      <c r="AZX60" s="53"/>
      <c r="AZY60" s="53"/>
      <c r="AZZ60" s="53"/>
      <c r="BAA60" s="53"/>
      <c r="BAB60" s="53"/>
      <c r="BAC60" s="53"/>
      <c r="BAD60" s="53"/>
      <c r="BAE60" s="53"/>
      <c r="BAF60" s="53"/>
      <c r="BAG60" s="53"/>
      <c r="BAH60" s="53"/>
      <c r="BAI60" s="53"/>
      <c r="BAJ60" s="53"/>
      <c r="BAK60" s="53"/>
      <c r="BAL60" s="53"/>
      <c r="BAM60" s="53"/>
      <c r="BAN60" s="53"/>
      <c r="BAO60" s="53"/>
      <c r="BAP60" s="53"/>
      <c r="BAQ60" s="53"/>
      <c r="BAR60" s="53"/>
      <c r="BAS60" s="53"/>
      <c r="BAT60" s="53"/>
      <c r="BAU60" s="53"/>
      <c r="BAV60" s="53"/>
      <c r="BAW60" s="53"/>
      <c r="BAX60" s="53"/>
      <c r="BAY60" s="53"/>
      <c r="BAZ60" s="53"/>
      <c r="BBA60" s="53"/>
      <c r="BBB60" s="53"/>
      <c r="BBC60" s="53"/>
      <c r="BBD60" s="53"/>
      <c r="BBE60" s="53"/>
      <c r="BBF60" s="53"/>
      <c r="BBG60" s="53"/>
      <c r="BBH60" s="53"/>
      <c r="BBI60" s="53"/>
      <c r="BBJ60" s="53"/>
      <c r="BBK60" s="53"/>
      <c r="BBL60" s="53"/>
      <c r="BBM60" s="53"/>
      <c r="BBN60" s="53"/>
      <c r="BBO60" s="53"/>
      <c r="BBP60" s="53"/>
      <c r="BBQ60" s="53"/>
      <c r="BBR60" s="53"/>
      <c r="BBS60" s="53"/>
      <c r="BBT60" s="53"/>
      <c r="BBU60" s="53"/>
      <c r="BBV60" s="53"/>
      <c r="BBW60" s="53"/>
      <c r="BBX60" s="53"/>
      <c r="BBY60" s="53"/>
      <c r="BBZ60" s="53"/>
      <c r="BCA60" s="53"/>
      <c r="BCB60" s="53"/>
      <c r="BCC60" s="53"/>
      <c r="BCD60" s="53"/>
      <c r="BCE60" s="53"/>
      <c r="BCF60" s="53"/>
      <c r="BCG60" s="53"/>
      <c r="BCH60" s="53"/>
      <c r="BCI60" s="53"/>
      <c r="BCJ60" s="53"/>
      <c r="BCK60" s="53"/>
      <c r="BCL60" s="53"/>
      <c r="BCM60" s="53"/>
      <c r="BCN60" s="53"/>
      <c r="BCO60" s="53"/>
      <c r="BCP60" s="53"/>
      <c r="BCQ60" s="53"/>
      <c r="BCR60" s="53"/>
      <c r="BCS60" s="53"/>
      <c r="BCT60" s="53"/>
      <c r="BCU60" s="53"/>
      <c r="BCV60" s="53"/>
      <c r="BCW60" s="53"/>
      <c r="BCX60" s="53"/>
      <c r="BCY60" s="53"/>
      <c r="BCZ60" s="53"/>
      <c r="BDA60" s="53"/>
      <c r="BDB60" s="53"/>
      <c r="BDC60" s="53"/>
      <c r="BDD60" s="53"/>
      <c r="BDE60" s="53"/>
      <c r="BDF60" s="53"/>
      <c r="BDG60" s="53"/>
      <c r="BDH60" s="53"/>
      <c r="BDI60" s="53"/>
      <c r="BDJ60" s="53"/>
      <c r="BDK60" s="53"/>
      <c r="BDL60" s="53"/>
      <c r="BDM60" s="53"/>
      <c r="BDN60" s="53"/>
      <c r="BDO60" s="53"/>
      <c r="BDP60" s="53"/>
      <c r="BDQ60" s="53"/>
      <c r="BDR60" s="53"/>
      <c r="BDS60" s="53"/>
      <c r="BDT60" s="53"/>
      <c r="BDU60" s="53"/>
      <c r="BDV60" s="53"/>
      <c r="BDW60" s="53"/>
      <c r="BDX60" s="53"/>
      <c r="BDY60" s="53"/>
      <c r="BDZ60" s="53"/>
      <c r="BEA60" s="53"/>
      <c r="BEB60" s="53"/>
      <c r="BEC60" s="53"/>
      <c r="BED60" s="53"/>
      <c r="BEE60" s="53"/>
      <c r="BEF60" s="53"/>
      <c r="BEG60" s="53"/>
      <c r="BEH60" s="53"/>
      <c r="BEI60" s="53"/>
      <c r="BEJ60" s="53"/>
      <c r="BEK60" s="53"/>
      <c r="BEL60" s="53"/>
      <c r="BEM60" s="53"/>
      <c r="BEN60" s="53"/>
      <c r="BEO60" s="53"/>
      <c r="BEP60" s="53"/>
      <c r="BEQ60" s="53"/>
      <c r="BER60" s="53"/>
      <c r="BES60" s="53"/>
      <c r="BET60" s="53"/>
      <c r="BEU60" s="53"/>
      <c r="BEV60" s="53"/>
      <c r="BEW60" s="53"/>
      <c r="BEX60" s="53"/>
      <c r="BEY60" s="53"/>
      <c r="BEZ60" s="53"/>
      <c r="BFA60" s="53"/>
      <c r="BFB60" s="53"/>
      <c r="BFC60" s="53"/>
      <c r="BFD60" s="53"/>
      <c r="BFE60" s="53"/>
      <c r="BFF60" s="53"/>
      <c r="BFG60" s="53"/>
      <c r="BFH60" s="53"/>
      <c r="BFI60" s="53"/>
      <c r="BFJ60" s="53"/>
      <c r="BFK60" s="53"/>
      <c r="BFL60" s="53"/>
      <c r="BFM60" s="53"/>
      <c r="BFN60" s="53"/>
      <c r="BFO60" s="53"/>
      <c r="BFP60" s="53"/>
      <c r="BFQ60" s="53"/>
      <c r="BFR60" s="53"/>
      <c r="BFS60" s="53"/>
      <c r="BFT60" s="53"/>
      <c r="BFU60" s="53"/>
      <c r="BFV60" s="53"/>
      <c r="BFW60" s="53"/>
      <c r="BFX60" s="53"/>
      <c r="BFY60" s="53"/>
      <c r="BFZ60" s="53"/>
      <c r="BGA60" s="53"/>
      <c r="BGB60" s="53"/>
      <c r="BGC60" s="53"/>
      <c r="BGD60" s="53"/>
      <c r="BGE60" s="53"/>
      <c r="BGF60" s="53"/>
      <c r="BGG60" s="53"/>
      <c r="BGH60" s="53"/>
      <c r="BGI60" s="53"/>
      <c r="BGJ60" s="53"/>
      <c r="BGK60" s="53"/>
      <c r="BGL60" s="53"/>
      <c r="BGM60" s="53"/>
      <c r="BGN60" s="53"/>
      <c r="BGO60" s="53"/>
      <c r="BGP60" s="53"/>
      <c r="BGQ60" s="53"/>
      <c r="BGR60" s="53"/>
      <c r="BGS60" s="53"/>
      <c r="BGT60" s="53"/>
      <c r="BGU60" s="53"/>
      <c r="BGV60" s="53"/>
      <c r="BGW60" s="53"/>
      <c r="BGX60" s="53"/>
      <c r="BGY60" s="53"/>
      <c r="BGZ60" s="53"/>
      <c r="BHA60" s="53"/>
      <c r="BHB60" s="53"/>
      <c r="BHC60" s="53"/>
      <c r="BHD60" s="53"/>
      <c r="BHE60" s="53"/>
      <c r="BHF60" s="53"/>
      <c r="BHG60" s="53"/>
      <c r="BHH60" s="53"/>
      <c r="BHI60" s="53"/>
      <c r="BHJ60" s="53"/>
      <c r="BHK60" s="53"/>
      <c r="BHL60" s="53"/>
      <c r="BHM60" s="53"/>
      <c r="BHN60" s="53"/>
      <c r="BHO60" s="53"/>
      <c r="BHP60" s="53"/>
      <c r="BHQ60" s="53"/>
      <c r="BHR60" s="53"/>
      <c r="BHS60" s="53"/>
      <c r="BHT60" s="53"/>
      <c r="BHU60" s="53"/>
      <c r="BHV60" s="53"/>
      <c r="BHW60" s="53"/>
      <c r="BHX60" s="53"/>
      <c r="BHY60" s="53"/>
      <c r="BHZ60" s="53"/>
      <c r="BIA60" s="53"/>
      <c r="BIB60" s="53"/>
      <c r="BIC60" s="53"/>
      <c r="BID60" s="53"/>
      <c r="BIE60" s="53"/>
      <c r="BIF60" s="53"/>
      <c r="BIG60" s="53"/>
      <c r="BIH60" s="53"/>
      <c r="BII60" s="53"/>
      <c r="BIJ60" s="53"/>
      <c r="BIK60" s="53"/>
      <c r="BIL60" s="53"/>
      <c r="BIM60" s="53"/>
      <c r="BIN60" s="53"/>
      <c r="BIO60" s="53"/>
      <c r="BIP60" s="53"/>
      <c r="BIQ60" s="53"/>
      <c r="BIR60" s="53"/>
      <c r="BIS60" s="53"/>
      <c r="BIT60" s="53"/>
      <c r="BIU60" s="53"/>
      <c r="BIV60" s="53"/>
      <c r="BIW60" s="53"/>
      <c r="BIX60" s="53"/>
      <c r="BIY60" s="53"/>
      <c r="BIZ60" s="53"/>
      <c r="BJA60" s="53"/>
      <c r="BJB60" s="53"/>
      <c r="BJC60" s="53"/>
      <c r="BJD60" s="53"/>
      <c r="BJE60" s="53"/>
      <c r="BJF60" s="53"/>
      <c r="BJG60" s="53"/>
      <c r="BJH60" s="53"/>
      <c r="BJI60" s="53"/>
      <c r="BJJ60" s="53"/>
      <c r="BJK60" s="53"/>
      <c r="BJL60" s="53"/>
      <c r="BJM60" s="53"/>
      <c r="BJN60" s="53"/>
      <c r="BJO60" s="53"/>
      <c r="BJP60" s="53"/>
      <c r="BJQ60" s="53"/>
      <c r="BJR60" s="53"/>
      <c r="BJS60" s="53"/>
      <c r="BJT60" s="53"/>
      <c r="BJU60" s="53"/>
      <c r="BJV60" s="53"/>
      <c r="BJW60" s="53"/>
      <c r="BJX60" s="53"/>
      <c r="BJY60" s="53"/>
      <c r="BJZ60" s="53"/>
      <c r="BKA60" s="53"/>
      <c r="BKB60" s="53"/>
      <c r="BKC60" s="53"/>
      <c r="BKD60" s="53"/>
      <c r="BKE60" s="53"/>
      <c r="BKF60" s="53"/>
      <c r="BKG60" s="53"/>
      <c r="BKH60" s="53"/>
      <c r="BKI60" s="53"/>
      <c r="BKJ60" s="53"/>
      <c r="BKK60" s="53"/>
      <c r="BKL60" s="53"/>
      <c r="BKM60" s="53"/>
      <c r="BKN60" s="53"/>
      <c r="BKO60" s="53"/>
      <c r="BKP60" s="53"/>
      <c r="BKQ60" s="53"/>
      <c r="BKR60" s="53"/>
      <c r="BKS60" s="53"/>
      <c r="BKT60" s="53"/>
      <c r="BKU60" s="53"/>
      <c r="BKV60" s="53"/>
      <c r="BKW60" s="53"/>
      <c r="BKX60" s="53"/>
      <c r="BKY60" s="53"/>
      <c r="BKZ60" s="53"/>
      <c r="BLA60" s="53"/>
      <c r="BLB60" s="53"/>
      <c r="BLC60" s="53"/>
      <c r="BLD60" s="53"/>
      <c r="BLE60" s="53"/>
      <c r="BLF60" s="53"/>
      <c r="BLG60" s="53"/>
      <c r="BLH60" s="53"/>
      <c r="BLI60" s="53"/>
      <c r="BLJ60" s="53"/>
      <c r="BLK60" s="53"/>
      <c r="BLL60" s="53"/>
      <c r="BLM60" s="53"/>
      <c r="BLN60" s="53"/>
      <c r="BLO60" s="53"/>
      <c r="BLP60" s="53"/>
      <c r="BLQ60" s="53"/>
      <c r="BLR60" s="53"/>
      <c r="BLS60" s="53"/>
      <c r="BLT60" s="53"/>
      <c r="BLU60" s="53"/>
      <c r="BLV60" s="53"/>
      <c r="BLW60" s="53"/>
      <c r="BLX60" s="53"/>
      <c r="BLY60" s="53"/>
      <c r="BLZ60" s="53"/>
      <c r="BMA60" s="53"/>
      <c r="BMB60" s="53"/>
      <c r="BMC60" s="53"/>
      <c r="BMD60" s="53"/>
      <c r="BME60" s="53"/>
      <c r="BMF60" s="53"/>
      <c r="BMG60" s="53"/>
      <c r="BMH60" s="53"/>
      <c r="BMI60" s="53"/>
      <c r="BMJ60" s="53"/>
      <c r="BMK60" s="53"/>
      <c r="BML60" s="53"/>
      <c r="BMM60" s="53"/>
      <c r="BMN60" s="53"/>
      <c r="BMO60" s="53"/>
      <c r="BMP60" s="53"/>
      <c r="BMQ60" s="53"/>
      <c r="BMR60" s="53"/>
      <c r="BMS60" s="53"/>
      <c r="BMT60" s="53"/>
      <c r="BMU60" s="53"/>
      <c r="BMV60" s="53"/>
      <c r="BMW60" s="53"/>
      <c r="BMX60" s="53"/>
      <c r="BMY60" s="53"/>
      <c r="BMZ60" s="53"/>
      <c r="BNA60" s="53"/>
      <c r="BNB60" s="53"/>
      <c r="BNC60" s="53"/>
      <c r="BND60" s="53"/>
      <c r="BNE60" s="53"/>
      <c r="BNF60" s="53"/>
      <c r="BNG60" s="53"/>
      <c r="BNH60" s="53"/>
      <c r="BNI60" s="53"/>
      <c r="BNJ60" s="53"/>
      <c r="BNK60" s="53"/>
      <c r="BNL60" s="53"/>
      <c r="BNM60" s="53"/>
      <c r="BNN60" s="53"/>
      <c r="BNO60" s="53"/>
      <c r="BNP60" s="53"/>
      <c r="BNQ60" s="53"/>
      <c r="BNR60" s="53"/>
      <c r="BNS60" s="53"/>
      <c r="BNT60" s="53"/>
      <c r="BNU60" s="53"/>
      <c r="BNV60" s="53"/>
      <c r="BNW60" s="53"/>
      <c r="BNX60" s="53"/>
      <c r="BNY60" s="53"/>
      <c r="BNZ60" s="53"/>
      <c r="BOA60" s="53"/>
      <c r="BOB60" s="53"/>
      <c r="BOC60" s="53"/>
      <c r="BOD60" s="53"/>
      <c r="BOE60" s="53"/>
      <c r="BOF60" s="53"/>
      <c r="BOG60" s="53"/>
      <c r="BOH60" s="53"/>
      <c r="BOI60" s="53"/>
      <c r="BOJ60" s="53"/>
      <c r="BOK60" s="53"/>
      <c r="BOL60" s="53"/>
      <c r="BOM60" s="53"/>
      <c r="BON60" s="53"/>
      <c r="BOO60" s="53"/>
      <c r="BOP60" s="53"/>
      <c r="BOQ60" s="53"/>
      <c r="BOR60" s="53"/>
      <c r="BOS60" s="53"/>
      <c r="BOT60" s="53"/>
      <c r="BOU60" s="53"/>
      <c r="BOV60" s="53"/>
      <c r="BOW60" s="53"/>
      <c r="BOX60" s="53"/>
      <c r="BOY60" s="53"/>
      <c r="BOZ60" s="53"/>
      <c r="BPA60" s="53"/>
      <c r="BPB60" s="53"/>
      <c r="BPC60" s="53"/>
      <c r="BPD60" s="53"/>
      <c r="BPE60" s="53"/>
      <c r="BPF60" s="53"/>
      <c r="BPG60" s="53"/>
      <c r="BPH60" s="53"/>
      <c r="BPI60" s="53"/>
      <c r="BPJ60" s="53"/>
      <c r="BPK60" s="53"/>
      <c r="BPL60" s="53"/>
      <c r="BPM60" s="53"/>
      <c r="BPN60" s="53"/>
      <c r="BPO60" s="53"/>
      <c r="BPP60" s="53"/>
      <c r="BPQ60" s="53"/>
      <c r="BPR60" s="53"/>
      <c r="BPS60" s="53"/>
      <c r="BPT60" s="53"/>
      <c r="BPU60" s="53"/>
      <c r="BPV60" s="53"/>
      <c r="BPW60" s="53"/>
      <c r="BPX60" s="53"/>
      <c r="BPY60" s="53"/>
      <c r="BPZ60" s="53"/>
      <c r="BQA60" s="53"/>
      <c r="BQB60" s="53"/>
      <c r="BQC60" s="53"/>
      <c r="BQD60" s="53"/>
      <c r="BQE60" s="53"/>
      <c r="BQF60" s="53"/>
      <c r="BQG60" s="53"/>
      <c r="BQH60" s="53"/>
      <c r="BQI60" s="53"/>
      <c r="BQJ60" s="53"/>
      <c r="BQK60" s="53"/>
      <c r="BQL60" s="53"/>
      <c r="BQM60" s="53"/>
      <c r="BQN60" s="53"/>
      <c r="BQO60" s="53"/>
      <c r="BQP60" s="53"/>
      <c r="BQQ60" s="53"/>
      <c r="BQR60" s="53"/>
      <c r="BQS60" s="53"/>
      <c r="BQT60" s="53"/>
      <c r="BQU60" s="53"/>
      <c r="BQV60" s="53"/>
      <c r="BQW60" s="53"/>
      <c r="BQX60" s="53"/>
      <c r="BQY60" s="53"/>
      <c r="BQZ60" s="53"/>
      <c r="BRA60" s="53"/>
      <c r="BRB60" s="53"/>
      <c r="BRC60" s="53"/>
      <c r="BRD60" s="53"/>
      <c r="BRE60" s="53"/>
      <c r="BRF60" s="53"/>
      <c r="BRG60" s="53"/>
      <c r="BRH60" s="53"/>
      <c r="BRI60" s="53"/>
      <c r="BRJ60" s="53"/>
      <c r="BRK60" s="53"/>
      <c r="BRL60" s="53"/>
      <c r="BRM60" s="53"/>
      <c r="BRN60" s="53"/>
      <c r="BRO60" s="53"/>
      <c r="BRP60" s="53"/>
      <c r="BRQ60" s="53"/>
      <c r="BRR60" s="53"/>
      <c r="BRS60" s="53"/>
      <c r="BRT60" s="53"/>
      <c r="BRU60" s="53"/>
      <c r="BRV60" s="53"/>
      <c r="BRW60" s="53"/>
      <c r="BRX60" s="53"/>
      <c r="BRY60" s="53"/>
      <c r="BRZ60" s="53"/>
      <c r="BSA60" s="53"/>
      <c r="BSB60" s="53"/>
      <c r="BSC60" s="53"/>
      <c r="BSD60" s="53"/>
      <c r="BSE60" s="53"/>
      <c r="BSF60" s="53"/>
      <c r="BSG60" s="53"/>
      <c r="BSH60" s="53"/>
      <c r="BSI60" s="53"/>
      <c r="BSJ60" s="53"/>
      <c r="BSK60" s="53"/>
      <c r="BSL60" s="53"/>
      <c r="BSM60" s="53"/>
      <c r="BSN60" s="53"/>
      <c r="BSO60" s="53"/>
      <c r="BSP60" s="53"/>
      <c r="BSQ60" s="53"/>
      <c r="BSR60" s="53"/>
      <c r="BSS60" s="53"/>
      <c r="BST60" s="53"/>
      <c r="BSU60" s="53"/>
      <c r="BSV60" s="53"/>
      <c r="BSW60" s="53"/>
      <c r="BSX60" s="53"/>
      <c r="BSY60" s="53"/>
      <c r="BSZ60" s="53"/>
      <c r="BTA60" s="53"/>
      <c r="BTB60" s="53"/>
      <c r="BTC60" s="53"/>
      <c r="BTD60" s="53"/>
      <c r="BTE60" s="53"/>
      <c r="BTF60" s="53"/>
      <c r="BTG60" s="53"/>
      <c r="BTH60" s="53"/>
      <c r="BTI60" s="53"/>
      <c r="BTJ60" s="53"/>
      <c r="BTK60" s="53"/>
      <c r="BTL60" s="53"/>
      <c r="BTM60" s="53"/>
      <c r="BTN60" s="53"/>
      <c r="BTO60" s="53"/>
      <c r="BTP60" s="53"/>
      <c r="BTQ60" s="53"/>
      <c r="BTR60" s="53"/>
      <c r="BTS60" s="53"/>
      <c r="BTT60" s="53"/>
      <c r="BTU60" s="53"/>
      <c r="BTV60" s="53"/>
      <c r="BTW60" s="53"/>
      <c r="BTX60" s="53"/>
      <c r="BTY60" s="53"/>
      <c r="BTZ60" s="53"/>
      <c r="BUA60" s="53"/>
      <c r="BUB60" s="53"/>
      <c r="BUC60" s="53"/>
      <c r="BUD60" s="53"/>
      <c r="BUE60" s="53"/>
      <c r="BUF60" s="53"/>
      <c r="BUG60" s="53"/>
      <c r="BUH60" s="53"/>
      <c r="BUI60" s="53"/>
      <c r="BUJ60" s="53"/>
      <c r="BUK60" s="53"/>
      <c r="BUL60" s="53"/>
      <c r="BUM60" s="53"/>
      <c r="BUN60" s="53"/>
      <c r="BUO60" s="53"/>
      <c r="BUP60" s="53"/>
      <c r="BUQ60" s="53"/>
      <c r="BUR60" s="53"/>
      <c r="BUS60" s="53"/>
      <c r="BUT60" s="53"/>
      <c r="BUU60" s="53"/>
      <c r="BUV60" s="53"/>
      <c r="BUW60" s="53"/>
      <c r="BUX60" s="53"/>
      <c r="BUY60" s="53"/>
      <c r="BUZ60" s="53"/>
      <c r="BVA60" s="53"/>
      <c r="BVB60" s="53"/>
      <c r="BVC60" s="53"/>
      <c r="BVD60" s="53"/>
      <c r="BVE60" s="53"/>
      <c r="BVF60" s="53"/>
      <c r="BVG60" s="53"/>
      <c r="BVH60" s="53"/>
      <c r="BVI60" s="53"/>
      <c r="BVJ60" s="53"/>
      <c r="BVK60" s="53"/>
      <c r="BVL60" s="53"/>
      <c r="BVM60" s="53"/>
      <c r="BVN60" s="53"/>
      <c r="BVO60" s="53"/>
      <c r="BVP60" s="53"/>
      <c r="BVQ60" s="53"/>
      <c r="BVR60" s="53"/>
      <c r="BVS60" s="53"/>
      <c r="BVT60" s="53"/>
      <c r="BVU60" s="53"/>
      <c r="BVV60" s="53"/>
      <c r="BVW60" s="53"/>
      <c r="BVX60" s="53"/>
      <c r="BVY60" s="53"/>
      <c r="BVZ60" s="53"/>
      <c r="BWA60" s="53"/>
      <c r="BWB60" s="53"/>
      <c r="BWC60" s="53"/>
      <c r="BWD60" s="53"/>
      <c r="BWE60" s="53"/>
      <c r="BWF60" s="53"/>
      <c r="BWG60" s="53"/>
      <c r="BWH60" s="53"/>
      <c r="BWI60" s="53"/>
      <c r="BWJ60" s="53"/>
      <c r="BWK60" s="53"/>
      <c r="BWL60" s="53"/>
      <c r="BWM60" s="53"/>
      <c r="BWN60" s="53"/>
      <c r="BWO60" s="53"/>
      <c r="BWP60" s="53"/>
      <c r="BWQ60" s="53"/>
      <c r="BWR60" s="53"/>
      <c r="BWS60" s="53"/>
      <c r="BWT60" s="53"/>
      <c r="BWU60" s="53"/>
      <c r="BWV60" s="53"/>
      <c r="BWW60" s="53"/>
      <c r="BWX60" s="53"/>
      <c r="BWY60" s="53"/>
      <c r="BWZ60" s="53"/>
      <c r="BXA60" s="53"/>
      <c r="BXB60" s="53"/>
      <c r="BXC60" s="53"/>
      <c r="BXD60" s="53"/>
      <c r="BXE60" s="53"/>
      <c r="BXF60" s="53"/>
      <c r="BXG60" s="53"/>
      <c r="BXH60" s="53"/>
      <c r="BXI60" s="53"/>
      <c r="BXJ60" s="53"/>
      <c r="BXK60" s="53"/>
      <c r="BXL60" s="53"/>
      <c r="BXM60" s="53"/>
      <c r="BXN60" s="53"/>
      <c r="BXO60" s="53"/>
      <c r="BXP60" s="53"/>
      <c r="BXQ60" s="53"/>
      <c r="BXR60" s="53"/>
      <c r="BXS60" s="53"/>
      <c r="BXT60" s="53"/>
      <c r="BXU60" s="53"/>
      <c r="BXV60" s="53"/>
      <c r="BXW60" s="53"/>
      <c r="BXX60" s="53"/>
      <c r="BXY60" s="53"/>
      <c r="BXZ60" s="53"/>
      <c r="BYA60" s="53"/>
      <c r="BYB60" s="53"/>
      <c r="BYC60" s="53"/>
      <c r="BYD60" s="53"/>
      <c r="BYE60" s="53"/>
      <c r="BYF60" s="53"/>
      <c r="BYG60" s="53"/>
      <c r="BYH60" s="53"/>
      <c r="BYI60" s="53"/>
      <c r="BYJ60" s="53"/>
      <c r="BYK60" s="53"/>
      <c r="BYL60" s="53"/>
      <c r="BYM60" s="53"/>
      <c r="BYN60" s="53"/>
      <c r="BYO60" s="53"/>
      <c r="BYP60" s="53"/>
      <c r="BYQ60" s="53"/>
      <c r="BYR60" s="53"/>
      <c r="BYS60" s="53"/>
      <c r="BYT60" s="53"/>
      <c r="BYU60" s="53"/>
      <c r="BYV60" s="53"/>
      <c r="BYW60" s="53"/>
      <c r="BYX60" s="53"/>
      <c r="BYY60" s="53"/>
      <c r="BYZ60" s="53"/>
      <c r="BZA60" s="53"/>
      <c r="BZB60" s="53"/>
      <c r="BZC60" s="53"/>
      <c r="BZD60" s="53"/>
      <c r="BZE60" s="53"/>
      <c r="BZF60" s="53"/>
      <c r="BZG60" s="53"/>
      <c r="BZH60" s="53"/>
      <c r="BZI60" s="53"/>
      <c r="BZJ60" s="53"/>
      <c r="BZK60" s="53"/>
      <c r="BZL60" s="53"/>
      <c r="BZM60" s="53"/>
      <c r="BZN60" s="53"/>
      <c r="BZO60" s="53"/>
      <c r="BZP60" s="53"/>
      <c r="BZQ60" s="53"/>
      <c r="BZR60" s="53"/>
      <c r="BZS60" s="53"/>
      <c r="BZT60" s="53"/>
      <c r="BZU60" s="53"/>
      <c r="BZV60" s="53"/>
      <c r="BZW60" s="53"/>
      <c r="BZX60" s="53"/>
      <c r="BZY60" s="53"/>
      <c r="BZZ60" s="53"/>
      <c r="CAA60" s="53"/>
      <c r="CAB60" s="53"/>
      <c r="CAC60" s="53"/>
      <c r="CAD60" s="53"/>
      <c r="CAE60" s="53"/>
      <c r="CAF60" s="53"/>
      <c r="CAG60" s="53"/>
      <c r="CAH60" s="53"/>
      <c r="CAI60" s="53"/>
      <c r="CAJ60" s="53"/>
      <c r="CAK60" s="53"/>
      <c r="CAL60" s="53"/>
      <c r="CAM60" s="53"/>
      <c r="CAN60" s="53"/>
      <c r="CAO60" s="53"/>
      <c r="CAP60" s="53"/>
      <c r="CAQ60" s="53"/>
      <c r="CAR60" s="53"/>
      <c r="CAS60" s="53"/>
      <c r="CAT60" s="53"/>
      <c r="CAU60" s="53"/>
      <c r="CAV60" s="53"/>
      <c r="CAW60" s="53"/>
      <c r="CAX60" s="53"/>
      <c r="CAY60" s="53"/>
      <c r="CAZ60" s="53"/>
      <c r="CBA60" s="53"/>
      <c r="CBB60" s="53"/>
      <c r="CBC60" s="53"/>
      <c r="CBD60" s="53"/>
      <c r="CBE60" s="53"/>
      <c r="CBF60" s="53"/>
      <c r="CBG60" s="53"/>
      <c r="CBH60" s="53"/>
      <c r="CBI60" s="53"/>
      <c r="CBJ60" s="53"/>
      <c r="CBK60" s="53"/>
      <c r="CBL60" s="53"/>
      <c r="CBM60" s="53"/>
      <c r="CBN60" s="53"/>
      <c r="CBO60" s="53"/>
      <c r="CBP60" s="53"/>
      <c r="CBQ60" s="53"/>
      <c r="CBR60" s="53"/>
      <c r="CBS60" s="53"/>
      <c r="CBT60" s="53"/>
      <c r="CBU60" s="53"/>
      <c r="CBV60" s="53"/>
      <c r="CBW60" s="53"/>
      <c r="CBX60" s="53"/>
      <c r="CBY60" s="53"/>
      <c r="CBZ60" s="53"/>
      <c r="CCA60" s="53"/>
      <c r="CCB60" s="53"/>
      <c r="CCC60" s="53"/>
      <c r="CCD60" s="53"/>
      <c r="CCE60" s="53"/>
      <c r="CCF60" s="53"/>
      <c r="CCG60" s="53"/>
      <c r="CCH60" s="53"/>
      <c r="CCI60" s="53"/>
      <c r="CCJ60" s="53"/>
      <c r="CCK60" s="53"/>
      <c r="CCL60" s="53"/>
      <c r="CCM60" s="53"/>
      <c r="CCN60" s="53"/>
      <c r="CCO60" s="53"/>
      <c r="CCP60" s="53"/>
      <c r="CCQ60" s="53"/>
      <c r="CCR60" s="53"/>
      <c r="CCS60" s="53"/>
      <c r="CCT60" s="53"/>
      <c r="CCU60" s="53"/>
      <c r="CCV60" s="53"/>
      <c r="CCW60" s="53"/>
      <c r="CCX60" s="53"/>
      <c r="CCY60" s="53"/>
      <c r="CCZ60" s="53"/>
      <c r="CDA60" s="53"/>
      <c r="CDB60" s="53"/>
      <c r="CDC60" s="53"/>
      <c r="CDD60" s="53"/>
      <c r="CDE60" s="53"/>
      <c r="CDF60" s="53"/>
      <c r="CDG60" s="53"/>
      <c r="CDH60" s="53"/>
      <c r="CDI60" s="53"/>
      <c r="CDJ60" s="53"/>
      <c r="CDK60" s="53"/>
      <c r="CDL60" s="53"/>
      <c r="CDM60" s="53"/>
      <c r="CDN60" s="53"/>
      <c r="CDO60" s="53"/>
      <c r="CDP60" s="53"/>
      <c r="CDQ60" s="53"/>
      <c r="CDR60" s="53"/>
      <c r="CDS60" s="53"/>
      <c r="CDT60" s="53"/>
      <c r="CDU60" s="53"/>
      <c r="CDV60" s="53"/>
      <c r="CDW60" s="53"/>
      <c r="CDX60" s="53"/>
      <c r="CDY60" s="53"/>
      <c r="CDZ60" s="53"/>
      <c r="CEA60" s="53"/>
      <c r="CEB60" s="53"/>
      <c r="CEC60" s="53"/>
      <c r="CED60" s="53"/>
      <c r="CEE60" s="53"/>
      <c r="CEF60" s="53"/>
      <c r="CEG60" s="53"/>
      <c r="CEH60" s="53"/>
      <c r="CEI60" s="53"/>
      <c r="CEJ60" s="53"/>
      <c r="CEK60" s="53"/>
      <c r="CEL60" s="53"/>
      <c r="CEM60" s="53"/>
      <c r="CEN60" s="53"/>
      <c r="CEO60" s="53"/>
      <c r="CEP60" s="53"/>
      <c r="CEQ60" s="53"/>
      <c r="CER60" s="53"/>
      <c r="CES60" s="53"/>
      <c r="CET60" s="53"/>
      <c r="CEU60" s="53"/>
      <c r="CEV60" s="53"/>
      <c r="CEW60" s="53"/>
      <c r="CEX60" s="53"/>
      <c r="CEY60" s="53"/>
      <c r="CEZ60" s="53"/>
      <c r="CFA60" s="53"/>
      <c r="CFB60" s="53"/>
      <c r="CFC60" s="53"/>
      <c r="CFD60" s="53"/>
      <c r="CFE60" s="53"/>
      <c r="CFF60" s="53"/>
      <c r="CFG60" s="53"/>
      <c r="CFH60" s="53"/>
      <c r="CFI60" s="53"/>
      <c r="CFJ60" s="53"/>
      <c r="CFK60" s="53"/>
      <c r="CFL60" s="53"/>
      <c r="CFM60" s="53"/>
      <c r="CFN60" s="53"/>
      <c r="CFO60" s="53"/>
      <c r="CFP60" s="53"/>
      <c r="CFQ60" s="53"/>
      <c r="CFR60" s="53"/>
      <c r="CFS60" s="53"/>
      <c r="CFT60" s="53"/>
      <c r="CFU60" s="53"/>
      <c r="CFV60" s="53"/>
      <c r="CFW60" s="53"/>
      <c r="CFX60" s="53"/>
      <c r="CFY60" s="53"/>
      <c r="CFZ60" s="53"/>
      <c r="CGA60" s="53"/>
      <c r="CGB60" s="53"/>
      <c r="CGC60" s="53"/>
      <c r="CGD60" s="53"/>
      <c r="CGE60" s="53"/>
      <c r="CGF60" s="53"/>
      <c r="CGG60" s="53"/>
      <c r="CGH60" s="53"/>
      <c r="CGI60" s="53"/>
      <c r="CGJ60" s="53"/>
      <c r="CGK60" s="53"/>
      <c r="CGL60" s="53"/>
      <c r="CGM60" s="53"/>
      <c r="CGN60" s="53"/>
      <c r="CGO60" s="53"/>
      <c r="CGP60" s="53"/>
      <c r="CGQ60" s="53"/>
      <c r="CGR60" s="53"/>
      <c r="CGS60" s="53"/>
      <c r="CGT60" s="53"/>
      <c r="CGU60" s="53"/>
      <c r="CGV60" s="53"/>
      <c r="CGW60" s="53"/>
      <c r="CGX60" s="53"/>
      <c r="CGY60" s="53"/>
      <c r="CGZ60" s="53"/>
      <c r="CHA60" s="53"/>
      <c r="CHB60" s="53"/>
      <c r="CHC60" s="53"/>
      <c r="CHD60" s="53"/>
      <c r="CHE60" s="53"/>
      <c r="CHF60" s="53"/>
      <c r="CHG60" s="53"/>
      <c r="CHH60" s="53"/>
      <c r="CHI60" s="53"/>
      <c r="CHJ60" s="53"/>
      <c r="CHK60" s="53"/>
      <c r="CHL60" s="53"/>
      <c r="CHM60" s="53"/>
      <c r="CHN60" s="53"/>
      <c r="CHO60" s="53"/>
      <c r="CHP60" s="53"/>
      <c r="CHQ60" s="53"/>
      <c r="CHR60" s="53"/>
      <c r="CHS60" s="53"/>
      <c r="CHT60" s="53"/>
      <c r="CHU60" s="53"/>
      <c r="CHV60" s="53"/>
      <c r="CHW60" s="53"/>
      <c r="CHX60" s="53"/>
      <c r="CHY60" s="53"/>
      <c r="CHZ60" s="53"/>
      <c r="CIA60" s="53"/>
      <c r="CIB60" s="53"/>
      <c r="CIC60" s="53"/>
      <c r="CID60" s="53"/>
      <c r="CIE60" s="53"/>
      <c r="CIF60" s="53"/>
      <c r="CIG60" s="53"/>
      <c r="CIH60" s="53"/>
      <c r="CII60" s="53"/>
      <c r="CIJ60" s="53"/>
      <c r="CIK60" s="53"/>
      <c r="CIL60" s="53"/>
      <c r="CIM60" s="53"/>
      <c r="CIN60" s="53"/>
      <c r="CIO60" s="53"/>
      <c r="CIP60" s="53"/>
      <c r="CIQ60" s="53"/>
      <c r="CIR60" s="53"/>
      <c r="CIS60" s="53"/>
      <c r="CIT60" s="53"/>
      <c r="CIU60" s="53"/>
      <c r="CIV60" s="53"/>
      <c r="CIW60" s="53"/>
      <c r="CIX60" s="53"/>
      <c r="CIY60" s="53"/>
      <c r="CIZ60" s="53"/>
      <c r="CJA60" s="53"/>
      <c r="CJB60" s="53"/>
      <c r="CJC60" s="53"/>
      <c r="CJD60" s="53"/>
      <c r="CJE60" s="53"/>
      <c r="CJF60" s="53"/>
      <c r="CJG60" s="53"/>
      <c r="CJH60" s="53"/>
      <c r="CJI60" s="53"/>
      <c r="CJJ60" s="53"/>
      <c r="CJK60" s="53"/>
      <c r="CJL60" s="53"/>
      <c r="CJM60" s="53"/>
      <c r="CJN60" s="53"/>
      <c r="CJO60" s="53"/>
      <c r="CJP60" s="53"/>
      <c r="CJQ60" s="53"/>
      <c r="CJR60" s="53"/>
      <c r="CJS60" s="53"/>
      <c r="CJT60" s="53"/>
      <c r="CJU60" s="53"/>
      <c r="CJV60" s="53"/>
      <c r="CJW60" s="53"/>
      <c r="CJX60" s="53"/>
      <c r="CJY60" s="53"/>
      <c r="CJZ60" s="53"/>
      <c r="CKA60" s="53"/>
      <c r="CKB60" s="53"/>
      <c r="CKC60" s="53"/>
      <c r="CKD60" s="53"/>
      <c r="CKE60" s="53"/>
      <c r="CKF60" s="53"/>
      <c r="CKG60" s="53"/>
      <c r="CKH60" s="53"/>
      <c r="CKI60" s="53"/>
      <c r="CKJ60" s="53"/>
      <c r="CKK60" s="53"/>
      <c r="CKL60" s="53"/>
      <c r="CKM60" s="53"/>
      <c r="CKN60" s="53"/>
      <c r="CKO60" s="53"/>
      <c r="CKP60" s="53"/>
      <c r="CKQ60" s="53"/>
      <c r="CKR60" s="53"/>
      <c r="CKS60" s="53"/>
      <c r="CKT60" s="53"/>
      <c r="CKU60" s="53"/>
      <c r="CKV60" s="53"/>
      <c r="CKW60" s="53"/>
      <c r="CKX60" s="53"/>
      <c r="CKY60" s="53"/>
      <c r="CKZ60" s="53"/>
      <c r="CLA60" s="53"/>
      <c r="CLB60" s="53"/>
      <c r="CLC60" s="53"/>
      <c r="CLD60" s="53"/>
      <c r="CLE60" s="53"/>
      <c r="CLF60" s="53"/>
      <c r="CLG60" s="53"/>
      <c r="CLH60" s="53"/>
      <c r="CLI60" s="53"/>
      <c r="CLJ60" s="53"/>
      <c r="CLK60" s="53"/>
      <c r="CLL60" s="53"/>
      <c r="CLM60" s="53"/>
      <c r="CLN60" s="53"/>
      <c r="CLO60" s="53"/>
      <c r="CLP60" s="53"/>
      <c r="CLQ60" s="53"/>
      <c r="CLR60" s="53"/>
      <c r="CLS60" s="53"/>
      <c r="CLT60" s="53"/>
      <c r="CLU60" s="53"/>
      <c r="CLV60" s="53"/>
      <c r="CLW60" s="53"/>
      <c r="CLX60" s="53"/>
      <c r="CLY60" s="53"/>
      <c r="CLZ60" s="53"/>
      <c r="CMA60" s="53"/>
      <c r="CMB60" s="53"/>
      <c r="CMC60" s="53"/>
      <c r="CMD60" s="53"/>
      <c r="CME60" s="53"/>
      <c r="CMF60" s="53"/>
      <c r="CMG60" s="53"/>
      <c r="CMH60" s="53"/>
      <c r="CMI60" s="53"/>
      <c r="CMJ60" s="53"/>
      <c r="CMK60" s="53"/>
      <c r="CML60" s="53"/>
      <c r="CMM60" s="53"/>
      <c r="CMN60" s="53"/>
      <c r="CMO60" s="53"/>
      <c r="CMP60" s="53"/>
      <c r="CMQ60" s="53"/>
      <c r="CMR60" s="53"/>
      <c r="CMS60" s="53"/>
      <c r="CMT60" s="53"/>
      <c r="CMU60" s="53"/>
      <c r="CMV60" s="53"/>
      <c r="CMW60" s="53"/>
      <c r="CMX60" s="53"/>
      <c r="CMY60" s="53"/>
      <c r="CMZ60" s="53"/>
      <c r="CNA60" s="53"/>
      <c r="CNB60" s="53"/>
      <c r="CNC60" s="53"/>
      <c r="CND60" s="53"/>
      <c r="CNE60" s="53"/>
      <c r="CNF60" s="53"/>
      <c r="CNG60" s="53"/>
      <c r="CNH60" s="53"/>
      <c r="CNI60" s="53"/>
      <c r="CNJ60" s="53"/>
      <c r="CNK60" s="53"/>
      <c r="CNL60" s="53"/>
      <c r="CNM60" s="53"/>
      <c r="CNN60" s="53"/>
      <c r="CNO60" s="53"/>
      <c r="CNP60" s="53"/>
      <c r="CNQ60" s="53"/>
      <c r="CNR60" s="53"/>
      <c r="CNS60" s="53"/>
      <c r="CNT60" s="53"/>
      <c r="CNU60" s="53"/>
      <c r="CNV60" s="53"/>
      <c r="CNW60" s="53"/>
      <c r="CNX60" s="53"/>
      <c r="CNY60" s="53"/>
      <c r="CNZ60" s="53"/>
      <c r="COA60" s="53"/>
      <c r="COB60" s="53"/>
      <c r="COC60" s="53"/>
      <c r="COD60" s="53"/>
      <c r="COE60" s="53"/>
      <c r="COF60" s="53"/>
      <c r="COG60" s="53"/>
      <c r="COH60" s="53"/>
      <c r="COI60" s="53"/>
      <c r="COJ60" s="53"/>
      <c r="COK60" s="53"/>
      <c r="COL60" s="53"/>
      <c r="COM60" s="53"/>
      <c r="CON60" s="53"/>
      <c r="COO60" s="53"/>
      <c r="COP60" s="53"/>
      <c r="COQ60" s="53"/>
      <c r="COR60" s="53"/>
      <c r="COS60" s="53"/>
      <c r="COT60" s="53"/>
      <c r="COU60" s="53"/>
      <c r="COV60" s="53"/>
      <c r="COW60" s="53"/>
      <c r="COX60" s="53"/>
      <c r="COY60" s="53"/>
      <c r="COZ60" s="53"/>
      <c r="CPA60" s="53"/>
      <c r="CPB60" s="53"/>
      <c r="CPC60" s="53"/>
      <c r="CPD60" s="53"/>
      <c r="CPE60" s="53"/>
      <c r="CPF60" s="53"/>
      <c r="CPG60" s="53"/>
      <c r="CPH60" s="53"/>
      <c r="CPI60" s="53"/>
      <c r="CPJ60" s="53"/>
      <c r="CPK60" s="53"/>
      <c r="CPL60" s="53"/>
      <c r="CPM60" s="53"/>
      <c r="CPN60" s="53"/>
      <c r="CPO60" s="53"/>
      <c r="CPP60" s="53"/>
      <c r="CPQ60" s="53"/>
      <c r="CPR60" s="53"/>
      <c r="CPS60" s="53"/>
      <c r="CPT60" s="53"/>
      <c r="CPU60" s="53"/>
      <c r="CPV60" s="53"/>
      <c r="CPW60" s="53"/>
      <c r="CPX60" s="53"/>
      <c r="CPY60" s="53"/>
      <c r="CPZ60" s="53"/>
      <c r="CQA60" s="53"/>
      <c r="CQB60" s="53"/>
      <c r="CQC60" s="53"/>
      <c r="CQD60" s="53"/>
      <c r="CQE60" s="53"/>
      <c r="CQF60" s="53"/>
      <c r="CQG60" s="53"/>
      <c r="CQH60" s="53"/>
      <c r="CQI60" s="53"/>
      <c r="CQJ60" s="53"/>
      <c r="CQK60" s="53"/>
      <c r="CQL60" s="53"/>
      <c r="CQM60" s="53"/>
      <c r="CQN60" s="53"/>
      <c r="CQO60" s="53"/>
      <c r="CQP60" s="53"/>
      <c r="CQQ60" s="53"/>
      <c r="CQR60" s="53"/>
      <c r="CQS60" s="53"/>
      <c r="CQT60" s="53"/>
      <c r="CQU60" s="53"/>
      <c r="CQV60" s="53"/>
      <c r="CQW60" s="53"/>
      <c r="CQX60" s="53"/>
      <c r="CQY60" s="53"/>
      <c r="CQZ60" s="53"/>
      <c r="CRA60" s="53"/>
      <c r="CRB60" s="53"/>
      <c r="CRC60" s="53"/>
      <c r="CRD60" s="53"/>
      <c r="CRE60" s="53"/>
      <c r="CRF60" s="53"/>
      <c r="CRG60" s="53"/>
      <c r="CRH60" s="53"/>
      <c r="CRI60" s="53"/>
      <c r="CRJ60" s="53"/>
      <c r="CRK60" s="53"/>
      <c r="CRL60" s="53"/>
      <c r="CRM60" s="53"/>
      <c r="CRN60" s="53"/>
      <c r="CRO60" s="53"/>
      <c r="CRP60" s="53"/>
      <c r="CRQ60" s="53"/>
      <c r="CRR60" s="53"/>
      <c r="CRS60" s="53"/>
      <c r="CRT60" s="53"/>
      <c r="CRU60" s="53"/>
      <c r="CRV60" s="53"/>
      <c r="CRW60" s="53"/>
      <c r="CRX60" s="53"/>
      <c r="CRY60" s="53"/>
      <c r="CRZ60" s="53"/>
      <c r="CSA60" s="53"/>
      <c r="CSB60" s="53"/>
      <c r="CSC60" s="53"/>
      <c r="CSD60" s="53"/>
      <c r="CSE60" s="53"/>
      <c r="CSF60" s="53"/>
      <c r="CSG60" s="53"/>
      <c r="CSH60" s="53"/>
      <c r="CSI60" s="53"/>
      <c r="CSJ60" s="53"/>
      <c r="CSK60" s="53"/>
      <c r="CSL60" s="53"/>
      <c r="CSM60" s="53"/>
      <c r="CSN60" s="53"/>
      <c r="CSO60" s="53"/>
      <c r="CSP60" s="53"/>
      <c r="CSQ60" s="53"/>
      <c r="CSR60" s="53"/>
      <c r="CSS60" s="53"/>
      <c r="CST60" s="53"/>
      <c r="CSU60" s="53"/>
      <c r="CSV60" s="53"/>
      <c r="CSW60" s="53"/>
      <c r="CSX60" s="53"/>
      <c r="CSY60" s="53"/>
      <c r="CSZ60" s="53"/>
      <c r="CTA60" s="53"/>
      <c r="CTB60" s="53"/>
      <c r="CTC60" s="53"/>
      <c r="CTD60" s="53"/>
      <c r="CTE60" s="53"/>
      <c r="CTF60" s="53"/>
      <c r="CTG60" s="53"/>
      <c r="CTH60" s="53"/>
      <c r="CTI60" s="53"/>
      <c r="CTJ60" s="53"/>
      <c r="CTK60" s="53"/>
      <c r="CTL60" s="53"/>
      <c r="CTM60" s="53"/>
      <c r="CTN60" s="53"/>
      <c r="CTO60" s="53"/>
      <c r="CTP60" s="53"/>
      <c r="CTQ60" s="53"/>
      <c r="CTR60" s="53"/>
      <c r="CTS60" s="53"/>
      <c r="CTT60" s="53"/>
      <c r="CTU60" s="53"/>
      <c r="CTV60" s="53"/>
      <c r="CTW60" s="53"/>
      <c r="CTX60" s="53"/>
      <c r="CTY60" s="53"/>
      <c r="CTZ60" s="53"/>
      <c r="CUA60" s="53"/>
      <c r="CUB60" s="53"/>
      <c r="CUC60" s="53"/>
      <c r="CUD60" s="53"/>
      <c r="CUE60" s="53"/>
      <c r="CUF60" s="53"/>
      <c r="CUG60" s="53"/>
      <c r="CUH60" s="53"/>
      <c r="CUI60" s="53"/>
      <c r="CUJ60" s="53"/>
      <c r="CUK60" s="53"/>
      <c r="CUL60" s="53"/>
      <c r="CUM60" s="53"/>
      <c r="CUN60" s="53"/>
      <c r="CUO60" s="53"/>
      <c r="CUP60" s="53"/>
      <c r="CUQ60" s="53"/>
      <c r="CUR60" s="53"/>
      <c r="CUS60" s="53"/>
      <c r="CUT60" s="53"/>
      <c r="CUU60" s="53"/>
      <c r="CUV60" s="53"/>
      <c r="CUW60" s="53"/>
      <c r="CUX60" s="53"/>
      <c r="CUY60" s="53"/>
      <c r="CUZ60" s="53"/>
      <c r="CVA60" s="53"/>
      <c r="CVB60" s="53"/>
      <c r="CVC60" s="53"/>
      <c r="CVD60" s="53"/>
      <c r="CVE60" s="53"/>
      <c r="CVF60" s="53"/>
      <c r="CVG60" s="53"/>
      <c r="CVH60" s="53"/>
      <c r="CVI60" s="53"/>
      <c r="CVJ60" s="53"/>
      <c r="CVK60" s="53"/>
      <c r="CVL60" s="53"/>
      <c r="CVM60" s="53"/>
      <c r="CVN60" s="53"/>
      <c r="CVO60" s="53"/>
      <c r="CVP60" s="53"/>
      <c r="CVQ60" s="53"/>
      <c r="CVR60" s="53"/>
      <c r="CVS60" s="53"/>
      <c r="CVT60" s="53"/>
      <c r="CVU60" s="53"/>
      <c r="CVV60" s="53"/>
      <c r="CVW60" s="53"/>
      <c r="CVX60" s="53"/>
      <c r="CVY60" s="53"/>
      <c r="CVZ60" s="53"/>
      <c r="CWA60" s="53"/>
      <c r="CWB60" s="53"/>
      <c r="CWC60" s="53"/>
      <c r="CWD60" s="53"/>
      <c r="CWE60" s="53"/>
      <c r="CWF60" s="53"/>
      <c r="CWG60" s="53"/>
      <c r="CWH60" s="53"/>
      <c r="CWI60" s="53"/>
      <c r="CWJ60" s="53"/>
      <c r="CWK60" s="53"/>
      <c r="CWL60" s="53"/>
      <c r="CWM60" s="53"/>
      <c r="CWN60" s="53"/>
      <c r="CWO60" s="53"/>
      <c r="CWP60" s="53"/>
      <c r="CWQ60" s="53"/>
      <c r="CWR60" s="53"/>
      <c r="CWS60" s="53"/>
      <c r="CWT60" s="53"/>
      <c r="CWU60" s="53"/>
      <c r="CWV60" s="53"/>
      <c r="CWW60" s="53"/>
      <c r="CWX60" s="53"/>
      <c r="CWY60" s="53"/>
      <c r="CWZ60" s="53"/>
      <c r="CXA60" s="53"/>
      <c r="CXB60" s="53"/>
      <c r="CXC60" s="53"/>
      <c r="CXD60" s="53"/>
      <c r="CXE60" s="53"/>
      <c r="CXF60" s="53"/>
      <c r="CXG60" s="53"/>
      <c r="CXH60" s="53"/>
      <c r="CXI60" s="53"/>
      <c r="CXJ60" s="53"/>
      <c r="CXK60" s="53"/>
      <c r="CXL60" s="53"/>
      <c r="CXM60" s="53"/>
      <c r="CXN60" s="53"/>
      <c r="CXO60" s="53"/>
      <c r="CXP60" s="53"/>
      <c r="CXQ60" s="53"/>
      <c r="CXR60" s="53"/>
      <c r="CXS60" s="53"/>
      <c r="CXT60" s="53"/>
      <c r="CXU60" s="53"/>
      <c r="CXV60" s="53"/>
      <c r="CXW60" s="53"/>
      <c r="CXX60" s="53"/>
      <c r="CXY60" s="53"/>
      <c r="CXZ60" s="53"/>
      <c r="CYA60" s="53"/>
      <c r="CYB60" s="53"/>
      <c r="CYC60" s="53"/>
      <c r="CYD60" s="53"/>
      <c r="CYE60" s="53"/>
      <c r="CYF60" s="53"/>
      <c r="CYG60" s="53"/>
      <c r="CYH60" s="53"/>
      <c r="CYI60" s="53"/>
      <c r="CYJ60" s="53"/>
      <c r="CYK60" s="53"/>
      <c r="CYL60" s="53"/>
      <c r="CYM60" s="53"/>
      <c r="CYN60" s="53"/>
      <c r="CYO60" s="53"/>
      <c r="CYP60" s="53"/>
      <c r="CYQ60" s="53"/>
      <c r="CYR60" s="53"/>
      <c r="CYS60" s="53"/>
      <c r="CYT60" s="53"/>
      <c r="CYU60" s="53"/>
      <c r="CYV60" s="53"/>
      <c r="CYW60" s="53"/>
      <c r="CYX60" s="53"/>
      <c r="CYY60" s="53"/>
      <c r="CYZ60" s="53"/>
      <c r="CZA60" s="53"/>
      <c r="CZB60" s="53"/>
      <c r="CZC60" s="53"/>
      <c r="CZD60" s="53"/>
      <c r="CZE60" s="53"/>
      <c r="CZF60" s="53"/>
      <c r="CZG60" s="53"/>
      <c r="CZH60" s="53"/>
      <c r="CZI60" s="53"/>
      <c r="CZJ60" s="53"/>
      <c r="CZK60" s="53"/>
      <c r="CZL60" s="53"/>
      <c r="CZM60" s="53"/>
      <c r="CZN60" s="53"/>
      <c r="CZO60" s="53"/>
      <c r="CZP60" s="53"/>
      <c r="CZQ60" s="53"/>
      <c r="CZR60" s="53"/>
      <c r="CZS60" s="53"/>
      <c r="CZT60" s="53"/>
      <c r="CZU60" s="53"/>
      <c r="CZV60" s="53"/>
      <c r="CZW60" s="53"/>
      <c r="CZX60" s="53"/>
      <c r="CZY60" s="53"/>
      <c r="CZZ60" s="53"/>
      <c r="DAA60" s="53"/>
      <c r="DAB60" s="53"/>
      <c r="DAC60" s="53"/>
      <c r="DAD60" s="53"/>
      <c r="DAE60" s="53"/>
      <c r="DAF60" s="53"/>
      <c r="DAG60" s="53"/>
      <c r="DAH60" s="53"/>
      <c r="DAI60" s="53"/>
      <c r="DAJ60" s="53"/>
      <c r="DAK60" s="53"/>
      <c r="DAL60" s="53"/>
      <c r="DAM60" s="53"/>
      <c r="DAN60" s="53"/>
      <c r="DAO60" s="53"/>
      <c r="DAP60" s="53"/>
      <c r="DAQ60" s="53"/>
      <c r="DAR60" s="53"/>
      <c r="DAS60" s="53"/>
      <c r="DAT60" s="53"/>
      <c r="DAU60" s="53"/>
      <c r="DAV60" s="53"/>
      <c r="DAW60" s="53"/>
      <c r="DAX60" s="53"/>
      <c r="DAY60" s="53"/>
      <c r="DAZ60" s="53"/>
      <c r="DBA60" s="53"/>
      <c r="DBB60" s="53"/>
      <c r="DBC60" s="53"/>
      <c r="DBD60" s="53"/>
      <c r="DBE60" s="53"/>
      <c r="DBF60" s="53"/>
      <c r="DBG60" s="53"/>
      <c r="DBH60" s="53"/>
      <c r="DBI60" s="53"/>
      <c r="DBJ60" s="53"/>
      <c r="DBK60" s="53"/>
      <c r="DBL60" s="53"/>
      <c r="DBM60" s="53"/>
      <c r="DBN60" s="53"/>
      <c r="DBO60" s="53"/>
      <c r="DBP60" s="53"/>
      <c r="DBQ60" s="53"/>
      <c r="DBR60" s="53"/>
      <c r="DBS60" s="53"/>
      <c r="DBT60" s="53"/>
      <c r="DBU60" s="53"/>
      <c r="DBV60" s="53"/>
      <c r="DBW60" s="53"/>
      <c r="DBX60" s="53"/>
      <c r="DBY60" s="53"/>
      <c r="DBZ60" s="53"/>
      <c r="DCA60" s="53"/>
      <c r="DCB60" s="53"/>
      <c r="DCC60" s="53"/>
      <c r="DCD60" s="53"/>
      <c r="DCE60" s="53"/>
      <c r="DCF60" s="53"/>
      <c r="DCG60" s="53"/>
      <c r="DCH60" s="53"/>
      <c r="DCI60" s="53"/>
      <c r="DCJ60" s="53"/>
      <c r="DCK60" s="53"/>
      <c r="DCL60" s="53"/>
      <c r="DCM60" s="53"/>
      <c r="DCN60" s="53"/>
      <c r="DCO60" s="53"/>
      <c r="DCP60" s="53"/>
      <c r="DCQ60" s="53"/>
      <c r="DCR60" s="53"/>
      <c r="DCS60" s="53"/>
      <c r="DCT60" s="53"/>
      <c r="DCU60" s="53"/>
      <c r="DCV60" s="53"/>
      <c r="DCW60" s="53"/>
      <c r="DCX60" s="53"/>
      <c r="DCY60" s="53"/>
      <c r="DCZ60" s="53"/>
      <c r="DDA60" s="53"/>
      <c r="DDB60" s="53"/>
      <c r="DDC60" s="53"/>
      <c r="DDD60" s="53"/>
      <c r="DDE60" s="53"/>
      <c r="DDF60" s="53"/>
      <c r="DDG60" s="53"/>
      <c r="DDH60" s="53"/>
      <c r="DDI60" s="53"/>
      <c r="DDJ60" s="53"/>
      <c r="DDK60" s="53"/>
      <c r="DDL60" s="53"/>
      <c r="DDM60" s="53"/>
      <c r="DDN60" s="53"/>
      <c r="DDO60" s="53"/>
      <c r="DDP60" s="53"/>
      <c r="DDQ60" s="53"/>
      <c r="DDR60" s="53"/>
      <c r="DDS60" s="53"/>
      <c r="DDT60" s="53"/>
      <c r="DDU60" s="53"/>
      <c r="DDV60" s="53"/>
      <c r="DDW60" s="53"/>
      <c r="DDX60" s="53"/>
      <c r="DDY60" s="53"/>
      <c r="DDZ60" s="53"/>
      <c r="DEA60" s="53"/>
      <c r="DEB60" s="53"/>
      <c r="DEC60" s="53"/>
      <c r="DED60" s="53"/>
      <c r="DEE60" s="53"/>
      <c r="DEF60" s="53"/>
      <c r="DEG60" s="53"/>
      <c r="DEH60" s="53"/>
      <c r="DEI60" s="53"/>
      <c r="DEJ60" s="53"/>
      <c r="DEK60" s="53"/>
      <c r="DEL60" s="53"/>
      <c r="DEM60" s="53"/>
      <c r="DEN60" s="53"/>
      <c r="DEO60" s="53"/>
      <c r="DEP60" s="53"/>
      <c r="DEQ60" s="53"/>
      <c r="DER60" s="53"/>
      <c r="DES60" s="53"/>
      <c r="DET60" s="53"/>
      <c r="DEU60" s="53"/>
      <c r="DEV60" s="53"/>
      <c r="DEW60" s="53"/>
      <c r="DEX60" s="53"/>
      <c r="DEY60" s="53"/>
      <c r="DEZ60" s="53"/>
      <c r="DFA60" s="53"/>
      <c r="DFB60" s="53"/>
      <c r="DFC60" s="53"/>
      <c r="DFD60" s="53"/>
      <c r="DFE60" s="53"/>
      <c r="DFF60" s="53"/>
      <c r="DFG60" s="53"/>
      <c r="DFH60" s="53"/>
      <c r="DFI60" s="53"/>
      <c r="DFJ60" s="53"/>
      <c r="DFK60" s="53"/>
      <c r="DFL60" s="53"/>
      <c r="DFM60" s="53"/>
      <c r="DFN60" s="53"/>
      <c r="DFO60" s="53"/>
      <c r="DFP60" s="53"/>
      <c r="DFQ60" s="53"/>
      <c r="DFR60" s="53"/>
      <c r="DFS60" s="53"/>
      <c r="DFT60" s="53"/>
      <c r="DFU60" s="53"/>
      <c r="DFV60" s="53"/>
      <c r="DFW60" s="53"/>
      <c r="DFX60" s="53"/>
      <c r="DFY60" s="53"/>
      <c r="DFZ60" s="53"/>
      <c r="DGA60" s="53"/>
      <c r="DGB60" s="53"/>
      <c r="DGC60" s="53"/>
      <c r="DGD60" s="53"/>
      <c r="DGE60" s="53"/>
      <c r="DGF60" s="53"/>
      <c r="DGG60" s="53"/>
      <c r="DGH60" s="53"/>
      <c r="DGI60" s="53"/>
      <c r="DGJ60" s="53"/>
      <c r="DGK60" s="53"/>
      <c r="DGL60" s="53"/>
      <c r="DGM60" s="53"/>
      <c r="DGN60" s="53"/>
      <c r="DGO60" s="53"/>
      <c r="DGP60" s="53"/>
      <c r="DGQ60" s="53"/>
      <c r="DGR60" s="53"/>
      <c r="DGS60" s="53"/>
      <c r="DGT60" s="53"/>
      <c r="DGU60" s="53"/>
      <c r="DGV60" s="53"/>
      <c r="DGW60" s="53"/>
      <c r="DGX60" s="53"/>
      <c r="DGY60" s="53"/>
      <c r="DGZ60" s="53"/>
      <c r="DHA60" s="53"/>
      <c r="DHB60" s="53"/>
      <c r="DHC60" s="53"/>
      <c r="DHD60" s="53"/>
      <c r="DHE60" s="53"/>
      <c r="DHF60" s="53"/>
      <c r="DHG60" s="53"/>
      <c r="DHH60" s="53"/>
      <c r="DHI60" s="53"/>
      <c r="DHJ60" s="53"/>
      <c r="DHK60" s="53"/>
      <c r="DHL60" s="53"/>
      <c r="DHM60" s="53"/>
      <c r="DHN60" s="53"/>
      <c r="DHO60" s="53"/>
      <c r="DHP60" s="53"/>
      <c r="DHQ60" s="53"/>
      <c r="DHR60" s="53"/>
      <c r="DHS60" s="53"/>
      <c r="DHT60" s="53"/>
      <c r="DHU60" s="53"/>
      <c r="DHV60" s="53"/>
      <c r="DHW60" s="53"/>
      <c r="DHX60" s="53"/>
      <c r="DHY60" s="53"/>
      <c r="DHZ60" s="53"/>
      <c r="DIA60" s="53"/>
      <c r="DIB60" s="53"/>
      <c r="DIC60" s="53"/>
      <c r="DID60" s="53"/>
      <c r="DIE60" s="53"/>
      <c r="DIF60" s="53"/>
      <c r="DIG60" s="53"/>
      <c r="DIH60" s="53"/>
      <c r="DII60" s="53"/>
      <c r="DIJ60" s="53"/>
      <c r="DIK60" s="53"/>
      <c r="DIL60" s="53"/>
      <c r="DIM60" s="53"/>
      <c r="DIN60" s="53"/>
      <c r="DIO60" s="53"/>
      <c r="DIP60" s="53"/>
      <c r="DIQ60" s="53"/>
      <c r="DIR60" s="53"/>
      <c r="DIS60" s="53"/>
      <c r="DIT60" s="53"/>
      <c r="DIU60" s="53"/>
      <c r="DIV60" s="53"/>
      <c r="DIW60" s="53"/>
      <c r="DIX60" s="53"/>
      <c r="DIY60" s="53"/>
      <c r="DIZ60" s="53"/>
      <c r="DJA60" s="53"/>
      <c r="DJB60" s="53"/>
      <c r="DJC60" s="53"/>
      <c r="DJD60" s="53"/>
      <c r="DJE60" s="53"/>
      <c r="DJF60" s="53"/>
      <c r="DJG60" s="53"/>
      <c r="DJH60" s="53"/>
      <c r="DJI60" s="53"/>
      <c r="DJJ60" s="53"/>
      <c r="DJK60" s="53"/>
      <c r="DJL60" s="53"/>
      <c r="DJM60" s="53"/>
      <c r="DJN60" s="53"/>
      <c r="DJO60" s="53"/>
      <c r="DJP60" s="53"/>
      <c r="DJQ60" s="53"/>
      <c r="DJR60" s="53"/>
      <c r="DJS60" s="53"/>
      <c r="DJT60" s="53"/>
      <c r="DJU60" s="53"/>
      <c r="DJV60" s="53"/>
      <c r="DJW60" s="53"/>
      <c r="DJX60" s="53"/>
      <c r="DJY60" s="53"/>
      <c r="DJZ60" s="53"/>
      <c r="DKA60" s="53"/>
      <c r="DKB60" s="53"/>
      <c r="DKC60" s="53"/>
      <c r="DKD60" s="53"/>
      <c r="DKE60" s="53"/>
      <c r="DKF60" s="53"/>
      <c r="DKG60" s="53"/>
      <c r="DKH60" s="53"/>
      <c r="DKI60" s="53"/>
      <c r="DKJ60" s="53"/>
      <c r="DKK60" s="53"/>
      <c r="DKL60" s="53"/>
      <c r="DKM60" s="53"/>
      <c r="DKN60" s="53"/>
      <c r="DKO60" s="53"/>
      <c r="DKP60" s="53"/>
      <c r="DKQ60" s="53"/>
      <c r="DKR60" s="53"/>
      <c r="DKS60" s="53"/>
      <c r="DKT60" s="53"/>
      <c r="DKU60" s="53"/>
      <c r="DKV60" s="53"/>
      <c r="DKW60" s="53"/>
      <c r="DKX60" s="53"/>
      <c r="DKY60" s="53"/>
      <c r="DKZ60" s="53"/>
      <c r="DLA60" s="53"/>
      <c r="DLB60" s="53"/>
      <c r="DLC60" s="53"/>
      <c r="DLD60" s="53"/>
      <c r="DLE60" s="53"/>
      <c r="DLF60" s="53"/>
      <c r="DLG60" s="53"/>
      <c r="DLH60" s="53"/>
      <c r="DLI60" s="53"/>
      <c r="DLJ60" s="53"/>
      <c r="DLK60" s="53"/>
      <c r="DLL60" s="53"/>
      <c r="DLM60" s="53"/>
      <c r="DLN60" s="53"/>
      <c r="DLO60" s="53"/>
      <c r="DLP60" s="53"/>
      <c r="DLQ60" s="53"/>
      <c r="DLR60" s="53"/>
      <c r="DLS60" s="53"/>
      <c r="DLT60" s="53"/>
      <c r="DLU60" s="53"/>
      <c r="DLV60" s="53"/>
      <c r="DLW60" s="53"/>
      <c r="DLX60" s="53"/>
      <c r="DLY60" s="53"/>
      <c r="DLZ60" s="53"/>
      <c r="DMA60" s="53"/>
      <c r="DMB60" s="53"/>
      <c r="DMC60" s="53"/>
      <c r="DMD60" s="53"/>
      <c r="DME60" s="53"/>
      <c r="DMF60" s="53"/>
      <c r="DMG60" s="53"/>
      <c r="DMH60" s="53"/>
      <c r="DMI60" s="53"/>
      <c r="DMJ60" s="53"/>
      <c r="DMK60" s="53"/>
      <c r="DML60" s="53"/>
      <c r="DMM60" s="53"/>
      <c r="DMN60" s="53"/>
      <c r="DMO60" s="53"/>
      <c r="DMP60" s="53"/>
      <c r="DMQ60" s="53"/>
      <c r="DMR60" s="53"/>
      <c r="DMS60" s="53"/>
      <c r="DMT60" s="53"/>
      <c r="DMU60" s="53"/>
      <c r="DMV60" s="53"/>
      <c r="DMW60" s="53"/>
      <c r="DMX60" s="53"/>
      <c r="DMY60" s="53"/>
      <c r="DMZ60" s="53"/>
      <c r="DNA60" s="53"/>
      <c r="DNB60" s="53"/>
      <c r="DNC60" s="53"/>
      <c r="DND60" s="53"/>
      <c r="DNE60" s="53"/>
      <c r="DNF60" s="53"/>
      <c r="DNG60" s="53"/>
      <c r="DNH60" s="53"/>
      <c r="DNI60" s="53"/>
      <c r="DNJ60" s="53"/>
      <c r="DNK60" s="53"/>
      <c r="DNL60" s="53"/>
      <c r="DNM60" s="53"/>
      <c r="DNN60" s="53"/>
      <c r="DNO60" s="53"/>
      <c r="DNP60" s="53"/>
      <c r="DNQ60" s="53"/>
      <c r="DNR60" s="53"/>
      <c r="DNS60" s="53"/>
      <c r="DNT60" s="53"/>
      <c r="DNU60" s="53"/>
      <c r="DNV60" s="53"/>
      <c r="DNW60" s="53"/>
      <c r="DNX60" s="53"/>
      <c r="DNY60" s="53"/>
      <c r="DNZ60" s="53"/>
      <c r="DOA60" s="53"/>
      <c r="DOB60" s="53"/>
      <c r="DOC60" s="53"/>
      <c r="DOD60" s="53"/>
      <c r="DOE60" s="53"/>
      <c r="DOF60" s="53"/>
      <c r="DOG60" s="53"/>
      <c r="DOH60" s="53"/>
      <c r="DOI60" s="53"/>
      <c r="DOJ60" s="53"/>
      <c r="DOK60" s="53"/>
      <c r="DOL60" s="53"/>
      <c r="DOM60" s="53"/>
      <c r="DON60" s="53"/>
      <c r="DOO60" s="53"/>
      <c r="DOP60" s="53"/>
      <c r="DOQ60" s="53"/>
      <c r="DOR60" s="53"/>
      <c r="DOS60" s="53"/>
      <c r="DOT60" s="53"/>
      <c r="DOU60" s="53"/>
      <c r="DOV60" s="53"/>
      <c r="DOW60" s="53"/>
      <c r="DOX60" s="53"/>
      <c r="DOY60" s="53"/>
      <c r="DOZ60" s="53"/>
      <c r="DPA60" s="53"/>
      <c r="DPB60" s="53"/>
      <c r="DPC60" s="53"/>
      <c r="DPD60" s="53"/>
      <c r="DPE60" s="53"/>
      <c r="DPF60" s="53"/>
      <c r="DPG60" s="53"/>
      <c r="DPH60" s="53"/>
      <c r="DPI60" s="53"/>
      <c r="DPJ60" s="53"/>
      <c r="DPK60" s="53"/>
      <c r="DPL60" s="53"/>
      <c r="DPM60" s="53"/>
      <c r="DPN60" s="53"/>
      <c r="DPO60" s="53"/>
      <c r="DPP60" s="53"/>
      <c r="DPQ60" s="53"/>
      <c r="DPR60" s="53"/>
      <c r="DPS60" s="53"/>
      <c r="DPT60" s="53"/>
      <c r="DPU60" s="53"/>
      <c r="DPV60" s="53"/>
      <c r="DPW60" s="53"/>
      <c r="DPX60" s="53"/>
      <c r="DPY60" s="53"/>
      <c r="DPZ60" s="53"/>
      <c r="DQA60" s="53"/>
      <c r="DQB60" s="53"/>
      <c r="DQC60" s="53"/>
      <c r="DQD60" s="53"/>
      <c r="DQE60" s="53"/>
      <c r="DQF60" s="53"/>
      <c r="DQG60" s="53"/>
      <c r="DQH60" s="53"/>
      <c r="DQI60" s="53"/>
      <c r="DQJ60" s="53"/>
      <c r="DQK60" s="53"/>
      <c r="DQL60" s="53"/>
      <c r="DQM60" s="53"/>
      <c r="DQN60" s="53"/>
      <c r="DQO60" s="53"/>
      <c r="DQP60" s="53"/>
      <c r="DQQ60" s="53"/>
      <c r="DQR60" s="53"/>
      <c r="DQS60" s="53"/>
      <c r="DQT60" s="53"/>
      <c r="DQU60" s="53"/>
      <c r="DQV60" s="53"/>
      <c r="DQW60" s="53"/>
      <c r="DQX60" s="53"/>
      <c r="DQY60" s="53"/>
      <c r="DQZ60" s="53"/>
      <c r="DRA60" s="53"/>
      <c r="DRB60" s="53"/>
      <c r="DRC60" s="53"/>
      <c r="DRD60" s="53"/>
      <c r="DRE60" s="53"/>
      <c r="DRF60" s="53"/>
      <c r="DRG60" s="53"/>
      <c r="DRH60" s="53"/>
      <c r="DRI60" s="53"/>
      <c r="DRJ60" s="53"/>
      <c r="DRK60" s="53"/>
      <c r="DRL60" s="53"/>
      <c r="DRM60" s="53"/>
      <c r="DRN60" s="53"/>
      <c r="DRO60" s="53"/>
      <c r="DRP60" s="53"/>
      <c r="DRQ60" s="53"/>
      <c r="DRR60" s="53"/>
      <c r="DRS60" s="53"/>
      <c r="DRT60" s="53"/>
      <c r="DRU60" s="53"/>
      <c r="DRV60" s="53"/>
      <c r="DRW60" s="53"/>
      <c r="DRX60" s="53"/>
      <c r="DRY60" s="53"/>
      <c r="DRZ60" s="53"/>
      <c r="DSA60" s="53"/>
      <c r="DSB60" s="53"/>
      <c r="DSC60" s="53"/>
      <c r="DSD60" s="53"/>
      <c r="DSE60" s="53"/>
      <c r="DSF60" s="53"/>
      <c r="DSG60" s="53"/>
      <c r="DSH60" s="53"/>
      <c r="DSI60" s="53"/>
      <c r="DSJ60" s="53"/>
      <c r="DSK60" s="53"/>
      <c r="DSL60" s="53"/>
      <c r="DSM60" s="53"/>
      <c r="DSN60" s="53"/>
      <c r="DSO60" s="53"/>
      <c r="DSP60" s="53"/>
      <c r="DSQ60" s="53"/>
      <c r="DSR60" s="53"/>
      <c r="DSS60" s="53"/>
      <c r="DST60" s="53"/>
      <c r="DSU60" s="53"/>
      <c r="DSV60" s="53"/>
      <c r="DSW60" s="53"/>
      <c r="DSX60" s="53"/>
      <c r="DSY60" s="53"/>
      <c r="DSZ60" s="53"/>
      <c r="DTA60" s="53"/>
      <c r="DTB60" s="53"/>
      <c r="DTC60" s="53"/>
      <c r="DTD60" s="53"/>
      <c r="DTE60" s="53"/>
      <c r="DTF60" s="53"/>
      <c r="DTG60" s="53"/>
      <c r="DTH60" s="53"/>
      <c r="DTI60" s="53"/>
      <c r="DTJ60" s="53"/>
      <c r="DTK60" s="53"/>
      <c r="DTL60" s="53"/>
      <c r="DTM60" s="53"/>
      <c r="DTN60" s="53"/>
      <c r="DTO60" s="53"/>
      <c r="DTP60" s="53"/>
      <c r="DTQ60" s="53"/>
      <c r="DTR60" s="53"/>
      <c r="DTS60" s="53"/>
      <c r="DTT60" s="53"/>
      <c r="DTU60" s="53"/>
      <c r="DTV60" s="53"/>
      <c r="DTW60" s="53"/>
      <c r="DTX60" s="53"/>
      <c r="DTY60" s="53"/>
      <c r="DTZ60" s="53"/>
      <c r="DUA60" s="53"/>
      <c r="DUB60" s="53"/>
      <c r="DUC60" s="53"/>
      <c r="DUD60" s="53"/>
      <c r="DUE60" s="53"/>
      <c r="DUF60" s="53"/>
      <c r="DUG60" s="53"/>
      <c r="DUH60" s="53"/>
      <c r="DUI60" s="53"/>
      <c r="DUJ60" s="53"/>
      <c r="DUK60" s="53"/>
      <c r="DUL60" s="53"/>
      <c r="DUM60" s="53"/>
      <c r="DUN60" s="53"/>
      <c r="DUO60" s="53"/>
      <c r="DUP60" s="53"/>
      <c r="DUQ60" s="53"/>
      <c r="DUR60" s="53"/>
      <c r="DUS60" s="53"/>
      <c r="DUT60" s="53"/>
      <c r="DUU60" s="53"/>
      <c r="DUV60" s="53"/>
      <c r="DUW60" s="53"/>
      <c r="DUX60" s="53"/>
      <c r="DUY60" s="53"/>
      <c r="DUZ60" s="53"/>
      <c r="DVA60" s="53"/>
      <c r="DVB60" s="53"/>
      <c r="DVC60" s="53"/>
      <c r="DVD60" s="53"/>
      <c r="DVE60" s="53"/>
      <c r="DVF60" s="53"/>
      <c r="DVG60" s="53"/>
      <c r="DVH60" s="53"/>
      <c r="DVI60" s="53"/>
      <c r="DVJ60" s="53"/>
      <c r="DVK60" s="53"/>
      <c r="DVL60" s="53"/>
      <c r="DVM60" s="53"/>
      <c r="DVN60" s="53"/>
      <c r="DVO60" s="53"/>
      <c r="DVP60" s="53"/>
      <c r="DVQ60" s="53"/>
      <c r="DVR60" s="53"/>
      <c r="DVS60" s="53"/>
      <c r="DVT60" s="53"/>
      <c r="DVU60" s="53"/>
      <c r="DVV60" s="53"/>
      <c r="DVW60" s="53"/>
      <c r="DVX60" s="53"/>
      <c r="DVY60" s="53"/>
      <c r="DVZ60" s="53"/>
      <c r="DWA60" s="53"/>
      <c r="DWB60" s="53"/>
      <c r="DWC60" s="53"/>
      <c r="DWD60" s="53"/>
      <c r="DWE60" s="53"/>
      <c r="DWF60" s="53"/>
      <c r="DWG60" s="53"/>
      <c r="DWH60" s="53"/>
      <c r="DWI60" s="53"/>
      <c r="DWJ60" s="53"/>
      <c r="DWK60" s="53"/>
      <c r="DWL60" s="53"/>
      <c r="DWM60" s="53"/>
      <c r="DWN60" s="53"/>
      <c r="DWO60" s="53"/>
      <c r="DWP60" s="53"/>
      <c r="DWQ60" s="53"/>
      <c r="DWR60" s="53"/>
      <c r="DWS60" s="53"/>
      <c r="DWT60" s="53"/>
      <c r="DWU60" s="53"/>
      <c r="DWV60" s="53"/>
      <c r="DWW60" s="53"/>
      <c r="DWX60" s="53"/>
      <c r="DWY60" s="53"/>
      <c r="DWZ60" s="53"/>
      <c r="DXA60" s="53"/>
      <c r="DXB60" s="53"/>
      <c r="DXC60" s="53"/>
      <c r="DXD60" s="53"/>
      <c r="DXE60" s="53"/>
      <c r="DXF60" s="53"/>
      <c r="DXG60" s="53"/>
      <c r="DXH60" s="53"/>
      <c r="DXI60" s="53"/>
      <c r="DXJ60" s="53"/>
      <c r="DXK60" s="53"/>
      <c r="DXL60" s="53"/>
      <c r="DXM60" s="53"/>
      <c r="DXN60" s="53"/>
      <c r="DXO60" s="53"/>
      <c r="DXP60" s="53"/>
      <c r="DXQ60" s="53"/>
      <c r="DXR60" s="53"/>
      <c r="DXS60" s="53"/>
      <c r="DXT60" s="53"/>
      <c r="DXU60" s="53"/>
      <c r="DXV60" s="53"/>
      <c r="DXW60" s="53"/>
      <c r="DXX60" s="53"/>
      <c r="DXY60" s="53"/>
      <c r="DXZ60" s="53"/>
      <c r="DYA60" s="53"/>
      <c r="DYB60" s="53"/>
      <c r="DYC60" s="53"/>
      <c r="DYD60" s="53"/>
      <c r="DYE60" s="53"/>
      <c r="DYF60" s="53"/>
      <c r="DYG60" s="53"/>
      <c r="DYH60" s="53"/>
      <c r="DYI60" s="53"/>
      <c r="DYJ60" s="53"/>
      <c r="DYK60" s="53"/>
      <c r="DYL60" s="53"/>
      <c r="DYM60" s="53"/>
      <c r="DYN60" s="53"/>
      <c r="DYO60" s="53"/>
      <c r="DYP60" s="53"/>
      <c r="DYQ60" s="53"/>
      <c r="DYR60" s="53"/>
      <c r="DYS60" s="53"/>
      <c r="DYT60" s="53"/>
      <c r="DYU60" s="53"/>
      <c r="DYV60" s="53"/>
      <c r="DYW60" s="53"/>
      <c r="DYX60" s="53"/>
      <c r="DYY60" s="53"/>
      <c r="DYZ60" s="53"/>
      <c r="DZA60" s="53"/>
      <c r="DZB60" s="53"/>
      <c r="DZC60" s="53"/>
      <c r="DZD60" s="53"/>
      <c r="DZE60" s="53"/>
      <c r="DZF60" s="53"/>
      <c r="DZG60" s="53"/>
      <c r="DZH60" s="53"/>
      <c r="DZI60" s="53"/>
      <c r="DZJ60" s="53"/>
      <c r="DZK60" s="53"/>
      <c r="DZL60" s="53"/>
      <c r="DZM60" s="53"/>
      <c r="DZN60" s="53"/>
      <c r="DZO60" s="53"/>
      <c r="DZP60" s="53"/>
      <c r="DZQ60" s="53"/>
      <c r="DZR60" s="53"/>
      <c r="DZS60" s="53"/>
      <c r="DZT60" s="53"/>
      <c r="DZU60" s="53"/>
      <c r="DZV60" s="53"/>
      <c r="DZW60" s="53"/>
      <c r="DZX60" s="53"/>
      <c r="DZY60" s="53"/>
      <c r="DZZ60" s="53"/>
      <c r="EAA60" s="53"/>
      <c r="EAB60" s="53"/>
      <c r="EAC60" s="53"/>
      <c r="EAD60" s="53"/>
      <c r="EAE60" s="53"/>
      <c r="EAF60" s="53"/>
      <c r="EAG60" s="53"/>
      <c r="EAH60" s="53"/>
      <c r="EAI60" s="53"/>
      <c r="EAJ60" s="53"/>
      <c r="EAK60" s="53"/>
      <c r="EAL60" s="53"/>
      <c r="EAM60" s="53"/>
      <c r="EAN60" s="53"/>
      <c r="EAO60" s="53"/>
      <c r="EAP60" s="53"/>
      <c r="EAQ60" s="53"/>
      <c r="EAR60" s="53"/>
      <c r="EAS60" s="53"/>
      <c r="EAT60" s="53"/>
      <c r="EAU60" s="53"/>
      <c r="EAV60" s="53"/>
      <c r="EAW60" s="53"/>
      <c r="EAX60" s="53"/>
      <c r="EAY60" s="53"/>
      <c r="EAZ60" s="53"/>
      <c r="EBA60" s="53"/>
      <c r="EBB60" s="53"/>
      <c r="EBC60" s="53"/>
      <c r="EBD60" s="53"/>
      <c r="EBE60" s="53"/>
      <c r="EBF60" s="53"/>
      <c r="EBG60" s="53"/>
      <c r="EBH60" s="53"/>
      <c r="EBI60" s="53"/>
      <c r="EBJ60" s="53"/>
      <c r="EBK60" s="53"/>
      <c r="EBL60" s="53"/>
      <c r="EBM60" s="53"/>
      <c r="EBN60" s="53"/>
      <c r="EBO60" s="53"/>
      <c r="EBP60" s="53"/>
      <c r="EBQ60" s="53"/>
      <c r="EBR60" s="53"/>
      <c r="EBS60" s="53"/>
      <c r="EBT60" s="53"/>
      <c r="EBU60" s="53"/>
      <c r="EBV60" s="53"/>
      <c r="EBW60" s="53"/>
      <c r="EBX60" s="53"/>
      <c r="EBY60" s="53"/>
      <c r="EBZ60" s="53"/>
      <c r="ECA60" s="53"/>
      <c r="ECB60" s="53"/>
      <c r="ECC60" s="53"/>
      <c r="ECD60" s="53"/>
      <c r="ECE60" s="53"/>
      <c r="ECF60" s="53"/>
      <c r="ECG60" s="53"/>
      <c r="ECH60" s="53"/>
      <c r="ECI60" s="53"/>
      <c r="ECJ60" s="53"/>
      <c r="ECK60" s="53"/>
      <c r="ECL60" s="53"/>
      <c r="ECM60" s="53"/>
      <c r="ECN60" s="53"/>
      <c r="ECO60" s="53"/>
      <c r="ECP60" s="53"/>
      <c r="ECQ60" s="53"/>
      <c r="ECR60" s="53"/>
      <c r="ECS60" s="53"/>
      <c r="ECT60" s="53"/>
      <c r="ECU60" s="53"/>
      <c r="ECV60" s="53"/>
      <c r="ECW60" s="53"/>
      <c r="ECX60" s="53"/>
      <c r="ECY60" s="53"/>
      <c r="ECZ60" s="53"/>
      <c r="EDA60" s="53"/>
      <c r="EDB60" s="53"/>
      <c r="EDC60" s="53"/>
      <c r="EDD60" s="53"/>
      <c r="EDE60" s="53"/>
      <c r="EDF60" s="53"/>
      <c r="EDG60" s="53"/>
      <c r="EDH60" s="53"/>
      <c r="EDI60" s="53"/>
      <c r="EDJ60" s="53"/>
      <c r="EDK60" s="53"/>
      <c r="EDL60" s="53"/>
      <c r="EDM60" s="53"/>
      <c r="EDN60" s="53"/>
      <c r="EDO60" s="53"/>
      <c r="EDP60" s="53"/>
      <c r="EDQ60" s="53"/>
      <c r="EDR60" s="53"/>
      <c r="EDS60" s="53"/>
      <c r="EDT60" s="53"/>
      <c r="EDU60" s="53"/>
      <c r="EDV60" s="53"/>
      <c r="EDW60" s="53"/>
      <c r="EDX60" s="53"/>
      <c r="EDY60" s="53"/>
      <c r="EDZ60" s="53"/>
      <c r="EEA60" s="53"/>
      <c r="EEB60" s="53"/>
      <c r="EEC60" s="53"/>
      <c r="EED60" s="53"/>
      <c r="EEE60" s="53"/>
      <c r="EEF60" s="53"/>
      <c r="EEG60" s="53"/>
      <c r="EEH60" s="53"/>
      <c r="EEI60" s="53"/>
      <c r="EEJ60" s="53"/>
      <c r="EEK60" s="53"/>
      <c r="EEL60" s="53"/>
      <c r="EEM60" s="53"/>
      <c r="EEN60" s="53"/>
      <c r="EEO60" s="53"/>
      <c r="EEP60" s="53"/>
      <c r="EEQ60" s="53"/>
      <c r="EER60" s="53"/>
      <c r="EES60" s="53"/>
      <c r="EET60" s="53"/>
      <c r="EEU60" s="53"/>
      <c r="EEV60" s="53"/>
      <c r="EEW60" s="53"/>
      <c r="EEX60" s="53"/>
      <c r="EEY60" s="53"/>
      <c r="EEZ60" s="53"/>
      <c r="EFA60" s="53"/>
      <c r="EFB60" s="53"/>
      <c r="EFC60" s="53"/>
      <c r="EFD60" s="53"/>
      <c r="EFE60" s="53"/>
      <c r="EFF60" s="53"/>
      <c r="EFG60" s="53"/>
      <c r="EFH60" s="53"/>
      <c r="EFI60" s="53"/>
      <c r="EFJ60" s="53"/>
      <c r="EFK60" s="53"/>
      <c r="EFL60" s="53"/>
      <c r="EFM60" s="53"/>
      <c r="EFN60" s="53"/>
      <c r="EFO60" s="53"/>
      <c r="EFP60" s="53"/>
      <c r="EFQ60" s="53"/>
      <c r="EFR60" s="53"/>
      <c r="EFS60" s="53"/>
      <c r="EFT60" s="53"/>
      <c r="EFU60" s="53"/>
      <c r="EFV60" s="53"/>
      <c r="EFW60" s="53"/>
      <c r="EFX60" s="53"/>
      <c r="EFY60" s="53"/>
      <c r="EFZ60" s="53"/>
      <c r="EGA60" s="53"/>
      <c r="EGB60" s="53"/>
      <c r="EGC60" s="53"/>
      <c r="EGD60" s="53"/>
      <c r="EGE60" s="53"/>
      <c r="EGF60" s="53"/>
      <c r="EGG60" s="53"/>
      <c r="EGH60" s="53"/>
      <c r="EGI60" s="53"/>
      <c r="EGJ60" s="53"/>
      <c r="EGK60" s="53"/>
      <c r="EGL60" s="53"/>
      <c r="EGM60" s="53"/>
      <c r="EGN60" s="53"/>
      <c r="EGO60" s="53"/>
      <c r="EGP60" s="53"/>
      <c r="EGQ60" s="53"/>
      <c r="EGR60" s="53"/>
      <c r="EGS60" s="53"/>
      <c r="EGT60" s="53"/>
      <c r="EGU60" s="53"/>
      <c r="EGV60" s="53"/>
      <c r="EGW60" s="53"/>
      <c r="EGX60" s="53"/>
      <c r="EGY60" s="53"/>
      <c r="EGZ60" s="53"/>
      <c r="EHA60" s="53"/>
      <c r="EHB60" s="53"/>
      <c r="EHC60" s="53"/>
      <c r="EHD60" s="53"/>
      <c r="EHE60" s="53"/>
      <c r="EHF60" s="53"/>
      <c r="EHG60" s="53"/>
      <c r="EHH60" s="53"/>
      <c r="EHI60" s="53"/>
      <c r="EHJ60" s="53"/>
      <c r="EHK60" s="53"/>
      <c r="EHL60" s="53"/>
      <c r="EHM60" s="53"/>
      <c r="EHN60" s="53"/>
      <c r="EHO60" s="53"/>
      <c r="EHP60" s="53"/>
      <c r="EHQ60" s="53"/>
      <c r="EHR60" s="53"/>
      <c r="EHS60" s="53"/>
      <c r="EHT60" s="53"/>
      <c r="EHU60" s="53"/>
      <c r="EHV60" s="53"/>
      <c r="EHW60" s="53"/>
      <c r="EHX60" s="53"/>
      <c r="EHY60" s="53"/>
      <c r="EHZ60" s="53"/>
      <c r="EIA60" s="53"/>
      <c r="EIB60" s="53"/>
      <c r="EIC60" s="53"/>
      <c r="EID60" s="53"/>
      <c r="EIE60" s="53"/>
      <c r="EIF60" s="53"/>
      <c r="EIG60" s="53"/>
      <c r="EIH60" s="53"/>
      <c r="EII60" s="53"/>
      <c r="EIJ60" s="53"/>
      <c r="EIK60" s="53"/>
      <c r="EIL60" s="53"/>
      <c r="EIM60" s="53"/>
      <c r="EIN60" s="53"/>
      <c r="EIO60" s="53"/>
      <c r="EIP60" s="53"/>
      <c r="EIQ60" s="53"/>
      <c r="EIR60" s="53"/>
      <c r="EIS60" s="53"/>
      <c r="EIT60" s="53"/>
      <c r="EIU60" s="53"/>
      <c r="EIV60" s="53"/>
      <c r="EIW60" s="53"/>
      <c r="EIX60" s="53"/>
      <c r="EIY60" s="53"/>
      <c r="EIZ60" s="53"/>
      <c r="EJA60" s="53"/>
      <c r="EJB60" s="53"/>
      <c r="EJC60" s="53"/>
      <c r="EJD60" s="53"/>
      <c r="EJE60" s="53"/>
      <c r="EJF60" s="53"/>
      <c r="EJG60" s="53"/>
      <c r="EJH60" s="53"/>
      <c r="EJI60" s="53"/>
      <c r="EJJ60" s="53"/>
      <c r="EJK60" s="53"/>
      <c r="EJL60" s="53"/>
      <c r="EJM60" s="53"/>
      <c r="EJN60" s="53"/>
      <c r="EJO60" s="53"/>
      <c r="EJP60" s="53"/>
      <c r="EJQ60" s="53"/>
      <c r="EJR60" s="53"/>
      <c r="EJS60" s="53"/>
      <c r="EJT60" s="53"/>
      <c r="EJU60" s="53"/>
      <c r="EJV60" s="53"/>
      <c r="EJW60" s="53"/>
      <c r="EJX60" s="53"/>
      <c r="EJY60" s="53"/>
      <c r="EJZ60" s="53"/>
      <c r="EKA60" s="53"/>
      <c r="EKB60" s="53"/>
      <c r="EKC60" s="53"/>
      <c r="EKD60" s="53"/>
      <c r="EKE60" s="53"/>
      <c r="EKF60" s="53"/>
      <c r="EKG60" s="53"/>
      <c r="EKH60" s="53"/>
      <c r="EKI60" s="53"/>
      <c r="EKJ60" s="53"/>
      <c r="EKK60" s="53"/>
      <c r="EKL60" s="53"/>
      <c r="EKM60" s="53"/>
      <c r="EKN60" s="53"/>
      <c r="EKO60" s="53"/>
      <c r="EKP60" s="53"/>
      <c r="EKQ60" s="53"/>
      <c r="EKR60" s="53"/>
      <c r="EKS60" s="53"/>
      <c r="EKT60" s="53"/>
      <c r="EKU60" s="53"/>
      <c r="EKV60" s="53"/>
      <c r="EKW60" s="53"/>
      <c r="EKX60" s="53"/>
      <c r="EKY60" s="53"/>
      <c r="EKZ60" s="53"/>
      <c r="ELA60" s="53"/>
      <c r="ELB60" s="53"/>
      <c r="ELC60" s="53"/>
      <c r="ELD60" s="53"/>
      <c r="ELE60" s="53"/>
      <c r="ELF60" s="53"/>
      <c r="ELG60" s="53"/>
      <c r="ELH60" s="53"/>
      <c r="ELI60" s="53"/>
      <c r="ELJ60" s="53"/>
      <c r="ELK60" s="53"/>
      <c r="ELL60" s="53"/>
      <c r="ELM60" s="53"/>
      <c r="ELN60" s="53"/>
      <c r="ELO60" s="53"/>
      <c r="ELP60" s="53"/>
      <c r="ELQ60" s="53"/>
      <c r="ELR60" s="53"/>
      <c r="ELS60" s="53"/>
      <c r="ELT60" s="53"/>
      <c r="ELU60" s="53"/>
      <c r="ELV60" s="53"/>
      <c r="ELW60" s="53"/>
      <c r="ELX60" s="53"/>
      <c r="ELY60" s="53"/>
      <c r="ELZ60" s="53"/>
      <c r="EMA60" s="53"/>
      <c r="EMB60" s="53"/>
      <c r="EMC60" s="53"/>
      <c r="EMD60" s="53"/>
      <c r="EME60" s="53"/>
      <c r="EMF60" s="53"/>
      <c r="EMG60" s="53"/>
      <c r="EMH60" s="53"/>
      <c r="EMI60" s="53"/>
      <c r="EMJ60" s="53"/>
      <c r="EMK60" s="53"/>
      <c r="EML60" s="53"/>
      <c r="EMM60" s="53"/>
      <c r="EMN60" s="53"/>
      <c r="EMO60" s="53"/>
      <c r="EMP60" s="53"/>
      <c r="EMQ60" s="53"/>
      <c r="EMR60" s="53"/>
      <c r="EMS60" s="53"/>
      <c r="EMT60" s="53"/>
      <c r="EMU60" s="53"/>
      <c r="EMV60" s="53"/>
      <c r="EMW60" s="53"/>
      <c r="EMX60" s="53"/>
      <c r="EMY60" s="53"/>
      <c r="EMZ60" s="53"/>
      <c r="ENA60" s="53"/>
      <c r="ENB60" s="53"/>
      <c r="ENC60" s="53"/>
      <c r="END60" s="53"/>
      <c r="ENE60" s="53"/>
      <c r="ENF60" s="53"/>
      <c r="ENG60" s="53"/>
      <c r="ENH60" s="53"/>
      <c r="ENI60" s="53"/>
      <c r="ENJ60" s="53"/>
      <c r="ENK60" s="53"/>
      <c r="ENL60" s="53"/>
      <c r="ENM60" s="53"/>
      <c r="ENN60" s="53"/>
      <c r="ENO60" s="53"/>
      <c r="ENP60" s="53"/>
      <c r="ENQ60" s="53"/>
      <c r="ENR60" s="53"/>
      <c r="ENS60" s="53"/>
      <c r="ENT60" s="53"/>
      <c r="ENU60" s="53"/>
      <c r="ENV60" s="53"/>
      <c r="ENW60" s="53"/>
      <c r="ENX60" s="53"/>
      <c r="ENY60" s="53"/>
      <c r="ENZ60" s="53"/>
      <c r="EOA60" s="53"/>
      <c r="EOB60" s="53"/>
      <c r="EOC60" s="53"/>
      <c r="EOD60" s="53"/>
      <c r="EOE60" s="53"/>
      <c r="EOF60" s="53"/>
      <c r="EOG60" s="53"/>
      <c r="EOH60" s="53"/>
      <c r="EOI60" s="53"/>
      <c r="EOJ60" s="53"/>
      <c r="EOK60" s="53"/>
      <c r="EOL60" s="53"/>
      <c r="EOM60" s="53"/>
      <c r="EON60" s="53"/>
      <c r="EOO60" s="53"/>
      <c r="EOP60" s="53"/>
      <c r="EOQ60" s="53"/>
      <c r="EOR60" s="53"/>
      <c r="EOS60" s="53"/>
      <c r="EOT60" s="53"/>
      <c r="EOU60" s="53"/>
      <c r="EOV60" s="53"/>
      <c r="EOW60" s="53"/>
      <c r="EOX60" s="53"/>
      <c r="EOY60" s="53"/>
      <c r="EOZ60" s="53"/>
      <c r="EPA60" s="53"/>
      <c r="EPB60" s="53"/>
      <c r="EPC60" s="53"/>
      <c r="EPD60" s="53"/>
      <c r="EPE60" s="53"/>
      <c r="EPF60" s="53"/>
      <c r="EPG60" s="53"/>
      <c r="EPH60" s="53"/>
      <c r="EPI60" s="53"/>
      <c r="EPJ60" s="53"/>
      <c r="EPK60" s="53"/>
      <c r="EPL60" s="53"/>
      <c r="EPM60" s="53"/>
      <c r="EPN60" s="53"/>
      <c r="EPO60" s="53"/>
      <c r="EPP60" s="53"/>
      <c r="EPQ60" s="53"/>
      <c r="EPR60" s="53"/>
      <c r="EPS60" s="53"/>
      <c r="EPT60" s="53"/>
      <c r="EPU60" s="53"/>
      <c r="EPV60" s="53"/>
      <c r="EPW60" s="53"/>
      <c r="EPX60" s="53"/>
      <c r="EPY60" s="53"/>
      <c r="EPZ60" s="53"/>
      <c r="EQA60" s="53"/>
      <c r="EQB60" s="53"/>
      <c r="EQC60" s="53"/>
      <c r="EQD60" s="53"/>
      <c r="EQE60" s="53"/>
      <c r="EQF60" s="53"/>
      <c r="EQG60" s="53"/>
      <c r="EQH60" s="53"/>
      <c r="EQI60" s="53"/>
      <c r="EQJ60" s="53"/>
      <c r="EQK60" s="53"/>
      <c r="EQL60" s="53"/>
      <c r="EQM60" s="53"/>
      <c r="EQN60" s="53"/>
      <c r="EQO60" s="53"/>
      <c r="EQP60" s="53"/>
      <c r="EQQ60" s="53"/>
      <c r="EQR60" s="53"/>
      <c r="EQS60" s="53"/>
      <c r="EQT60" s="53"/>
      <c r="EQU60" s="53"/>
      <c r="EQV60" s="53"/>
      <c r="EQW60" s="53"/>
      <c r="EQX60" s="53"/>
      <c r="EQY60" s="53"/>
      <c r="EQZ60" s="53"/>
      <c r="ERA60" s="53"/>
      <c r="ERB60" s="53"/>
      <c r="ERC60" s="53"/>
      <c r="ERD60" s="53"/>
      <c r="ERE60" s="53"/>
      <c r="ERF60" s="53"/>
      <c r="ERG60" s="53"/>
      <c r="ERH60" s="53"/>
      <c r="ERI60" s="53"/>
      <c r="ERJ60" s="53"/>
      <c r="ERK60" s="53"/>
      <c r="ERL60" s="53"/>
      <c r="ERM60" s="53"/>
      <c r="ERN60" s="53"/>
      <c r="ERO60" s="53"/>
      <c r="ERP60" s="53"/>
      <c r="ERQ60" s="53"/>
      <c r="ERR60" s="53"/>
      <c r="ERS60" s="53"/>
      <c r="ERT60" s="53"/>
      <c r="ERU60" s="53"/>
      <c r="ERV60" s="53"/>
      <c r="ERW60" s="53"/>
      <c r="ERX60" s="53"/>
      <c r="ERY60" s="53"/>
      <c r="ERZ60" s="53"/>
      <c r="ESA60" s="53"/>
      <c r="ESB60" s="53"/>
      <c r="ESC60" s="53"/>
      <c r="ESD60" s="53"/>
      <c r="ESE60" s="53"/>
      <c r="ESF60" s="53"/>
      <c r="ESG60" s="53"/>
      <c r="ESH60" s="53"/>
      <c r="ESI60" s="53"/>
      <c r="ESJ60" s="53"/>
      <c r="ESK60" s="53"/>
      <c r="ESL60" s="53"/>
      <c r="ESM60" s="53"/>
      <c r="ESN60" s="53"/>
      <c r="ESO60" s="53"/>
      <c r="ESP60" s="53"/>
      <c r="ESQ60" s="53"/>
      <c r="ESR60" s="53"/>
      <c r="ESS60" s="53"/>
      <c r="EST60" s="53"/>
      <c r="ESU60" s="53"/>
      <c r="ESV60" s="53"/>
      <c r="ESW60" s="53"/>
      <c r="ESX60" s="53"/>
      <c r="ESY60" s="53"/>
      <c r="ESZ60" s="53"/>
      <c r="ETA60" s="53"/>
      <c r="ETB60" s="53"/>
      <c r="ETC60" s="53"/>
      <c r="ETD60" s="53"/>
      <c r="ETE60" s="53"/>
      <c r="ETF60" s="53"/>
      <c r="ETG60" s="53"/>
      <c r="ETH60" s="53"/>
      <c r="ETI60" s="53"/>
      <c r="ETJ60" s="53"/>
      <c r="ETK60" s="53"/>
      <c r="ETL60" s="53"/>
      <c r="ETM60" s="53"/>
      <c r="ETN60" s="53"/>
      <c r="ETO60" s="53"/>
      <c r="ETP60" s="53"/>
      <c r="ETQ60" s="53"/>
      <c r="ETR60" s="53"/>
      <c r="ETS60" s="53"/>
      <c r="ETT60" s="53"/>
      <c r="ETU60" s="53"/>
      <c r="ETV60" s="53"/>
      <c r="ETW60" s="53"/>
      <c r="ETX60" s="53"/>
      <c r="ETY60" s="53"/>
      <c r="ETZ60" s="53"/>
      <c r="EUA60" s="53"/>
      <c r="EUB60" s="53"/>
      <c r="EUC60" s="53"/>
      <c r="EUD60" s="53"/>
      <c r="EUE60" s="53"/>
      <c r="EUF60" s="53"/>
      <c r="EUG60" s="53"/>
      <c r="EUH60" s="53"/>
      <c r="EUI60" s="53"/>
      <c r="EUJ60" s="53"/>
      <c r="EUK60" s="53"/>
      <c r="EUL60" s="53"/>
      <c r="EUM60" s="53"/>
      <c r="EUN60" s="53"/>
      <c r="EUO60" s="53"/>
      <c r="EUP60" s="53"/>
      <c r="EUQ60" s="53"/>
      <c r="EUR60" s="53"/>
      <c r="EUS60" s="53"/>
      <c r="EUT60" s="53"/>
      <c r="EUU60" s="53"/>
      <c r="EUV60" s="53"/>
      <c r="EUW60" s="53"/>
      <c r="EUX60" s="53"/>
      <c r="EUY60" s="53"/>
      <c r="EUZ60" s="53"/>
      <c r="EVA60" s="53"/>
      <c r="EVB60" s="53"/>
      <c r="EVC60" s="53"/>
      <c r="EVD60" s="53"/>
      <c r="EVE60" s="53"/>
      <c r="EVF60" s="53"/>
      <c r="EVG60" s="53"/>
      <c r="EVH60" s="53"/>
      <c r="EVI60" s="53"/>
      <c r="EVJ60" s="53"/>
      <c r="EVK60" s="53"/>
      <c r="EVL60" s="53"/>
      <c r="EVM60" s="53"/>
      <c r="EVN60" s="53"/>
      <c r="EVO60" s="53"/>
      <c r="EVP60" s="53"/>
      <c r="EVQ60" s="53"/>
      <c r="EVR60" s="53"/>
      <c r="EVS60" s="53"/>
      <c r="EVT60" s="53"/>
      <c r="EVU60" s="53"/>
      <c r="EVV60" s="53"/>
      <c r="EVW60" s="53"/>
      <c r="EVX60" s="53"/>
      <c r="EVY60" s="53"/>
      <c r="EVZ60" s="53"/>
      <c r="EWA60" s="53"/>
      <c r="EWB60" s="53"/>
      <c r="EWC60" s="53"/>
      <c r="EWD60" s="53"/>
      <c r="EWE60" s="53"/>
      <c r="EWF60" s="53"/>
      <c r="EWG60" s="53"/>
      <c r="EWH60" s="53"/>
      <c r="EWI60" s="53"/>
      <c r="EWJ60" s="53"/>
      <c r="EWK60" s="53"/>
      <c r="EWL60" s="53"/>
      <c r="EWM60" s="53"/>
      <c r="EWN60" s="53"/>
      <c r="EWO60" s="53"/>
      <c r="EWP60" s="53"/>
      <c r="EWQ60" s="53"/>
      <c r="EWR60" s="53"/>
      <c r="EWS60" s="53"/>
      <c r="EWT60" s="53"/>
      <c r="EWU60" s="53"/>
      <c r="EWV60" s="53"/>
      <c r="EWW60" s="53"/>
      <c r="EWX60" s="53"/>
      <c r="EWY60" s="53"/>
      <c r="EWZ60" s="53"/>
      <c r="EXA60" s="53"/>
      <c r="EXB60" s="53"/>
      <c r="EXC60" s="53"/>
      <c r="EXD60" s="53"/>
      <c r="EXE60" s="53"/>
      <c r="EXF60" s="53"/>
      <c r="EXG60" s="53"/>
      <c r="EXH60" s="53"/>
      <c r="EXI60" s="53"/>
      <c r="EXJ60" s="53"/>
      <c r="EXK60" s="53"/>
      <c r="EXL60" s="53"/>
      <c r="EXM60" s="53"/>
      <c r="EXN60" s="53"/>
      <c r="EXO60" s="53"/>
      <c r="EXP60" s="53"/>
      <c r="EXQ60" s="53"/>
      <c r="EXR60" s="53"/>
      <c r="EXS60" s="53"/>
      <c r="EXT60" s="53"/>
      <c r="EXU60" s="53"/>
      <c r="EXV60" s="53"/>
      <c r="EXW60" s="53"/>
      <c r="EXX60" s="53"/>
      <c r="EXY60" s="53"/>
      <c r="EXZ60" s="53"/>
      <c r="EYA60" s="53"/>
      <c r="EYB60" s="53"/>
      <c r="EYC60" s="53"/>
      <c r="EYD60" s="53"/>
      <c r="EYE60" s="53"/>
      <c r="EYF60" s="53"/>
      <c r="EYG60" s="53"/>
      <c r="EYH60" s="53"/>
      <c r="EYI60" s="53"/>
      <c r="EYJ60" s="53"/>
      <c r="EYK60" s="53"/>
      <c r="EYL60" s="53"/>
      <c r="EYM60" s="53"/>
      <c r="EYN60" s="53"/>
      <c r="EYO60" s="53"/>
      <c r="EYP60" s="53"/>
      <c r="EYQ60" s="53"/>
      <c r="EYR60" s="53"/>
      <c r="EYS60" s="53"/>
      <c r="EYT60" s="53"/>
      <c r="EYU60" s="53"/>
      <c r="EYV60" s="53"/>
      <c r="EYW60" s="53"/>
      <c r="EYX60" s="53"/>
      <c r="EYY60" s="53"/>
      <c r="EYZ60" s="53"/>
      <c r="EZA60" s="53"/>
      <c r="EZB60" s="53"/>
      <c r="EZC60" s="53"/>
      <c r="EZD60" s="53"/>
      <c r="EZE60" s="53"/>
      <c r="EZF60" s="53"/>
      <c r="EZG60" s="53"/>
      <c r="EZH60" s="53"/>
      <c r="EZI60" s="53"/>
      <c r="EZJ60" s="53"/>
      <c r="EZK60" s="53"/>
      <c r="EZL60" s="53"/>
      <c r="EZM60" s="53"/>
      <c r="EZN60" s="53"/>
      <c r="EZO60" s="53"/>
      <c r="EZP60" s="53"/>
      <c r="EZQ60" s="53"/>
      <c r="EZR60" s="53"/>
      <c r="EZS60" s="53"/>
      <c r="EZT60" s="53"/>
      <c r="EZU60" s="53"/>
      <c r="EZV60" s="53"/>
      <c r="EZW60" s="53"/>
      <c r="EZX60" s="53"/>
      <c r="EZY60" s="53"/>
      <c r="EZZ60" s="53"/>
      <c r="FAA60" s="53"/>
      <c r="FAB60" s="53"/>
      <c r="FAC60" s="53"/>
      <c r="FAD60" s="53"/>
      <c r="FAE60" s="53"/>
      <c r="FAF60" s="53"/>
      <c r="FAG60" s="53"/>
      <c r="FAH60" s="53"/>
      <c r="FAI60" s="53"/>
      <c r="FAJ60" s="53"/>
      <c r="FAK60" s="53"/>
      <c r="FAL60" s="53"/>
      <c r="FAM60" s="53"/>
      <c r="FAN60" s="53"/>
      <c r="FAO60" s="53"/>
      <c r="FAP60" s="53"/>
      <c r="FAQ60" s="53"/>
      <c r="FAR60" s="53"/>
      <c r="FAS60" s="53"/>
      <c r="FAT60" s="53"/>
      <c r="FAU60" s="53"/>
      <c r="FAV60" s="53"/>
      <c r="FAW60" s="53"/>
      <c r="FAX60" s="53"/>
      <c r="FAY60" s="53"/>
      <c r="FAZ60" s="53"/>
      <c r="FBA60" s="53"/>
      <c r="FBB60" s="53"/>
      <c r="FBC60" s="53"/>
      <c r="FBD60" s="53"/>
      <c r="FBE60" s="53"/>
      <c r="FBF60" s="53"/>
      <c r="FBG60" s="53"/>
      <c r="FBH60" s="53"/>
      <c r="FBI60" s="53"/>
      <c r="FBJ60" s="53"/>
      <c r="FBK60" s="53"/>
      <c r="FBL60" s="53"/>
      <c r="FBM60" s="53"/>
      <c r="FBN60" s="53"/>
      <c r="FBO60" s="53"/>
      <c r="FBP60" s="53"/>
      <c r="FBQ60" s="53"/>
      <c r="FBR60" s="53"/>
      <c r="FBS60" s="53"/>
      <c r="FBT60" s="53"/>
      <c r="FBU60" s="53"/>
      <c r="FBV60" s="53"/>
      <c r="FBW60" s="53"/>
      <c r="FBX60" s="53"/>
      <c r="FBY60" s="53"/>
      <c r="FBZ60" s="53"/>
      <c r="FCA60" s="53"/>
      <c r="FCB60" s="53"/>
      <c r="FCC60" s="53"/>
      <c r="FCD60" s="53"/>
      <c r="FCE60" s="53"/>
      <c r="FCF60" s="53"/>
      <c r="FCG60" s="53"/>
      <c r="FCH60" s="53"/>
      <c r="FCI60" s="53"/>
      <c r="FCJ60" s="53"/>
      <c r="FCK60" s="53"/>
      <c r="FCL60" s="53"/>
      <c r="FCM60" s="53"/>
      <c r="FCN60" s="53"/>
      <c r="FCO60" s="53"/>
      <c r="FCP60" s="53"/>
      <c r="FCQ60" s="53"/>
      <c r="FCR60" s="53"/>
      <c r="FCS60" s="53"/>
      <c r="FCT60" s="53"/>
      <c r="FCU60" s="53"/>
      <c r="FCV60" s="53"/>
      <c r="FCW60" s="53"/>
      <c r="FCX60" s="53"/>
      <c r="FCY60" s="53"/>
      <c r="FCZ60" s="53"/>
      <c r="FDA60" s="53"/>
      <c r="FDB60" s="53"/>
      <c r="FDC60" s="53"/>
      <c r="FDD60" s="53"/>
      <c r="FDE60" s="53"/>
      <c r="FDF60" s="53"/>
      <c r="FDG60" s="53"/>
      <c r="FDH60" s="53"/>
      <c r="FDI60" s="53"/>
      <c r="FDJ60" s="53"/>
      <c r="FDK60" s="53"/>
      <c r="FDL60" s="53"/>
      <c r="FDM60" s="53"/>
      <c r="FDN60" s="53"/>
      <c r="FDO60" s="53"/>
      <c r="FDP60" s="53"/>
      <c r="FDQ60" s="53"/>
      <c r="FDR60" s="53"/>
      <c r="FDS60" s="53"/>
      <c r="FDT60" s="53"/>
      <c r="FDU60" s="53"/>
      <c r="FDV60" s="53"/>
      <c r="FDW60" s="53"/>
      <c r="FDX60" s="53"/>
      <c r="FDY60" s="53"/>
      <c r="FDZ60" s="53"/>
      <c r="FEA60" s="53"/>
      <c r="FEB60" s="53"/>
      <c r="FEC60" s="53"/>
      <c r="FED60" s="53"/>
      <c r="FEE60" s="53"/>
      <c r="FEF60" s="53"/>
      <c r="FEG60" s="53"/>
      <c r="FEH60" s="53"/>
      <c r="FEI60" s="53"/>
      <c r="FEJ60" s="53"/>
      <c r="FEK60" s="53"/>
      <c r="FEL60" s="53"/>
      <c r="FEM60" s="53"/>
      <c r="FEN60" s="53"/>
      <c r="FEO60" s="53"/>
      <c r="FEP60" s="53"/>
      <c r="FEQ60" s="53"/>
      <c r="FER60" s="53"/>
      <c r="FES60" s="53"/>
      <c r="FET60" s="53"/>
      <c r="FEU60" s="53"/>
      <c r="FEV60" s="53"/>
      <c r="FEW60" s="53"/>
      <c r="FEX60" s="53"/>
      <c r="FEY60" s="53"/>
      <c r="FEZ60" s="53"/>
      <c r="FFA60" s="53"/>
      <c r="FFB60" s="53"/>
      <c r="FFC60" s="53"/>
      <c r="FFD60" s="53"/>
      <c r="FFE60" s="53"/>
      <c r="FFF60" s="53"/>
      <c r="FFG60" s="53"/>
      <c r="FFH60" s="53"/>
      <c r="FFI60" s="53"/>
      <c r="FFJ60" s="53"/>
      <c r="FFK60" s="53"/>
      <c r="FFL60" s="53"/>
      <c r="FFM60" s="53"/>
      <c r="FFN60" s="53"/>
      <c r="FFO60" s="53"/>
      <c r="FFP60" s="53"/>
      <c r="FFQ60" s="53"/>
      <c r="FFR60" s="53"/>
      <c r="FFS60" s="53"/>
      <c r="FFT60" s="53"/>
      <c r="FFU60" s="53"/>
      <c r="FFV60" s="53"/>
      <c r="FFW60" s="53"/>
      <c r="FFX60" s="53"/>
      <c r="FFY60" s="53"/>
      <c r="FFZ60" s="53"/>
      <c r="FGA60" s="53"/>
      <c r="FGB60" s="53"/>
      <c r="FGC60" s="53"/>
      <c r="FGD60" s="53"/>
      <c r="FGE60" s="53"/>
      <c r="FGF60" s="53"/>
      <c r="FGG60" s="53"/>
      <c r="FGH60" s="53"/>
      <c r="FGI60" s="53"/>
      <c r="FGJ60" s="53"/>
      <c r="FGK60" s="53"/>
      <c r="FGL60" s="53"/>
      <c r="FGM60" s="53"/>
      <c r="FGN60" s="53"/>
      <c r="FGO60" s="53"/>
      <c r="FGP60" s="53"/>
      <c r="FGQ60" s="53"/>
      <c r="FGR60" s="53"/>
      <c r="FGS60" s="53"/>
      <c r="FGT60" s="53"/>
      <c r="FGU60" s="53"/>
      <c r="FGV60" s="53"/>
      <c r="FGW60" s="53"/>
      <c r="FGX60" s="53"/>
      <c r="FGY60" s="53"/>
      <c r="FGZ60" s="53"/>
      <c r="FHA60" s="53"/>
      <c r="FHB60" s="53"/>
      <c r="FHC60" s="53"/>
      <c r="FHD60" s="53"/>
      <c r="FHE60" s="53"/>
      <c r="FHF60" s="53"/>
      <c r="FHG60" s="53"/>
      <c r="FHH60" s="53"/>
      <c r="FHI60" s="53"/>
      <c r="FHJ60" s="53"/>
      <c r="FHK60" s="53"/>
      <c r="FHL60" s="53"/>
      <c r="FHM60" s="53"/>
      <c r="FHN60" s="53"/>
      <c r="FHO60" s="53"/>
      <c r="FHP60" s="53"/>
      <c r="FHQ60" s="53"/>
      <c r="FHR60" s="53"/>
      <c r="FHS60" s="53"/>
      <c r="FHT60" s="53"/>
      <c r="FHU60" s="53"/>
      <c r="FHV60" s="53"/>
      <c r="FHW60" s="53"/>
      <c r="FHX60" s="53"/>
      <c r="FHY60" s="53"/>
      <c r="FHZ60" s="53"/>
      <c r="FIA60" s="53"/>
      <c r="FIB60" s="53"/>
      <c r="FIC60" s="53"/>
      <c r="FID60" s="53"/>
      <c r="FIE60" s="53"/>
      <c r="FIF60" s="53"/>
      <c r="FIG60" s="53"/>
      <c r="FIH60" s="53"/>
      <c r="FII60" s="53"/>
      <c r="FIJ60" s="53"/>
      <c r="FIK60" s="53"/>
      <c r="FIL60" s="53"/>
      <c r="FIM60" s="53"/>
      <c r="FIN60" s="53"/>
      <c r="FIO60" s="53"/>
      <c r="FIP60" s="53"/>
      <c r="FIQ60" s="53"/>
      <c r="FIR60" s="53"/>
      <c r="FIS60" s="53"/>
      <c r="FIT60" s="53"/>
      <c r="FIU60" s="53"/>
      <c r="FIV60" s="53"/>
      <c r="FIW60" s="53"/>
      <c r="FIX60" s="53"/>
      <c r="FIY60" s="53"/>
      <c r="FIZ60" s="53"/>
      <c r="FJA60" s="53"/>
      <c r="FJB60" s="53"/>
      <c r="FJC60" s="53"/>
      <c r="FJD60" s="53"/>
      <c r="FJE60" s="53"/>
      <c r="FJF60" s="53"/>
      <c r="FJG60" s="53"/>
      <c r="FJH60" s="53"/>
      <c r="FJI60" s="53"/>
      <c r="FJJ60" s="53"/>
      <c r="FJK60" s="53"/>
      <c r="FJL60" s="53"/>
      <c r="FJM60" s="53"/>
      <c r="FJN60" s="53"/>
      <c r="FJO60" s="53"/>
      <c r="FJP60" s="53"/>
      <c r="FJQ60" s="53"/>
      <c r="FJR60" s="53"/>
      <c r="FJS60" s="53"/>
      <c r="FJT60" s="53"/>
      <c r="FJU60" s="53"/>
      <c r="FJV60" s="53"/>
      <c r="FJW60" s="53"/>
      <c r="FJX60" s="53"/>
      <c r="FJY60" s="53"/>
      <c r="FJZ60" s="53"/>
      <c r="FKA60" s="53"/>
      <c r="FKB60" s="53"/>
      <c r="FKC60" s="53"/>
      <c r="FKD60" s="53"/>
      <c r="FKE60" s="53"/>
      <c r="FKF60" s="53"/>
      <c r="FKG60" s="53"/>
      <c r="FKH60" s="53"/>
      <c r="FKI60" s="53"/>
      <c r="FKJ60" s="53"/>
      <c r="FKK60" s="53"/>
      <c r="FKL60" s="53"/>
      <c r="FKM60" s="53"/>
      <c r="FKN60" s="53"/>
      <c r="FKO60" s="53"/>
      <c r="FKP60" s="53"/>
      <c r="FKQ60" s="53"/>
      <c r="FKR60" s="53"/>
      <c r="FKS60" s="53"/>
      <c r="FKT60" s="53"/>
      <c r="FKU60" s="53"/>
      <c r="FKV60" s="53"/>
      <c r="FKW60" s="53"/>
      <c r="FKX60" s="53"/>
      <c r="FKY60" s="53"/>
      <c r="FKZ60" s="53"/>
      <c r="FLA60" s="53"/>
      <c r="FLB60" s="53"/>
      <c r="FLC60" s="53"/>
      <c r="FLD60" s="53"/>
      <c r="FLE60" s="53"/>
      <c r="FLF60" s="53"/>
      <c r="FLG60" s="53"/>
      <c r="FLH60" s="53"/>
      <c r="FLI60" s="53"/>
      <c r="FLJ60" s="53"/>
      <c r="FLK60" s="53"/>
      <c r="FLL60" s="53"/>
      <c r="FLM60" s="53"/>
      <c r="FLN60" s="53"/>
      <c r="FLO60" s="53"/>
      <c r="FLP60" s="53"/>
      <c r="FLQ60" s="53"/>
      <c r="FLR60" s="53"/>
      <c r="FLS60" s="53"/>
      <c r="FLT60" s="53"/>
      <c r="FLU60" s="53"/>
      <c r="FLV60" s="53"/>
      <c r="FLW60" s="53"/>
      <c r="FLX60" s="53"/>
      <c r="FLY60" s="53"/>
      <c r="FLZ60" s="53"/>
      <c r="FMA60" s="53"/>
      <c r="FMB60" s="53"/>
      <c r="FMC60" s="53"/>
      <c r="FMD60" s="53"/>
      <c r="FME60" s="53"/>
      <c r="FMF60" s="53"/>
      <c r="FMG60" s="53"/>
      <c r="FMH60" s="53"/>
      <c r="FMI60" s="53"/>
      <c r="FMJ60" s="53"/>
      <c r="FMK60" s="53"/>
      <c r="FML60" s="53"/>
      <c r="FMM60" s="53"/>
      <c r="FMN60" s="53"/>
      <c r="FMO60" s="53"/>
      <c r="FMP60" s="53"/>
      <c r="FMQ60" s="53"/>
      <c r="FMR60" s="53"/>
      <c r="FMS60" s="53"/>
      <c r="FMT60" s="53"/>
      <c r="FMU60" s="53"/>
      <c r="FMV60" s="53"/>
      <c r="FMW60" s="53"/>
      <c r="FMX60" s="53"/>
      <c r="FMY60" s="53"/>
      <c r="FMZ60" s="53"/>
      <c r="FNA60" s="53"/>
      <c r="FNB60" s="53"/>
      <c r="FNC60" s="53"/>
      <c r="FND60" s="53"/>
      <c r="FNE60" s="53"/>
      <c r="FNF60" s="53"/>
      <c r="FNG60" s="53"/>
      <c r="FNH60" s="53"/>
      <c r="FNI60" s="53"/>
      <c r="FNJ60" s="53"/>
      <c r="FNK60" s="53"/>
      <c r="FNL60" s="53"/>
      <c r="FNM60" s="53"/>
      <c r="FNN60" s="53"/>
      <c r="FNO60" s="53"/>
      <c r="FNP60" s="53"/>
      <c r="FNQ60" s="53"/>
      <c r="FNR60" s="53"/>
      <c r="FNS60" s="53"/>
      <c r="FNT60" s="53"/>
      <c r="FNU60" s="53"/>
      <c r="FNV60" s="53"/>
      <c r="FNW60" s="53"/>
      <c r="FNX60" s="53"/>
      <c r="FNY60" s="53"/>
      <c r="FNZ60" s="53"/>
      <c r="FOA60" s="53"/>
      <c r="FOB60" s="53"/>
      <c r="FOC60" s="53"/>
      <c r="FOD60" s="53"/>
      <c r="FOE60" s="53"/>
      <c r="FOF60" s="53"/>
      <c r="FOG60" s="53"/>
      <c r="FOH60" s="53"/>
      <c r="FOI60" s="53"/>
      <c r="FOJ60" s="53"/>
      <c r="FOK60" s="53"/>
      <c r="FOL60" s="53"/>
      <c r="FOM60" s="53"/>
      <c r="FON60" s="53"/>
      <c r="FOO60" s="53"/>
      <c r="FOP60" s="53"/>
      <c r="FOQ60" s="53"/>
      <c r="FOR60" s="53"/>
      <c r="FOS60" s="53"/>
      <c r="FOT60" s="53"/>
      <c r="FOU60" s="53"/>
      <c r="FOV60" s="53"/>
      <c r="FOW60" s="53"/>
      <c r="FOX60" s="53"/>
      <c r="FOY60" s="53"/>
      <c r="FOZ60" s="53"/>
      <c r="FPA60" s="53"/>
      <c r="FPB60" s="53"/>
      <c r="FPC60" s="53"/>
      <c r="FPD60" s="53"/>
      <c r="FPE60" s="53"/>
      <c r="FPF60" s="53"/>
      <c r="FPG60" s="53"/>
      <c r="FPH60" s="53"/>
      <c r="FPI60" s="53"/>
      <c r="FPJ60" s="53"/>
      <c r="FPK60" s="53"/>
      <c r="FPL60" s="53"/>
      <c r="FPM60" s="53"/>
      <c r="FPN60" s="53"/>
      <c r="FPO60" s="53"/>
      <c r="FPP60" s="53"/>
      <c r="FPQ60" s="53"/>
      <c r="FPR60" s="53"/>
      <c r="FPS60" s="53"/>
      <c r="FPT60" s="53"/>
      <c r="FPU60" s="53"/>
      <c r="FPV60" s="53"/>
      <c r="FPW60" s="53"/>
      <c r="FPX60" s="53"/>
      <c r="FPY60" s="53"/>
      <c r="FPZ60" s="53"/>
      <c r="FQA60" s="53"/>
      <c r="FQB60" s="53"/>
      <c r="FQC60" s="53"/>
      <c r="FQD60" s="53"/>
      <c r="FQE60" s="53"/>
      <c r="FQF60" s="53"/>
      <c r="FQG60" s="53"/>
      <c r="FQH60" s="53"/>
      <c r="FQI60" s="53"/>
      <c r="FQJ60" s="53"/>
      <c r="FQK60" s="53"/>
      <c r="FQL60" s="53"/>
      <c r="FQM60" s="53"/>
      <c r="FQN60" s="53"/>
      <c r="FQO60" s="53"/>
      <c r="FQP60" s="53"/>
      <c r="FQQ60" s="53"/>
      <c r="FQR60" s="53"/>
      <c r="FQS60" s="53"/>
      <c r="FQT60" s="53"/>
      <c r="FQU60" s="53"/>
      <c r="FQV60" s="53"/>
      <c r="FQW60" s="53"/>
      <c r="FQX60" s="53"/>
      <c r="FQY60" s="53"/>
      <c r="FQZ60" s="53"/>
      <c r="FRA60" s="53"/>
      <c r="FRB60" s="53"/>
      <c r="FRC60" s="53"/>
      <c r="FRD60" s="53"/>
      <c r="FRE60" s="53"/>
      <c r="FRF60" s="53"/>
      <c r="FRG60" s="53"/>
      <c r="FRH60" s="53"/>
      <c r="FRI60" s="53"/>
      <c r="FRJ60" s="53"/>
      <c r="FRK60" s="53"/>
      <c r="FRL60" s="53"/>
      <c r="FRM60" s="53"/>
      <c r="FRN60" s="53"/>
      <c r="FRO60" s="53"/>
      <c r="FRP60" s="53"/>
      <c r="FRQ60" s="53"/>
      <c r="FRR60" s="53"/>
      <c r="FRS60" s="53"/>
      <c r="FRT60" s="53"/>
      <c r="FRU60" s="53"/>
      <c r="FRV60" s="53"/>
      <c r="FRW60" s="53"/>
      <c r="FRX60" s="53"/>
      <c r="FRY60" s="53"/>
      <c r="FRZ60" s="53"/>
      <c r="FSA60" s="53"/>
      <c r="FSB60" s="53"/>
      <c r="FSC60" s="53"/>
      <c r="FSD60" s="53"/>
      <c r="FSE60" s="53"/>
      <c r="FSF60" s="53"/>
      <c r="FSG60" s="53"/>
      <c r="FSH60" s="53"/>
      <c r="FSI60" s="53"/>
      <c r="FSJ60" s="53"/>
      <c r="FSK60" s="53"/>
      <c r="FSL60" s="53"/>
      <c r="FSM60" s="53"/>
      <c r="FSN60" s="53"/>
      <c r="FSO60" s="53"/>
      <c r="FSP60" s="53"/>
      <c r="FSQ60" s="53"/>
      <c r="FSR60" s="53"/>
      <c r="FSS60" s="53"/>
      <c r="FST60" s="53"/>
      <c r="FSU60" s="53"/>
      <c r="FSV60" s="53"/>
      <c r="FSW60" s="53"/>
      <c r="FSX60" s="53"/>
      <c r="FSY60" s="53"/>
      <c r="FSZ60" s="53"/>
      <c r="FTA60" s="53"/>
      <c r="FTB60" s="53"/>
      <c r="FTC60" s="53"/>
      <c r="FTD60" s="53"/>
      <c r="FTE60" s="53"/>
      <c r="FTF60" s="53"/>
      <c r="FTG60" s="53"/>
      <c r="FTH60" s="53"/>
      <c r="FTI60" s="53"/>
      <c r="FTJ60" s="53"/>
      <c r="FTK60" s="53"/>
      <c r="FTL60" s="53"/>
      <c r="FTM60" s="53"/>
      <c r="FTN60" s="53"/>
      <c r="FTO60" s="53"/>
      <c r="FTP60" s="53"/>
      <c r="FTQ60" s="53"/>
      <c r="FTR60" s="53"/>
      <c r="FTS60" s="53"/>
      <c r="FTT60" s="53"/>
      <c r="FTU60" s="53"/>
      <c r="FTV60" s="53"/>
      <c r="FTW60" s="53"/>
      <c r="FTX60" s="53"/>
      <c r="FTY60" s="53"/>
      <c r="FTZ60" s="53"/>
      <c r="FUA60" s="53"/>
      <c r="FUB60" s="53"/>
      <c r="FUC60" s="53"/>
      <c r="FUD60" s="53"/>
      <c r="FUE60" s="53"/>
      <c r="FUF60" s="53"/>
      <c r="FUG60" s="53"/>
      <c r="FUH60" s="53"/>
      <c r="FUI60" s="53"/>
      <c r="FUJ60" s="53"/>
      <c r="FUK60" s="53"/>
      <c r="FUL60" s="53"/>
      <c r="FUM60" s="53"/>
      <c r="FUN60" s="53"/>
      <c r="FUO60" s="53"/>
      <c r="FUP60" s="53"/>
      <c r="FUQ60" s="53"/>
      <c r="FUR60" s="53"/>
      <c r="FUS60" s="53"/>
      <c r="FUT60" s="53"/>
      <c r="FUU60" s="53"/>
      <c r="FUV60" s="53"/>
      <c r="FUW60" s="53"/>
      <c r="FUX60" s="53"/>
      <c r="FUY60" s="53"/>
      <c r="FUZ60" s="53"/>
      <c r="FVA60" s="53"/>
      <c r="FVB60" s="53"/>
      <c r="FVC60" s="53"/>
      <c r="FVD60" s="53"/>
      <c r="FVE60" s="53"/>
      <c r="FVF60" s="53"/>
      <c r="FVG60" s="53"/>
      <c r="FVH60" s="53"/>
      <c r="FVI60" s="53"/>
      <c r="FVJ60" s="53"/>
      <c r="FVK60" s="53"/>
      <c r="FVL60" s="53"/>
      <c r="FVM60" s="53"/>
      <c r="FVN60" s="53"/>
      <c r="FVO60" s="53"/>
      <c r="FVP60" s="53"/>
      <c r="FVQ60" s="53"/>
      <c r="FVR60" s="53"/>
      <c r="FVS60" s="53"/>
      <c r="FVT60" s="53"/>
      <c r="FVU60" s="53"/>
      <c r="FVV60" s="53"/>
      <c r="FVW60" s="53"/>
      <c r="FVX60" s="53"/>
      <c r="FVY60" s="53"/>
      <c r="FVZ60" s="53"/>
      <c r="FWA60" s="53"/>
      <c r="FWB60" s="53"/>
      <c r="FWC60" s="53"/>
      <c r="FWD60" s="53"/>
      <c r="FWE60" s="53"/>
      <c r="FWF60" s="53"/>
      <c r="FWG60" s="53"/>
      <c r="FWH60" s="53"/>
      <c r="FWI60" s="53"/>
      <c r="FWJ60" s="53"/>
      <c r="FWK60" s="53"/>
      <c r="FWL60" s="53"/>
      <c r="FWM60" s="53"/>
      <c r="FWN60" s="53"/>
      <c r="FWO60" s="53"/>
      <c r="FWP60" s="53"/>
      <c r="FWQ60" s="53"/>
      <c r="FWR60" s="53"/>
      <c r="FWS60" s="53"/>
      <c r="FWT60" s="53"/>
      <c r="FWU60" s="53"/>
      <c r="FWV60" s="53"/>
      <c r="FWW60" s="53"/>
      <c r="FWX60" s="53"/>
      <c r="FWY60" s="53"/>
      <c r="FWZ60" s="53"/>
      <c r="FXA60" s="53"/>
      <c r="FXB60" s="53"/>
      <c r="FXC60" s="53"/>
      <c r="FXD60" s="53"/>
      <c r="FXE60" s="53"/>
      <c r="FXF60" s="53"/>
      <c r="FXG60" s="53"/>
      <c r="FXH60" s="53"/>
      <c r="FXI60" s="53"/>
      <c r="FXJ60" s="53"/>
      <c r="FXK60" s="53"/>
      <c r="FXL60" s="53"/>
      <c r="FXM60" s="53"/>
      <c r="FXN60" s="53"/>
      <c r="FXO60" s="53"/>
      <c r="FXP60" s="53"/>
      <c r="FXQ60" s="53"/>
      <c r="FXR60" s="53"/>
      <c r="FXS60" s="53"/>
      <c r="FXT60" s="53"/>
      <c r="FXU60" s="53"/>
      <c r="FXV60" s="53"/>
      <c r="FXW60" s="53"/>
      <c r="FXX60" s="53"/>
      <c r="FXY60" s="53"/>
      <c r="FXZ60" s="53"/>
      <c r="FYA60" s="53"/>
      <c r="FYB60" s="53"/>
      <c r="FYC60" s="53"/>
      <c r="FYD60" s="53"/>
      <c r="FYE60" s="53"/>
      <c r="FYF60" s="53"/>
      <c r="FYG60" s="53"/>
      <c r="FYH60" s="53"/>
      <c r="FYI60" s="53"/>
      <c r="FYJ60" s="53"/>
      <c r="FYK60" s="53"/>
      <c r="FYL60" s="53"/>
      <c r="FYM60" s="53"/>
      <c r="FYN60" s="53"/>
      <c r="FYO60" s="53"/>
      <c r="FYP60" s="53"/>
      <c r="FYQ60" s="53"/>
      <c r="FYR60" s="53"/>
      <c r="FYS60" s="53"/>
      <c r="FYT60" s="53"/>
      <c r="FYU60" s="53"/>
      <c r="FYV60" s="53"/>
      <c r="FYW60" s="53"/>
      <c r="FYX60" s="53"/>
      <c r="FYY60" s="53"/>
      <c r="FYZ60" s="53"/>
      <c r="FZA60" s="53"/>
      <c r="FZB60" s="53"/>
      <c r="FZC60" s="53"/>
      <c r="FZD60" s="53"/>
      <c r="FZE60" s="53"/>
      <c r="FZF60" s="53"/>
      <c r="FZG60" s="53"/>
      <c r="FZH60" s="53"/>
      <c r="FZI60" s="53"/>
      <c r="FZJ60" s="53"/>
      <c r="FZK60" s="53"/>
      <c r="FZL60" s="53"/>
      <c r="FZM60" s="53"/>
      <c r="FZN60" s="53"/>
      <c r="FZO60" s="53"/>
      <c r="FZP60" s="53"/>
      <c r="FZQ60" s="53"/>
      <c r="FZR60" s="53"/>
      <c r="FZS60" s="53"/>
      <c r="FZT60" s="53"/>
      <c r="FZU60" s="53"/>
      <c r="FZV60" s="53"/>
      <c r="FZW60" s="53"/>
      <c r="FZX60" s="53"/>
      <c r="FZY60" s="53"/>
      <c r="FZZ60" s="53"/>
      <c r="GAA60" s="53"/>
      <c r="GAB60" s="53"/>
      <c r="GAC60" s="53"/>
      <c r="GAD60" s="53"/>
      <c r="GAE60" s="53"/>
      <c r="GAF60" s="53"/>
      <c r="GAG60" s="53"/>
      <c r="GAH60" s="53"/>
      <c r="GAI60" s="53"/>
      <c r="GAJ60" s="53"/>
      <c r="GAK60" s="53"/>
      <c r="GAL60" s="53"/>
      <c r="GAM60" s="53"/>
      <c r="GAN60" s="53"/>
      <c r="GAO60" s="53"/>
      <c r="GAP60" s="53"/>
      <c r="GAQ60" s="53"/>
      <c r="GAR60" s="53"/>
      <c r="GAS60" s="53"/>
      <c r="GAT60" s="53"/>
      <c r="GAU60" s="53"/>
      <c r="GAV60" s="53"/>
      <c r="GAW60" s="53"/>
      <c r="GAX60" s="53"/>
      <c r="GAY60" s="53"/>
      <c r="GAZ60" s="53"/>
      <c r="GBA60" s="53"/>
      <c r="GBB60" s="53"/>
      <c r="GBC60" s="53"/>
      <c r="GBD60" s="53"/>
      <c r="GBE60" s="53"/>
      <c r="GBF60" s="53"/>
      <c r="GBG60" s="53"/>
      <c r="GBH60" s="53"/>
      <c r="GBI60" s="53"/>
      <c r="GBJ60" s="53"/>
      <c r="GBK60" s="53"/>
      <c r="GBL60" s="53"/>
      <c r="GBM60" s="53"/>
      <c r="GBN60" s="53"/>
      <c r="GBO60" s="53"/>
      <c r="GBP60" s="53"/>
      <c r="GBQ60" s="53"/>
      <c r="GBR60" s="53"/>
      <c r="GBS60" s="53"/>
      <c r="GBT60" s="53"/>
      <c r="GBU60" s="53"/>
      <c r="GBV60" s="53"/>
      <c r="GBW60" s="53"/>
      <c r="GBX60" s="53"/>
      <c r="GBY60" s="53"/>
      <c r="GBZ60" s="53"/>
      <c r="GCA60" s="53"/>
      <c r="GCB60" s="53"/>
      <c r="GCC60" s="53"/>
      <c r="GCD60" s="53"/>
      <c r="GCE60" s="53"/>
      <c r="GCF60" s="53"/>
      <c r="GCG60" s="53"/>
      <c r="GCH60" s="53"/>
      <c r="GCI60" s="53"/>
      <c r="GCJ60" s="53"/>
      <c r="GCK60" s="53"/>
      <c r="GCL60" s="53"/>
      <c r="GCM60" s="53"/>
      <c r="GCN60" s="53"/>
      <c r="GCO60" s="53"/>
      <c r="GCP60" s="53"/>
      <c r="GCQ60" s="53"/>
      <c r="GCR60" s="53"/>
      <c r="GCS60" s="53"/>
      <c r="GCT60" s="53"/>
      <c r="GCU60" s="53"/>
      <c r="GCV60" s="53"/>
      <c r="GCW60" s="53"/>
      <c r="GCX60" s="53"/>
      <c r="GCY60" s="53"/>
      <c r="GCZ60" s="53"/>
      <c r="GDA60" s="53"/>
      <c r="GDB60" s="53"/>
      <c r="GDC60" s="53"/>
      <c r="GDD60" s="53"/>
      <c r="GDE60" s="53"/>
      <c r="GDF60" s="53"/>
      <c r="GDG60" s="53"/>
      <c r="GDH60" s="53"/>
      <c r="GDI60" s="53"/>
      <c r="GDJ60" s="53"/>
      <c r="GDK60" s="53"/>
      <c r="GDL60" s="53"/>
      <c r="GDM60" s="53"/>
      <c r="GDN60" s="53"/>
      <c r="GDO60" s="53"/>
      <c r="GDP60" s="53"/>
      <c r="GDQ60" s="53"/>
      <c r="GDR60" s="53"/>
      <c r="GDS60" s="53"/>
      <c r="GDT60" s="53"/>
      <c r="GDU60" s="53"/>
      <c r="GDV60" s="53"/>
      <c r="GDW60" s="53"/>
      <c r="GDX60" s="53"/>
      <c r="GDY60" s="53"/>
      <c r="GDZ60" s="53"/>
      <c r="GEA60" s="53"/>
      <c r="GEB60" s="53"/>
      <c r="GEC60" s="53"/>
      <c r="GED60" s="53"/>
      <c r="GEE60" s="53"/>
      <c r="GEF60" s="53"/>
      <c r="GEG60" s="53"/>
      <c r="GEH60" s="53"/>
      <c r="GEI60" s="53"/>
      <c r="GEJ60" s="53"/>
      <c r="GEK60" s="53"/>
      <c r="GEL60" s="53"/>
      <c r="GEM60" s="53"/>
      <c r="GEN60" s="53"/>
      <c r="GEO60" s="53"/>
      <c r="GEP60" s="53"/>
      <c r="GEQ60" s="53"/>
      <c r="GER60" s="53"/>
      <c r="GES60" s="53"/>
      <c r="GET60" s="53"/>
      <c r="GEU60" s="53"/>
      <c r="GEV60" s="53"/>
      <c r="GEW60" s="53"/>
      <c r="GEX60" s="53"/>
      <c r="GEY60" s="53"/>
      <c r="GEZ60" s="53"/>
      <c r="GFA60" s="53"/>
      <c r="GFB60" s="53"/>
      <c r="GFC60" s="53"/>
      <c r="GFD60" s="53"/>
      <c r="GFE60" s="53"/>
      <c r="GFF60" s="53"/>
      <c r="GFG60" s="53"/>
      <c r="GFH60" s="53"/>
      <c r="GFI60" s="53"/>
      <c r="GFJ60" s="53"/>
      <c r="GFK60" s="53"/>
      <c r="GFL60" s="53"/>
      <c r="GFM60" s="53"/>
      <c r="GFN60" s="53"/>
      <c r="GFO60" s="53"/>
      <c r="GFP60" s="53"/>
      <c r="GFQ60" s="53"/>
      <c r="GFR60" s="53"/>
      <c r="GFS60" s="53"/>
      <c r="GFT60" s="53"/>
      <c r="GFU60" s="53"/>
      <c r="GFV60" s="53"/>
      <c r="GFW60" s="53"/>
      <c r="GFX60" s="53"/>
      <c r="GFY60" s="53"/>
      <c r="GFZ60" s="53"/>
      <c r="GGA60" s="53"/>
      <c r="GGB60" s="53"/>
      <c r="GGC60" s="53"/>
      <c r="GGD60" s="53"/>
      <c r="GGE60" s="53"/>
      <c r="GGF60" s="53"/>
      <c r="GGG60" s="53"/>
      <c r="GGH60" s="53"/>
      <c r="GGI60" s="53"/>
      <c r="GGJ60" s="53"/>
      <c r="GGK60" s="53"/>
      <c r="GGL60" s="53"/>
      <c r="GGM60" s="53"/>
      <c r="GGN60" s="53"/>
      <c r="GGO60" s="53"/>
      <c r="GGP60" s="53"/>
      <c r="GGQ60" s="53"/>
      <c r="GGR60" s="53"/>
      <c r="GGS60" s="53"/>
      <c r="GGT60" s="53"/>
      <c r="GGU60" s="53"/>
      <c r="GGV60" s="53"/>
      <c r="GGW60" s="53"/>
      <c r="GGX60" s="53"/>
      <c r="GGY60" s="53"/>
      <c r="GGZ60" s="53"/>
      <c r="GHA60" s="53"/>
      <c r="GHB60" s="53"/>
      <c r="GHC60" s="53"/>
      <c r="GHD60" s="53"/>
      <c r="GHE60" s="53"/>
      <c r="GHF60" s="53"/>
      <c r="GHG60" s="53"/>
      <c r="GHH60" s="53"/>
      <c r="GHI60" s="53"/>
      <c r="GHJ60" s="53"/>
      <c r="GHK60" s="53"/>
      <c r="GHL60" s="53"/>
      <c r="GHM60" s="53"/>
      <c r="GHN60" s="53"/>
      <c r="GHO60" s="53"/>
      <c r="GHP60" s="53"/>
      <c r="GHQ60" s="53"/>
      <c r="GHR60" s="53"/>
      <c r="GHS60" s="53"/>
      <c r="GHT60" s="53"/>
      <c r="GHU60" s="53"/>
      <c r="GHV60" s="53"/>
      <c r="GHW60" s="53"/>
      <c r="GHX60" s="53"/>
      <c r="GHY60" s="53"/>
      <c r="GHZ60" s="53"/>
      <c r="GIA60" s="53"/>
      <c r="GIB60" s="53"/>
      <c r="GIC60" s="53"/>
      <c r="GID60" s="53"/>
      <c r="GIE60" s="53"/>
      <c r="GIF60" s="53"/>
      <c r="GIG60" s="53"/>
      <c r="GIH60" s="53"/>
      <c r="GII60" s="53"/>
      <c r="GIJ60" s="53"/>
      <c r="GIK60" s="53"/>
      <c r="GIL60" s="53"/>
      <c r="GIM60" s="53"/>
      <c r="GIN60" s="53"/>
      <c r="GIO60" s="53"/>
      <c r="GIP60" s="53"/>
      <c r="GIQ60" s="53"/>
      <c r="GIR60" s="53"/>
      <c r="GIS60" s="53"/>
      <c r="GIT60" s="53"/>
      <c r="GIU60" s="53"/>
      <c r="GIV60" s="53"/>
      <c r="GIW60" s="53"/>
      <c r="GIX60" s="53"/>
      <c r="GIY60" s="53"/>
      <c r="GIZ60" s="53"/>
      <c r="GJA60" s="53"/>
      <c r="GJB60" s="53"/>
      <c r="GJC60" s="53"/>
      <c r="GJD60" s="53"/>
      <c r="GJE60" s="53"/>
      <c r="GJF60" s="53"/>
      <c r="GJG60" s="53"/>
      <c r="GJH60" s="53"/>
      <c r="GJI60" s="53"/>
      <c r="GJJ60" s="53"/>
      <c r="GJK60" s="53"/>
      <c r="GJL60" s="53"/>
      <c r="GJM60" s="53"/>
      <c r="GJN60" s="53"/>
      <c r="GJO60" s="53"/>
      <c r="GJP60" s="53"/>
      <c r="GJQ60" s="53"/>
      <c r="GJR60" s="53"/>
      <c r="GJS60" s="53"/>
      <c r="GJT60" s="53"/>
      <c r="GJU60" s="53"/>
      <c r="GJV60" s="53"/>
      <c r="GJW60" s="53"/>
      <c r="GJX60" s="53"/>
      <c r="GJY60" s="53"/>
      <c r="GJZ60" s="53"/>
      <c r="GKA60" s="53"/>
      <c r="GKB60" s="53"/>
      <c r="GKC60" s="53"/>
      <c r="GKD60" s="53"/>
      <c r="GKE60" s="53"/>
      <c r="GKF60" s="53"/>
      <c r="GKG60" s="53"/>
      <c r="GKH60" s="53"/>
      <c r="GKI60" s="53"/>
      <c r="GKJ60" s="53"/>
      <c r="GKK60" s="53"/>
      <c r="GKL60" s="53"/>
      <c r="GKM60" s="53"/>
      <c r="GKN60" s="53"/>
      <c r="GKO60" s="53"/>
      <c r="GKP60" s="53"/>
      <c r="GKQ60" s="53"/>
      <c r="GKR60" s="53"/>
      <c r="GKS60" s="53"/>
      <c r="GKT60" s="53"/>
      <c r="GKU60" s="53"/>
      <c r="GKV60" s="53"/>
      <c r="GKW60" s="53"/>
      <c r="GKX60" s="53"/>
      <c r="GKY60" s="53"/>
      <c r="GKZ60" s="53"/>
      <c r="GLA60" s="53"/>
      <c r="GLB60" s="53"/>
      <c r="GLC60" s="53"/>
      <c r="GLD60" s="53"/>
      <c r="GLE60" s="53"/>
      <c r="GLF60" s="53"/>
      <c r="GLG60" s="53"/>
      <c r="GLH60" s="53"/>
      <c r="GLI60" s="53"/>
      <c r="GLJ60" s="53"/>
      <c r="GLK60" s="53"/>
      <c r="GLL60" s="53"/>
      <c r="GLM60" s="53"/>
      <c r="GLN60" s="53"/>
      <c r="GLO60" s="53"/>
      <c r="GLP60" s="53"/>
      <c r="GLQ60" s="53"/>
      <c r="GLR60" s="53"/>
      <c r="GLS60" s="53"/>
      <c r="GLT60" s="53"/>
      <c r="GLU60" s="53"/>
      <c r="GLV60" s="53"/>
      <c r="GLW60" s="53"/>
      <c r="GLX60" s="53"/>
      <c r="GLY60" s="53"/>
      <c r="GLZ60" s="53"/>
      <c r="GMA60" s="53"/>
      <c r="GMB60" s="53"/>
      <c r="GMC60" s="53"/>
      <c r="GMD60" s="53"/>
      <c r="GME60" s="53"/>
      <c r="GMF60" s="53"/>
      <c r="GMG60" s="53"/>
      <c r="GMH60" s="53"/>
      <c r="GMI60" s="53"/>
      <c r="GMJ60" s="53"/>
      <c r="GMK60" s="53"/>
      <c r="GML60" s="53"/>
      <c r="GMM60" s="53"/>
      <c r="GMN60" s="53"/>
      <c r="GMO60" s="53"/>
      <c r="GMP60" s="53"/>
      <c r="GMQ60" s="53"/>
      <c r="GMR60" s="53"/>
      <c r="GMS60" s="53"/>
      <c r="GMT60" s="53"/>
      <c r="GMU60" s="53"/>
      <c r="GMV60" s="53"/>
      <c r="GMW60" s="53"/>
      <c r="GMX60" s="53"/>
      <c r="GMY60" s="53"/>
      <c r="GMZ60" s="53"/>
      <c r="GNA60" s="53"/>
      <c r="GNB60" s="53"/>
      <c r="GNC60" s="53"/>
      <c r="GND60" s="53"/>
      <c r="GNE60" s="53"/>
      <c r="GNF60" s="53"/>
      <c r="GNG60" s="53"/>
      <c r="GNH60" s="53"/>
      <c r="GNI60" s="53"/>
      <c r="GNJ60" s="53"/>
      <c r="GNK60" s="53"/>
      <c r="GNL60" s="53"/>
      <c r="GNM60" s="53"/>
      <c r="GNN60" s="53"/>
      <c r="GNO60" s="53"/>
      <c r="GNP60" s="53"/>
      <c r="GNQ60" s="53"/>
      <c r="GNR60" s="53"/>
      <c r="GNS60" s="53"/>
      <c r="GNT60" s="53"/>
      <c r="GNU60" s="53"/>
      <c r="GNV60" s="53"/>
      <c r="GNW60" s="53"/>
      <c r="GNX60" s="53"/>
      <c r="GNY60" s="53"/>
      <c r="GNZ60" s="53"/>
      <c r="GOA60" s="53"/>
      <c r="GOB60" s="53"/>
      <c r="GOC60" s="53"/>
      <c r="GOD60" s="53"/>
      <c r="GOE60" s="53"/>
      <c r="GOF60" s="53"/>
      <c r="GOG60" s="53"/>
      <c r="GOH60" s="53"/>
      <c r="GOI60" s="53"/>
      <c r="GOJ60" s="53"/>
      <c r="GOK60" s="53"/>
      <c r="GOL60" s="53"/>
      <c r="GOM60" s="53"/>
      <c r="GON60" s="53"/>
      <c r="GOO60" s="53"/>
      <c r="GOP60" s="53"/>
      <c r="GOQ60" s="53"/>
      <c r="GOR60" s="53"/>
      <c r="GOS60" s="53"/>
      <c r="GOT60" s="53"/>
      <c r="GOU60" s="53"/>
      <c r="GOV60" s="53"/>
      <c r="GOW60" s="53"/>
      <c r="GOX60" s="53"/>
      <c r="GOY60" s="53"/>
      <c r="GOZ60" s="53"/>
      <c r="GPA60" s="53"/>
      <c r="GPB60" s="53"/>
      <c r="GPC60" s="53"/>
      <c r="GPD60" s="53"/>
      <c r="GPE60" s="53"/>
      <c r="GPF60" s="53"/>
      <c r="GPG60" s="53"/>
      <c r="GPH60" s="53"/>
      <c r="GPI60" s="53"/>
      <c r="GPJ60" s="53"/>
      <c r="GPK60" s="53"/>
      <c r="GPL60" s="53"/>
      <c r="GPM60" s="53"/>
      <c r="GPN60" s="53"/>
      <c r="GPO60" s="53"/>
      <c r="GPP60" s="53"/>
      <c r="GPQ60" s="53"/>
      <c r="GPR60" s="53"/>
      <c r="GPS60" s="53"/>
      <c r="GPT60" s="53"/>
      <c r="GPU60" s="53"/>
      <c r="GPV60" s="53"/>
      <c r="GPW60" s="53"/>
      <c r="GPX60" s="53"/>
      <c r="GPY60" s="53"/>
      <c r="GPZ60" s="53"/>
      <c r="GQA60" s="53"/>
      <c r="GQB60" s="53"/>
      <c r="GQC60" s="53"/>
      <c r="GQD60" s="53"/>
      <c r="GQE60" s="53"/>
      <c r="GQF60" s="53"/>
      <c r="GQG60" s="53"/>
      <c r="GQH60" s="53"/>
      <c r="GQI60" s="53"/>
      <c r="GQJ60" s="53"/>
      <c r="GQK60" s="53"/>
      <c r="GQL60" s="53"/>
      <c r="GQM60" s="53"/>
      <c r="GQN60" s="53"/>
      <c r="GQO60" s="53"/>
      <c r="GQP60" s="53"/>
      <c r="GQQ60" s="53"/>
      <c r="GQR60" s="53"/>
      <c r="GQS60" s="53"/>
      <c r="GQT60" s="53"/>
      <c r="GQU60" s="53"/>
      <c r="GQV60" s="53"/>
      <c r="GQW60" s="53"/>
      <c r="GQX60" s="53"/>
      <c r="GQY60" s="53"/>
      <c r="GQZ60" s="53"/>
      <c r="GRA60" s="53"/>
      <c r="GRB60" s="53"/>
      <c r="GRC60" s="53"/>
      <c r="GRD60" s="53"/>
      <c r="GRE60" s="53"/>
      <c r="GRF60" s="53"/>
      <c r="GRG60" s="53"/>
      <c r="GRH60" s="53"/>
      <c r="GRI60" s="53"/>
      <c r="GRJ60" s="53"/>
      <c r="GRK60" s="53"/>
      <c r="GRL60" s="53"/>
      <c r="GRM60" s="53"/>
      <c r="GRN60" s="53"/>
      <c r="GRO60" s="53"/>
      <c r="GRP60" s="53"/>
      <c r="GRQ60" s="53"/>
      <c r="GRR60" s="53"/>
      <c r="GRS60" s="53"/>
      <c r="GRT60" s="53"/>
      <c r="GRU60" s="53"/>
      <c r="GRV60" s="53"/>
      <c r="GRW60" s="53"/>
      <c r="GRX60" s="53"/>
      <c r="GRY60" s="53"/>
      <c r="GRZ60" s="53"/>
      <c r="GSA60" s="53"/>
      <c r="GSB60" s="53"/>
      <c r="GSC60" s="53"/>
      <c r="GSD60" s="53"/>
      <c r="GSE60" s="53"/>
      <c r="GSF60" s="53"/>
      <c r="GSG60" s="53"/>
      <c r="GSH60" s="53"/>
      <c r="GSI60" s="53"/>
      <c r="GSJ60" s="53"/>
      <c r="GSK60" s="53"/>
      <c r="GSL60" s="53"/>
      <c r="GSM60" s="53"/>
      <c r="GSN60" s="53"/>
      <c r="GSO60" s="53"/>
      <c r="GSP60" s="53"/>
      <c r="GSQ60" s="53"/>
      <c r="GSR60" s="53"/>
      <c r="GSS60" s="53"/>
      <c r="GST60" s="53"/>
      <c r="GSU60" s="53"/>
      <c r="GSV60" s="53"/>
      <c r="GSW60" s="53"/>
      <c r="GSX60" s="53"/>
      <c r="GSY60" s="53"/>
      <c r="GSZ60" s="53"/>
      <c r="GTA60" s="53"/>
      <c r="GTB60" s="53"/>
      <c r="GTC60" s="53"/>
      <c r="GTD60" s="53"/>
      <c r="GTE60" s="53"/>
      <c r="GTF60" s="53"/>
      <c r="GTG60" s="53"/>
      <c r="GTH60" s="53"/>
      <c r="GTI60" s="53"/>
      <c r="GTJ60" s="53"/>
      <c r="GTK60" s="53"/>
      <c r="GTL60" s="53"/>
      <c r="GTM60" s="53"/>
      <c r="GTN60" s="53"/>
      <c r="GTO60" s="53"/>
      <c r="GTP60" s="53"/>
      <c r="GTQ60" s="53"/>
      <c r="GTR60" s="53"/>
      <c r="GTS60" s="53"/>
      <c r="GTT60" s="53"/>
      <c r="GTU60" s="53"/>
      <c r="GTV60" s="53"/>
      <c r="GTW60" s="53"/>
      <c r="GTX60" s="53"/>
      <c r="GTY60" s="53"/>
      <c r="GTZ60" s="53"/>
      <c r="GUA60" s="53"/>
      <c r="GUB60" s="53"/>
      <c r="GUC60" s="53"/>
      <c r="GUD60" s="53"/>
      <c r="GUE60" s="53"/>
      <c r="GUF60" s="53"/>
      <c r="GUG60" s="53"/>
      <c r="GUH60" s="53"/>
      <c r="GUI60" s="53"/>
      <c r="GUJ60" s="53"/>
      <c r="GUK60" s="53"/>
      <c r="GUL60" s="53"/>
      <c r="GUM60" s="53"/>
      <c r="GUN60" s="53"/>
      <c r="GUO60" s="53"/>
      <c r="GUP60" s="53"/>
      <c r="GUQ60" s="53"/>
      <c r="GUR60" s="53"/>
      <c r="GUS60" s="53"/>
      <c r="GUT60" s="53"/>
      <c r="GUU60" s="53"/>
      <c r="GUV60" s="53"/>
      <c r="GUW60" s="53"/>
      <c r="GUX60" s="53"/>
      <c r="GUY60" s="53"/>
      <c r="GUZ60" s="53"/>
      <c r="GVA60" s="53"/>
      <c r="GVB60" s="53"/>
      <c r="GVC60" s="53"/>
      <c r="GVD60" s="53"/>
      <c r="GVE60" s="53"/>
      <c r="GVF60" s="53"/>
      <c r="GVG60" s="53"/>
      <c r="GVH60" s="53"/>
      <c r="GVI60" s="53"/>
      <c r="GVJ60" s="53"/>
      <c r="GVK60" s="53"/>
      <c r="GVL60" s="53"/>
      <c r="GVM60" s="53"/>
      <c r="GVN60" s="53"/>
      <c r="GVO60" s="53"/>
      <c r="GVP60" s="53"/>
      <c r="GVQ60" s="53"/>
      <c r="GVR60" s="53"/>
      <c r="GVS60" s="53"/>
      <c r="GVT60" s="53"/>
      <c r="GVU60" s="53"/>
      <c r="GVV60" s="53"/>
      <c r="GVW60" s="53"/>
      <c r="GVX60" s="53"/>
      <c r="GVY60" s="53"/>
      <c r="GVZ60" s="53"/>
      <c r="GWA60" s="53"/>
      <c r="GWB60" s="53"/>
      <c r="GWC60" s="53"/>
      <c r="GWD60" s="53"/>
      <c r="GWE60" s="53"/>
      <c r="GWF60" s="53"/>
      <c r="GWG60" s="53"/>
      <c r="GWH60" s="53"/>
      <c r="GWI60" s="53"/>
      <c r="GWJ60" s="53"/>
      <c r="GWK60" s="53"/>
      <c r="GWL60" s="53"/>
      <c r="GWM60" s="53"/>
      <c r="GWN60" s="53"/>
      <c r="GWO60" s="53"/>
      <c r="GWP60" s="53"/>
      <c r="GWQ60" s="53"/>
      <c r="GWR60" s="53"/>
      <c r="GWS60" s="53"/>
      <c r="GWT60" s="53"/>
      <c r="GWU60" s="53"/>
      <c r="GWV60" s="53"/>
      <c r="GWW60" s="53"/>
      <c r="GWX60" s="53"/>
      <c r="GWY60" s="53"/>
      <c r="GWZ60" s="53"/>
      <c r="GXA60" s="53"/>
      <c r="GXB60" s="53"/>
      <c r="GXC60" s="53"/>
      <c r="GXD60" s="53"/>
      <c r="GXE60" s="53"/>
      <c r="GXF60" s="53"/>
      <c r="GXG60" s="53"/>
      <c r="GXH60" s="53"/>
      <c r="GXI60" s="53"/>
      <c r="GXJ60" s="53"/>
      <c r="GXK60" s="53"/>
      <c r="GXL60" s="53"/>
      <c r="GXM60" s="53"/>
      <c r="GXN60" s="53"/>
      <c r="GXO60" s="53"/>
      <c r="GXP60" s="53"/>
      <c r="GXQ60" s="53"/>
      <c r="GXR60" s="53"/>
      <c r="GXS60" s="53"/>
      <c r="GXT60" s="53"/>
      <c r="GXU60" s="53"/>
      <c r="GXV60" s="53"/>
      <c r="GXW60" s="53"/>
      <c r="GXX60" s="53"/>
      <c r="GXY60" s="53"/>
      <c r="GXZ60" s="53"/>
      <c r="GYA60" s="53"/>
      <c r="GYB60" s="53"/>
      <c r="GYC60" s="53"/>
      <c r="GYD60" s="53"/>
      <c r="GYE60" s="53"/>
      <c r="GYF60" s="53"/>
      <c r="GYG60" s="53"/>
      <c r="GYH60" s="53"/>
      <c r="GYI60" s="53"/>
      <c r="GYJ60" s="53"/>
      <c r="GYK60" s="53"/>
      <c r="GYL60" s="53"/>
      <c r="GYM60" s="53"/>
      <c r="GYN60" s="53"/>
      <c r="GYO60" s="53"/>
      <c r="GYP60" s="53"/>
      <c r="GYQ60" s="53"/>
      <c r="GYR60" s="53"/>
      <c r="GYS60" s="53"/>
      <c r="GYT60" s="53"/>
      <c r="GYU60" s="53"/>
      <c r="GYV60" s="53"/>
      <c r="GYW60" s="53"/>
      <c r="GYX60" s="53"/>
      <c r="GYY60" s="53"/>
      <c r="GYZ60" s="53"/>
      <c r="GZA60" s="53"/>
      <c r="GZB60" s="53"/>
      <c r="GZC60" s="53"/>
      <c r="GZD60" s="53"/>
      <c r="GZE60" s="53"/>
      <c r="GZF60" s="53"/>
      <c r="GZG60" s="53"/>
      <c r="GZH60" s="53"/>
      <c r="GZI60" s="53"/>
      <c r="GZJ60" s="53"/>
      <c r="GZK60" s="53"/>
      <c r="GZL60" s="53"/>
      <c r="GZM60" s="53"/>
      <c r="GZN60" s="53"/>
      <c r="GZO60" s="53"/>
      <c r="GZP60" s="53"/>
      <c r="GZQ60" s="53"/>
      <c r="GZR60" s="53"/>
      <c r="GZS60" s="53"/>
      <c r="GZT60" s="53"/>
      <c r="GZU60" s="53"/>
      <c r="GZV60" s="53"/>
      <c r="GZW60" s="53"/>
      <c r="GZX60" s="53"/>
      <c r="GZY60" s="53"/>
      <c r="GZZ60" s="53"/>
      <c r="HAA60" s="53"/>
      <c r="HAB60" s="53"/>
      <c r="HAC60" s="53"/>
      <c r="HAD60" s="53"/>
      <c r="HAE60" s="53"/>
      <c r="HAF60" s="53"/>
      <c r="HAG60" s="53"/>
      <c r="HAH60" s="53"/>
      <c r="HAI60" s="53"/>
      <c r="HAJ60" s="53"/>
      <c r="HAK60" s="53"/>
      <c r="HAL60" s="53"/>
      <c r="HAM60" s="53"/>
      <c r="HAN60" s="53"/>
      <c r="HAO60" s="53"/>
      <c r="HAP60" s="53"/>
      <c r="HAQ60" s="53"/>
      <c r="HAR60" s="53"/>
      <c r="HAS60" s="53"/>
      <c r="HAT60" s="53"/>
      <c r="HAU60" s="53"/>
      <c r="HAV60" s="53"/>
      <c r="HAW60" s="53"/>
      <c r="HAX60" s="53"/>
      <c r="HAY60" s="53"/>
      <c r="HAZ60" s="53"/>
      <c r="HBA60" s="53"/>
      <c r="HBB60" s="53"/>
      <c r="HBC60" s="53"/>
      <c r="HBD60" s="53"/>
      <c r="HBE60" s="53"/>
      <c r="HBF60" s="53"/>
      <c r="HBG60" s="53"/>
      <c r="HBH60" s="53"/>
      <c r="HBI60" s="53"/>
      <c r="HBJ60" s="53"/>
      <c r="HBK60" s="53"/>
      <c r="HBL60" s="53"/>
      <c r="HBM60" s="53"/>
      <c r="HBN60" s="53"/>
      <c r="HBO60" s="53"/>
      <c r="HBP60" s="53"/>
      <c r="HBQ60" s="53"/>
      <c r="HBR60" s="53"/>
      <c r="HBS60" s="53"/>
      <c r="HBT60" s="53"/>
      <c r="HBU60" s="53"/>
      <c r="HBV60" s="53"/>
      <c r="HBW60" s="53"/>
      <c r="HBX60" s="53"/>
      <c r="HBY60" s="53"/>
      <c r="HBZ60" s="53"/>
      <c r="HCA60" s="53"/>
      <c r="HCB60" s="53"/>
      <c r="HCC60" s="53"/>
      <c r="HCD60" s="53"/>
      <c r="HCE60" s="53"/>
      <c r="HCF60" s="53"/>
      <c r="HCG60" s="53"/>
      <c r="HCH60" s="53"/>
      <c r="HCI60" s="53"/>
      <c r="HCJ60" s="53"/>
      <c r="HCK60" s="53"/>
      <c r="HCL60" s="53"/>
      <c r="HCM60" s="53"/>
      <c r="HCN60" s="53"/>
      <c r="HCO60" s="53"/>
      <c r="HCP60" s="53"/>
      <c r="HCQ60" s="53"/>
      <c r="HCR60" s="53"/>
      <c r="HCS60" s="53"/>
      <c r="HCT60" s="53"/>
      <c r="HCU60" s="53"/>
      <c r="HCV60" s="53"/>
      <c r="HCW60" s="53"/>
      <c r="HCX60" s="53"/>
      <c r="HCY60" s="53"/>
      <c r="HCZ60" s="53"/>
      <c r="HDA60" s="53"/>
      <c r="HDB60" s="53"/>
      <c r="HDC60" s="53"/>
      <c r="HDD60" s="53"/>
      <c r="HDE60" s="53"/>
      <c r="HDF60" s="53"/>
      <c r="HDG60" s="53"/>
      <c r="HDH60" s="53"/>
      <c r="HDI60" s="53"/>
      <c r="HDJ60" s="53"/>
      <c r="HDK60" s="53"/>
      <c r="HDL60" s="53"/>
      <c r="HDM60" s="53"/>
      <c r="HDN60" s="53"/>
      <c r="HDO60" s="53"/>
      <c r="HDP60" s="53"/>
      <c r="HDQ60" s="53"/>
      <c r="HDR60" s="53"/>
      <c r="HDS60" s="53"/>
      <c r="HDT60" s="53"/>
      <c r="HDU60" s="53"/>
      <c r="HDV60" s="53"/>
      <c r="HDW60" s="53"/>
      <c r="HDX60" s="53"/>
      <c r="HDY60" s="53"/>
      <c r="HDZ60" s="53"/>
      <c r="HEA60" s="53"/>
      <c r="HEB60" s="53"/>
      <c r="HEC60" s="53"/>
      <c r="HED60" s="53"/>
      <c r="HEE60" s="53"/>
      <c r="HEF60" s="53"/>
      <c r="HEG60" s="53"/>
      <c r="HEH60" s="53"/>
      <c r="HEI60" s="53"/>
      <c r="HEJ60" s="53"/>
      <c r="HEK60" s="53"/>
      <c r="HEL60" s="53"/>
      <c r="HEM60" s="53"/>
      <c r="HEN60" s="53"/>
      <c r="HEO60" s="53"/>
      <c r="HEP60" s="53"/>
      <c r="HEQ60" s="53"/>
      <c r="HER60" s="53"/>
      <c r="HES60" s="53"/>
      <c r="HET60" s="53"/>
      <c r="HEU60" s="53"/>
      <c r="HEV60" s="53"/>
      <c r="HEW60" s="53"/>
      <c r="HEX60" s="53"/>
      <c r="HEY60" s="53"/>
      <c r="HEZ60" s="53"/>
      <c r="HFA60" s="53"/>
      <c r="HFB60" s="53"/>
      <c r="HFC60" s="53"/>
      <c r="HFD60" s="53"/>
      <c r="HFE60" s="53"/>
      <c r="HFF60" s="53"/>
      <c r="HFG60" s="53"/>
      <c r="HFH60" s="53"/>
      <c r="HFI60" s="53"/>
      <c r="HFJ60" s="53"/>
      <c r="HFK60" s="53"/>
      <c r="HFL60" s="53"/>
      <c r="HFM60" s="53"/>
      <c r="HFN60" s="53"/>
      <c r="HFO60" s="53"/>
      <c r="HFP60" s="53"/>
      <c r="HFQ60" s="53"/>
      <c r="HFR60" s="53"/>
      <c r="HFS60" s="53"/>
      <c r="HFT60" s="53"/>
      <c r="HFU60" s="53"/>
      <c r="HFV60" s="53"/>
      <c r="HFW60" s="53"/>
      <c r="HFX60" s="53"/>
      <c r="HFY60" s="53"/>
      <c r="HFZ60" s="53"/>
      <c r="HGA60" s="53"/>
      <c r="HGB60" s="53"/>
      <c r="HGC60" s="53"/>
      <c r="HGD60" s="53"/>
      <c r="HGE60" s="53"/>
      <c r="HGF60" s="53"/>
      <c r="HGG60" s="53"/>
      <c r="HGH60" s="53"/>
      <c r="HGI60" s="53"/>
      <c r="HGJ60" s="53"/>
      <c r="HGK60" s="53"/>
      <c r="HGL60" s="53"/>
      <c r="HGM60" s="53"/>
      <c r="HGN60" s="53"/>
      <c r="HGO60" s="53"/>
      <c r="HGP60" s="53"/>
      <c r="HGQ60" s="53"/>
      <c r="HGR60" s="53"/>
      <c r="HGS60" s="53"/>
      <c r="HGT60" s="53"/>
      <c r="HGU60" s="53"/>
      <c r="HGV60" s="53"/>
      <c r="HGW60" s="53"/>
      <c r="HGX60" s="53"/>
      <c r="HGY60" s="53"/>
      <c r="HGZ60" s="53"/>
      <c r="HHA60" s="53"/>
      <c r="HHB60" s="53"/>
      <c r="HHC60" s="53"/>
      <c r="HHD60" s="53"/>
      <c r="HHE60" s="53"/>
      <c r="HHF60" s="53"/>
      <c r="HHG60" s="53"/>
      <c r="HHH60" s="53"/>
      <c r="HHI60" s="53"/>
      <c r="HHJ60" s="53"/>
      <c r="HHK60" s="53"/>
      <c r="HHL60" s="53"/>
      <c r="HHM60" s="53"/>
      <c r="HHN60" s="53"/>
      <c r="HHO60" s="53"/>
      <c r="HHP60" s="53"/>
      <c r="HHQ60" s="53"/>
      <c r="HHR60" s="53"/>
      <c r="HHS60" s="53"/>
      <c r="HHT60" s="53"/>
      <c r="HHU60" s="53"/>
      <c r="HHV60" s="53"/>
      <c r="HHW60" s="53"/>
      <c r="HHX60" s="53"/>
      <c r="HHY60" s="53"/>
      <c r="HHZ60" s="53"/>
      <c r="HIA60" s="53"/>
      <c r="HIB60" s="53"/>
      <c r="HIC60" s="53"/>
      <c r="HID60" s="53"/>
      <c r="HIE60" s="53"/>
      <c r="HIF60" s="53"/>
      <c r="HIG60" s="53"/>
      <c r="HIH60" s="53"/>
      <c r="HII60" s="53"/>
      <c r="HIJ60" s="53"/>
      <c r="HIK60" s="53"/>
      <c r="HIL60" s="53"/>
      <c r="HIM60" s="53"/>
      <c r="HIN60" s="53"/>
      <c r="HIO60" s="53"/>
      <c r="HIP60" s="53"/>
      <c r="HIQ60" s="53"/>
      <c r="HIR60" s="53"/>
      <c r="HIS60" s="53"/>
      <c r="HIT60" s="53"/>
      <c r="HIU60" s="53"/>
      <c r="HIV60" s="53"/>
      <c r="HIW60" s="53"/>
      <c r="HIX60" s="53"/>
      <c r="HIY60" s="53"/>
      <c r="HIZ60" s="53"/>
      <c r="HJA60" s="53"/>
      <c r="HJB60" s="53"/>
      <c r="HJC60" s="53"/>
      <c r="HJD60" s="53"/>
      <c r="HJE60" s="53"/>
      <c r="HJF60" s="53"/>
      <c r="HJG60" s="53"/>
      <c r="HJH60" s="53"/>
      <c r="HJI60" s="53"/>
      <c r="HJJ60" s="53"/>
      <c r="HJK60" s="53"/>
      <c r="HJL60" s="53"/>
      <c r="HJM60" s="53"/>
      <c r="HJN60" s="53"/>
      <c r="HJO60" s="53"/>
      <c r="HJP60" s="53"/>
      <c r="HJQ60" s="53"/>
      <c r="HJR60" s="53"/>
      <c r="HJS60" s="53"/>
      <c r="HJT60" s="53"/>
      <c r="HJU60" s="53"/>
      <c r="HJV60" s="53"/>
      <c r="HJW60" s="53"/>
      <c r="HJX60" s="53"/>
      <c r="HJY60" s="53"/>
      <c r="HJZ60" s="53"/>
      <c r="HKA60" s="53"/>
      <c r="HKB60" s="53"/>
      <c r="HKC60" s="53"/>
      <c r="HKD60" s="53"/>
      <c r="HKE60" s="53"/>
      <c r="HKF60" s="53"/>
      <c r="HKG60" s="53"/>
      <c r="HKH60" s="53"/>
      <c r="HKI60" s="53"/>
      <c r="HKJ60" s="53"/>
      <c r="HKK60" s="53"/>
      <c r="HKL60" s="53"/>
      <c r="HKM60" s="53"/>
      <c r="HKN60" s="53"/>
      <c r="HKO60" s="53"/>
      <c r="HKP60" s="53"/>
      <c r="HKQ60" s="53"/>
      <c r="HKR60" s="53"/>
      <c r="HKS60" s="53"/>
      <c r="HKT60" s="53"/>
      <c r="HKU60" s="53"/>
      <c r="HKV60" s="53"/>
      <c r="HKW60" s="53"/>
      <c r="HKX60" s="53"/>
      <c r="HKY60" s="53"/>
      <c r="HKZ60" s="53"/>
      <c r="HLA60" s="53"/>
      <c r="HLB60" s="53"/>
      <c r="HLC60" s="53"/>
      <c r="HLD60" s="53"/>
      <c r="HLE60" s="53"/>
      <c r="HLF60" s="53"/>
      <c r="HLG60" s="53"/>
      <c r="HLH60" s="53"/>
      <c r="HLI60" s="53"/>
      <c r="HLJ60" s="53"/>
      <c r="HLK60" s="53"/>
      <c r="HLL60" s="53"/>
      <c r="HLM60" s="53"/>
      <c r="HLN60" s="53"/>
      <c r="HLO60" s="53"/>
      <c r="HLP60" s="53"/>
      <c r="HLQ60" s="53"/>
      <c r="HLR60" s="53"/>
      <c r="HLS60" s="53"/>
      <c r="HLT60" s="53"/>
      <c r="HLU60" s="53"/>
      <c r="HLV60" s="53"/>
      <c r="HLW60" s="53"/>
      <c r="HLX60" s="53"/>
      <c r="HLY60" s="53"/>
      <c r="HLZ60" s="53"/>
      <c r="HMA60" s="53"/>
      <c r="HMB60" s="53"/>
      <c r="HMC60" s="53"/>
      <c r="HMD60" s="53"/>
      <c r="HME60" s="53"/>
      <c r="HMF60" s="53"/>
      <c r="HMG60" s="53"/>
      <c r="HMH60" s="53"/>
      <c r="HMI60" s="53"/>
      <c r="HMJ60" s="53"/>
      <c r="HMK60" s="53"/>
      <c r="HML60" s="53"/>
      <c r="HMM60" s="53"/>
      <c r="HMN60" s="53"/>
      <c r="HMO60" s="53"/>
      <c r="HMP60" s="53"/>
      <c r="HMQ60" s="53"/>
      <c r="HMR60" s="53"/>
      <c r="HMS60" s="53"/>
      <c r="HMT60" s="53"/>
      <c r="HMU60" s="53"/>
      <c r="HMV60" s="53"/>
      <c r="HMW60" s="53"/>
      <c r="HMX60" s="53"/>
      <c r="HMY60" s="53"/>
      <c r="HMZ60" s="53"/>
      <c r="HNA60" s="53"/>
      <c r="HNB60" s="53"/>
      <c r="HNC60" s="53"/>
      <c r="HND60" s="53"/>
      <c r="HNE60" s="53"/>
      <c r="HNF60" s="53"/>
      <c r="HNG60" s="53"/>
      <c r="HNH60" s="53"/>
      <c r="HNI60" s="53"/>
      <c r="HNJ60" s="53"/>
      <c r="HNK60" s="53"/>
      <c r="HNL60" s="53"/>
      <c r="HNM60" s="53"/>
      <c r="HNN60" s="53"/>
      <c r="HNO60" s="53"/>
      <c r="HNP60" s="53"/>
      <c r="HNQ60" s="53"/>
      <c r="HNR60" s="53"/>
      <c r="HNS60" s="53"/>
      <c r="HNT60" s="53"/>
      <c r="HNU60" s="53"/>
      <c r="HNV60" s="53"/>
      <c r="HNW60" s="53"/>
      <c r="HNX60" s="53"/>
      <c r="HNY60" s="53"/>
      <c r="HNZ60" s="53"/>
      <c r="HOA60" s="53"/>
      <c r="HOB60" s="53"/>
      <c r="HOC60" s="53"/>
      <c r="HOD60" s="53"/>
      <c r="HOE60" s="53"/>
      <c r="HOF60" s="53"/>
      <c r="HOG60" s="53"/>
      <c r="HOH60" s="53"/>
      <c r="HOI60" s="53"/>
      <c r="HOJ60" s="53"/>
      <c r="HOK60" s="53"/>
      <c r="HOL60" s="53"/>
      <c r="HOM60" s="53"/>
      <c r="HON60" s="53"/>
      <c r="HOO60" s="53"/>
      <c r="HOP60" s="53"/>
      <c r="HOQ60" s="53"/>
      <c r="HOR60" s="53"/>
      <c r="HOS60" s="53"/>
      <c r="HOT60" s="53"/>
      <c r="HOU60" s="53"/>
      <c r="HOV60" s="53"/>
      <c r="HOW60" s="53"/>
      <c r="HOX60" s="53"/>
      <c r="HOY60" s="53"/>
      <c r="HOZ60" s="53"/>
      <c r="HPA60" s="53"/>
      <c r="HPB60" s="53"/>
      <c r="HPC60" s="53"/>
      <c r="HPD60" s="53"/>
      <c r="HPE60" s="53"/>
      <c r="HPF60" s="53"/>
      <c r="HPG60" s="53"/>
      <c r="HPH60" s="53"/>
      <c r="HPI60" s="53"/>
      <c r="HPJ60" s="53"/>
      <c r="HPK60" s="53"/>
      <c r="HPL60" s="53"/>
      <c r="HPM60" s="53"/>
      <c r="HPN60" s="53"/>
      <c r="HPO60" s="53"/>
      <c r="HPP60" s="53"/>
      <c r="HPQ60" s="53"/>
      <c r="HPR60" s="53"/>
      <c r="HPS60" s="53"/>
      <c r="HPT60" s="53"/>
      <c r="HPU60" s="53"/>
      <c r="HPV60" s="53"/>
      <c r="HPW60" s="53"/>
      <c r="HPX60" s="53"/>
      <c r="HPY60" s="53"/>
      <c r="HPZ60" s="53"/>
      <c r="HQA60" s="53"/>
      <c r="HQB60" s="53"/>
      <c r="HQC60" s="53"/>
      <c r="HQD60" s="53"/>
      <c r="HQE60" s="53"/>
      <c r="HQF60" s="53"/>
      <c r="HQG60" s="53"/>
      <c r="HQH60" s="53"/>
      <c r="HQI60" s="53"/>
      <c r="HQJ60" s="53"/>
      <c r="HQK60" s="53"/>
      <c r="HQL60" s="53"/>
      <c r="HQM60" s="53"/>
      <c r="HQN60" s="53"/>
      <c r="HQO60" s="53"/>
      <c r="HQP60" s="53"/>
      <c r="HQQ60" s="53"/>
      <c r="HQR60" s="53"/>
      <c r="HQS60" s="53"/>
      <c r="HQT60" s="53"/>
      <c r="HQU60" s="53"/>
      <c r="HQV60" s="53"/>
      <c r="HQW60" s="53"/>
      <c r="HQX60" s="53"/>
      <c r="HQY60" s="53"/>
      <c r="HQZ60" s="53"/>
      <c r="HRA60" s="53"/>
      <c r="HRB60" s="53"/>
      <c r="HRC60" s="53"/>
      <c r="HRD60" s="53"/>
      <c r="HRE60" s="53"/>
      <c r="HRF60" s="53"/>
      <c r="HRG60" s="53"/>
      <c r="HRH60" s="53"/>
      <c r="HRI60" s="53"/>
      <c r="HRJ60" s="53"/>
      <c r="HRK60" s="53"/>
      <c r="HRL60" s="53"/>
      <c r="HRM60" s="53"/>
      <c r="HRN60" s="53"/>
      <c r="HRO60" s="53"/>
      <c r="HRP60" s="53"/>
      <c r="HRQ60" s="53"/>
      <c r="HRR60" s="53"/>
      <c r="HRS60" s="53"/>
      <c r="HRT60" s="53"/>
      <c r="HRU60" s="53"/>
      <c r="HRV60" s="53"/>
      <c r="HRW60" s="53"/>
      <c r="HRX60" s="53"/>
      <c r="HRY60" s="53"/>
      <c r="HRZ60" s="53"/>
      <c r="HSA60" s="53"/>
      <c r="HSB60" s="53"/>
      <c r="HSC60" s="53"/>
      <c r="HSD60" s="53"/>
      <c r="HSE60" s="53"/>
      <c r="HSF60" s="53"/>
      <c r="HSG60" s="53"/>
      <c r="HSH60" s="53"/>
      <c r="HSI60" s="53"/>
      <c r="HSJ60" s="53"/>
      <c r="HSK60" s="53"/>
      <c r="HSL60" s="53"/>
      <c r="HSM60" s="53"/>
      <c r="HSN60" s="53"/>
      <c r="HSO60" s="53"/>
      <c r="HSP60" s="53"/>
      <c r="HSQ60" s="53"/>
      <c r="HSR60" s="53"/>
      <c r="HSS60" s="53"/>
      <c r="HST60" s="53"/>
      <c r="HSU60" s="53"/>
      <c r="HSV60" s="53"/>
      <c r="HSW60" s="53"/>
      <c r="HSX60" s="53"/>
      <c r="HSY60" s="53"/>
      <c r="HSZ60" s="53"/>
      <c r="HTA60" s="53"/>
      <c r="HTB60" s="53"/>
      <c r="HTC60" s="53"/>
      <c r="HTD60" s="53"/>
      <c r="HTE60" s="53"/>
      <c r="HTF60" s="53"/>
      <c r="HTG60" s="53"/>
      <c r="HTH60" s="53"/>
      <c r="HTI60" s="53"/>
      <c r="HTJ60" s="53"/>
      <c r="HTK60" s="53"/>
      <c r="HTL60" s="53"/>
      <c r="HTM60" s="53"/>
      <c r="HTN60" s="53"/>
      <c r="HTO60" s="53"/>
      <c r="HTP60" s="53"/>
      <c r="HTQ60" s="53"/>
      <c r="HTR60" s="53"/>
      <c r="HTS60" s="53"/>
      <c r="HTT60" s="53"/>
      <c r="HTU60" s="53"/>
      <c r="HTV60" s="53"/>
      <c r="HTW60" s="53"/>
      <c r="HTX60" s="53"/>
      <c r="HTY60" s="53"/>
      <c r="HTZ60" s="53"/>
      <c r="HUA60" s="53"/>
      <c r="HUB60" s="53"/>
      <c r="HUC60" s="53"/>
      <c r="HUD60" s="53"/>
      <c r="HUE60" s="53"/>
      <c r="HUF60" s="53"/>
      <c r="HUG60" s="53"/>
      <c r="HUH60" s="53"/>
      <c r="HUI60" s="53"/>
      <c r="HUJ60" s="53"/>
      <c r="HUK60" s="53"/>
      <c r="HUL60" s="53"/>
      <c r="HUM60" s="53"/>
      <c r="HUN60" s="53"/>
      <c r="HUO60" s="53"/>
      <c r="HUP60" s="53"/>
      <c r="HUQ60" s="53"/>
      <c r="HUR60" s="53"/>
      <c r="HUS60" s="53"/>
      <c r="HUT60" s="53"/>
      <c r="HUU60" s="53"/>
      <c r="HUV60" s="53"/>
      <c r="HUW60" s="53"/>
      <c r="HUX60" s="53"/>
      <c r="HUY60" s="53"/>
      <c r="HUZ60" s="53"/>
      <c r="HVA60" s="53"/>
      <c r="HVB60" s="53"/>
      <c r="HVC60" s="53"/>
      <c r="HVD60" s="53"/>
      <c r="HVE60" s="53"/>
      <c r="HVF60" s="53"/>
      <c r="HVG60" s="53"/>
      <c r="HVH60" s="53"/>
      <c r="HVI60" s="53"/>
      <c r="HVJ60" s="53"/>
      <c r="HVK60" s="53"/>
      <c r="HVL60" s="53"/>
      <c r="HVM60" s="53"/>
      <c r="HVN60" s="53"/>
      <c r="HVO60" s="53"/>
      <c r="HVP60" s="53"/>
      <c r="HVQ60" s="53"/>
      <c r="HVR60" s="53"/>
      <c r="HVS60" s="53"/>
      <c r="HVT60" s="53"/>
      <c r="HVU60" s="53"/>
      <c r="HVV60" s="53"/>
      <c r="HVW60" s="53"/>
      <c r="HVX60" s="53"/>
      <c r="HVY60" s="53"/>
      <c r="HVZ60" s="53"/>
      <c r="HWA60" s="53"/>
      <c r="HWB60" s="53"/>
      <c r="HWC60" s="53"/>
      <c r="HWD60" s="53"/>
      <c r="HWE60" s="53"/>
      <c r="HWF60" s="53"/>
      <c r="HWG60" s="53"/>
      <c r="HWH60" s="53"/>
      <c r="HWI60" s="53"/>
      <c r="HWJ60" s="53"/>
      <c r="HWK60" s="53"/>
      <c r="HWL60" s="53"/>
      <c r="HWM60" s="53"/>
      <c r="HWN60" s="53"/>
      <c r="HWO60" s="53"/>
      <c r="HWP60" s="53"/>
      <c r="HWQ60" s="53"/>
      <c r="HWR60" s="53"/>
      <c r="HWS60" s="53"/>
      <c r="HWT60" s="53"/>
      <c r="HWU60" s="53"/>
      <c r="HWV60" s="53"/>
      <c r="HWW60" s="53"/>
      <c r="HWX60" s="53"/>
      <c r="HWY60" s="53"/>
      <c r="HWZ60" s="53"/>
      <c r="HXA60" s="53"/>
      <c r="HXB60" s="53"/>
      <c r="HXC60" s="53"/>
      <c r="HXD60" s="53"/>
      <c r="HXE60" s="53"/>
      <c r="HXF60" s="53"/>
      <c r="HXG60" s="53"/>
      <c r="HXH60" s="53"/>
      <c r="HXI60" s="53"/>
      <c r="HXJ60" s="53"/>
      <c r="HXK60" s="53"/>
      <c r="HXL60" s="53"/>
      <c r="HXM60" s="53"/>
      <c r="HXN60" s="53"/>
      <c r="HXO60" s="53"/>
      <c r="HXP60" s="53"/>
      <c r="HXQ60" s="53"/>
      <c r="HXR60" s="53"/>
      <c r="HXS60" s="53"/>
      <c r="HXT60" s="53"/>
      <c r="HXU60" s="53"/>
      <c r="HXV60" s="53"/>
      <c r="HXW60" s="53"/>
      <c r="HXX60" s="53"/>
      <c r="HXY60" s="53"/>
      <c r="HXZ60" s="53"/>
      <c r="HYA60" s="53"/>
      <c r="HYB60" s="53"/>
      <c r="HYC60" s="53"/>
      <c r="HYD60" s="53"/>
      <c r="HYE60" s="53"/>
      <c r="HYF60" s="53"/>
      <c r="HYG60" s="53"/>
      <c r="HYH60" s="53"/>
      <c r="HYI60" s="53"/>
      <c r="HYJ60" s="53"/>
      <c r="HYK60" s="53"/>
      <c r="HYL60" s="53"/>
      <c r="HYM60" s="53"/>
      <c r="HYN60" s="53"/>
      <c r="HYO60" s="53"/>
      <c r="HYP60" s="53"/>
      <c r="HYQ60" s="53"/>
      <c r="HYR60" s="53"/>
      <c r="HYS60" s="53"/>
      <c r="HYT60" s="53"/>
      <c r="HYU60" s="53"/>
      <c r="HYV60" s="53"/>
      <c r="HYW60" s="53"/>
      <c r="HYX60" s="53"/>
      <c r="HYY60" s="53"/>
      <c r="HYZ60" s="53"/>
      <c r="HZA60" s="53"/>
      <c r="HZB60" s="53"/>
      <c r="HZC60" s="53"/>
      <c r="HZD60" s="53"/>
      <c r="HZE60" s="53"/>
      <c r="HZF60" s="53"/>
      <c r="HZG60" s="53"/>
      <c r="HZH60" s="53"/>
      <c r="HZI60" s="53"/>
      <c r="HZJ60" s="53"/>
      <c r="HZK60" s="53"/>
      <c r="HZL60" s="53"/>
      <c r="HZM60" s="53"/>
      <c r="HZN60" s="53"/>
      <c r="HZO60" s="53"/>
      <c r="HZP60" s="53"/>
      <c r="HZQ60" s="53"/>
      <c r="HZR60" s="53"/>
      <c r="HZS60" s="53"/>
      <c r="HZT60" s="53"/>
      <c r="HZU60" s="53"/>
      <c r="HZV60" s="53"/>
      <c r="HZW60" s="53"/>
      <c r="HZX60" s="53"/>
      <c r="HZY60" s="53"/>
      <c r="HZZ60" s="53"/>
      <c r="IAA60" s="53"/>
      <c r="IAB60" s="53"/>
      <c r="IAC60" s="53"/>
      <c r="IAD60" s="53"/>
      <c r="IAE60" s="53"/>
      <c r="IAF60" s="53"/>
      <c r="IAG60" s="53"/>
      <c r="IAH60" s="53"/>
      <c r="IAI60" s="53"/>
      <c r="IAJ60" s="53"/>
      <c r="IAK60" s="53"/>
      <c r="IAL60" s="53"/>
      <c r="IAM60" s="53"/>
      <c r="IAN60" s="53"/>
      <c r="IAO60" s="53"/>
      <c r="IAP60" s="53"/>
      <c r="IAQ60" s="53"/>
      <c r="IAR60" s="53"/>
      <c r="IAS60" s="53"/>
      <c r="IAT60" s="53"/>
      <c r="IAU60" s="53"/>
      <c r="IAV60" s="53"/>
      <c r="IAW60" s="53"/>
      <c r="IAX60" s="53"/>
      <c r="IAY60" s="53"/>
      <c r="IAZ60" s="53"/>
      <c r="IBA60" s="53"/>
      <c r="IBB60" s="53"/>
      <c r="IBC60" s="53"/>
      <c r="IBD60" s="53"/>
      <c r="IBE60" s="53"/>
      <c r="IBF60" s="53"/>
      <c r="IBG60" s="53"/>
      <c r="IBH60" s="53"/>
      <c r="IBI60" s="53"/>
      <c r="IBJ60" s="53"/>
      <c r="IBK60" s="53"/>
      <c r="IBL60" s="53"/>
      <c r="IBM60" s="53"/>
      <c r="IBN60" s="53"/>
      <c r="IBO60" s="53"/>
      <c r="IBP60" s="53"/>
      <c r="IBQ60" s="53"/>
      <c r="IBR60" s="53"/>
      <c r="IBS60" s="53"/>
      <c r="IBT60" s="53"/>
      <c r="IBU60" s="53"/>
      <c r="IBV60" s="53"/>
      <c r="IBW60" s="53"/>
      <c r="IBX60" s="53"/>
      <c r="IBY60" s="53"/>
      <c r="IBZ60" s="53"/>
      <c r="ICA60" s="53"/>
      <c r="ICB60" s="53"/>
      <c r="ICC60" s="53"/>
      <c r="ICD60" s="53"/>
      <c r="ICE60" s="53"/>
      <c r="ICF60" s="53"/>
      <c r="ICG60" s="53"/>
      <c r="ICH60" s="53"/>
      <c r="ICI60" s="53"/>
      <c r="ICJ60" s="53"/>
      <c r="ICK60" s="53"/>
      <c r="ICL60" s="53"/>
      <c r="ICM60" s="53"/>
      <c r="ICN60" s="53"/>
      <c r="ICO60" s="53"/>
      <c r="ICP60" s="53"/>
      <c r="ICQ60" s="53"/>
      <c r="ICR60" s="53"/>
      <c r="ICS60" s="53"/>
      <c r="ICT60" s="53"/>
      <c r="ICU60" s="53"/>
      <c r="ICV60" s="53"/>
      <c r="ICW60" s="53"/>
      <c r="ICX60" s="53"/>
      <c r="ICY60" s="53"/>
      <c r="ICZ60" s="53"/>
      <c r="IDA60" s="53"/>
      <c r="IDB60" s="53"/>
      <c r="IDC60" s="53"/>
      <c r="IDD60" s="53"/>
      <c r="IDE60" s="53"/>
      <c r="IDF60" s="53"/>
      <c r="IDG60" s="53"/>
      <c r="IDH60" s="53"/>
      <c r="IDI60" s="53"/>
      <c r="IDJ60" s="53"/>
      <c r="IDK60" s="53"/>
      <c r="IDL60" s="53"/>
      <c r="IDM60" s="53"/>
      <c r="IDN60" s="53"/>
      <c r="IDO60" s="53"/>
      <c r="IDP60" s="53"/>
      <c r="IDQ60" s="53"/>
      <c r="IDR60" s="53"/>
      <c r="IDS60" s="53"/>
      <c r="IDT60" s="53"/>
      <c r="IDU60" s="53"/>
      <c r="IDV60" s="53"/>
      <c r="IDW60" s="53"/>
      <c r="IDX60" s="53"/>
      <c r="IDY60" s="53"/>
      <c r="IDZ60" s="53"/>
      <c r="IEA60" s="53"/>
      <c r="IEB60" s="53"/>
      <c r="IEC60" s="53"/>
      <c r="IED60" s="53"/>
      <c r="IEE60" s="53"/>
      <c r="IEF60" s="53"/>
      <c r="IEG60" s="53"/>
      <c r="IEH60" s="53"/>
      <c r="IEI60" s="53"/>
      <c r="IEJ60" s="53"/>
      <c r="IEK60" s="53"/>
      <c r="IEL60" s="53"/>
      <c r="IEM60" s="53"/>
      <c r="IEN60" s="53"/>
      <c r="IEO60" s="53"/>
      <c r="IEP60" s="53"/>
      <c r="IEQ60" s="53"/>
      <c r="IER60" s="53"/>
      <c r="IES60" s="53"/>
      <c r="IET60" s="53"/>
      <c r="IEU60" s="53"/>
      <c r="IEV60" s="53"/>
      <c r="IEW60" s="53"/>
      <c r="IEX60" s="53"/>
      <c r="IEY60" s="53"/>
      <c r="IEZ60" s="53"/>
      <c r="IFA60" s="53"/>
      <c r="IFB60" s="53"/>
      <c r="IFC60" s="53"/>
      <c r="IFD60" s="53"/>
      <c r="IFE60" s="53"/>
      <c r="IFF60" s="53"/>
      <c r="IFG60" s="53"/>
      <c r="IFH60" s="53"/>
      <c r="IFI60" s="53"/>
      <c r="IFJ60" s="53"/>
      <c r="IFK60" s="53"/>
      <c r="IFL60" s="53"/>
      <c r="IFM60" s="53"/>
      <c r="IFN60" s="53"/>
      <c r="IFO60" s="53"/>
      <c r="IFP60" s="53"/>
      <c r="IFQ60" s="53"/>
      <c r="IFR60" s="53"/>
      <c r="IFS60" s="53"/>
      <c r="IFT60" s="53"/>
      <c r="IFU60" s="53"/>
      <c r="IFV60" s="53"/>
      <c r="IFW60" s="53"/>
      <c r="IFX60" s="53"/>
      <c r="IFY60" s="53"/>
      <c r="IFZ60" s="53"/>
      <c r="IGA60" s="53"/>
      <c r="IGB60" s="53"/>
      <c r="IGC60" s="53"/>
      <c r="IGD60" s="53"/>
      <c r="IGE60" s="53"/>
      <c r="IGF60" s="53"/>
      <c r="IGG60" s="53"/>
      <c r="IGH60" s="53"/>
      <c r="IGI60" s="53"/>
      <c r="IGJ60" s="53"/>
      <c r="IGK60" s="53"/>
      <c r="IGL60" s="53"/>
      <c r="IGM60" s="53"/>
      <c r="IGN60" s="53"/>
      <c r="IGO60" s="53"/>
      <c r="IGP60" s="53"/>
      <c r="IGQ60" s="53"/>
      <c r="IGR60" s="53"/>
      <c r="IGS60" s="53"/>
      <c r="IGT60" s="53"/>
      <c r="IGU60" s="53"/>
      <c r="IGV60" s="53"/>
      <c r="IGW60" s="53"/>
      <c r="IGX60" s="53"/>
      <c r="IGY60" s="53"/>
      <c r="IGZ60" s="53"/>
      <c r="IHA60" s="53"/>
      <c r="IHB60" s="53"/>
      <c r="IHC60" s="53"/>
      <c r="IHD60" s="53"/>
      <c r="IHE60" s="53"/>
      <c r="IHF60" s="53"/>
      <c r="IHG60" s="53"/>
      <c r="IHH60" s="53"/>
      <c r="IHI60" s="53"/>
      <c r="IHJ60" s="53"/>
      <c r="IHK60" s="53"/>
      <c r="IHL60" s="53"/>
      <c r="IHM60" s="53"/>
      <c r="IHN60" s="53"/>
      <c r="IHO60" s="53"/>
      <c r="IHP60" s="53"/>
      <c r="IHQ60" s="53"/>
      <c r="IHR60" s="53"/>
      <c r="IHS60" s="53"/>
      <c r="IHT60" s="53"/>
      <c r="IHU60" s="53"/>
      <c r="IHV60" s="53"/>
      <c r="IHW60" s="53"/>
      <c r="IHX60" s="53"/>
      <c r="IHY60" s="53"/>
      <c r="IHZ60" s="53"/>
      <c r="IIA60" s="53"/>
      <c r="IIB60" s="53"/>
      <c r="IIC60" s="53"/>
      <c r="IID60" s="53"/>
      <c r="IIE60" s="53"/>
      <c r="IIF60" s="53"/>
      <c r="IIG60" s="53"/>
      <c r="IIH60" s="53"/>
      <c r="III60" s="53"/>
      <c r="IIJ60" s="53"/>
      <c r="IIK60" s="53"/>
      <c r="IIL60" s="53"/>
      <c r="IIM60" s="53"/>
      <c r="IIN60" s="53"/>
      <c r="IIO60" s="53"/>
      <c r="IIP60" s="53"/>
      <c r="IIQ60" s="53"/>
      <c r="IIR60" s="53"/>
      <c r="IIS60" s="53"/>
      <c r="IIT60" s="53"/>
      <c r="IIU60" s="53"/>
      <c r="IIV60" s="53"/>
      <c r="IIW60" s="53"/>
      <c r="IIX60" s="53"/>
      <c r="IIY60" s="53"/>
      <c r="IIZ60" s="53"/>
      <c r="IJA60" s="53"/>
      <c r="IJB60" s="53"/>
      <c r="IJC60" s="53"/>
      <c r="IJD60" s="53"/>
      <c r="IJE60" s="53"/>
      <c r="IJF60" s="53"/>
      <c r="IJG60" s="53"/>
      <c r="IJH60" s="53"/>
      <c r="IJI60" s="53"/>
      <c r="IJJ60" s="53"/>
      <c r="IJK60" s="53"/>
      <c r="IJL60" s="53"/>
      <c r="IJM60" s="53"/>
      <c r="IJN60" s="53"/>
      <c r="IJO60" s="53"/>
      <c r="IJP60" s="53"/>
      <c r="IJQ60" s="53"/>
      <c r="IJR60" s="53"/>
      <c r="IJS60" s="53"/>
      <c r="IJT60" s="53"/>
      <c r="IJU60" s="53"/>
      <c r="IJV60" s="53"/>
      <c r="IJW60" s="53"/>
      <c r="IJX60" s="53"/>
      <c r="IJY60" s="53"/>
      <c r="IJZ60" s="53"/>
      <c r="IKA60" s="53"/>
      <c r="IKB60" s="53"/>
      <c r="IKC60" s="53"/>
      <c r="IKD60" s="53"/>
      <c r="IKE60" s="53"/>
      <c r="IKF60" s="53"/>
      <c r="IKG60" s="53"/>
      <c r="IKH60" s="53"/>
      <c r="IKI60" s="53"/>
      <c r="IKJ60" s="53"/>
      <c r="IKK60" s="53"/>
      <c r="IKL60" s="53"/>
      <c r="IKM60" s="53"/>
      <c r="IKN60" s="53"/>
      <c r="IKO60" s="53"/>
      <c r="IKP60" s="53"/>
      <c r="IKQ60" s="53"/>
      <c r="IKR60" s="53"/>
      <c r="IKS60" s="53"/>
      <c r="IKT60" s="53"/>
      <c r="IKU60" s="53"/>
      <c r="IKV60" s="53"/>
      <c r="IKW60" s="53"/>
      <c r="IKX60" s="53"/>
      <c r="IKY60" s="53"/>
      <c r="IKZ60" s="53"/>
      <c r="ILA60" s="53"/>
      <c r="ILB60" s="53"/>
      <c r="ILC60" s="53"/>
      <c r="ILD60" s="53"/>
      <c r="ILE60" s="53"/>
      <c r="ILF60" s="53"/>
      <c r="ILG60" s="53"/>
      <c r="ILH60" s="53"/>
      <c r="ILI60" s="53"/>
      <c r="ILJ60" s="53"/>
      <c r="ILK60" s="53"/>
      <c r="ILL60" s="53"/>
      <c r="ILM60" s="53"/>
      <c r="ILN60" s="53"/>
      <c r="ILO60" s="53"/>
      <c r="ILP60" s="53"/>
      <c r="ILQ60" s="53"/>
      <c r="ILR60" s="53"/>
      <c r="ILS60" s="53"/>
      <c r="ILT60" s="53"/>
      <c r="ILU60" s="53"/>
      <c r="ILV60" s="53"/>
      <c r="ILW60" s="53"/>
      <c r="ILX60" s="53"/>
      <c r="ILY60" s="53"/>
      <c r="ILZ60" s="53"/>
      <c r="IMA60" s="53"/>
      <c r="IMB60" s="53"/>
      <c r="IMC60" s="53"/>
      <c r="IMD60" s="53"/>
      <c r="IME60" s="53"/>
      <c r="IMF60" s="53"/>
      <c r="IMG60" s="53"/>
      <c r="IMH60" s="53"/>
      <c r="IMI60" s="53"/>
      <c r="IMJ60" s="53"/>
      <c r="IMK60" s="53"/>
      <c r="IML60" s="53"/>
      <c r="IMM60" s="53"/>
      <c r="IMN60" s="53"/>
      <c r="IMO60" s="53"/>
      <c r="IMP60" s="53"/>
      <c r="IMQ60" s="53"/>
      <c r="IMR60" s="53"/>
      <c r="IMS60" s="53"/>
      <c r="IMT60" s="53"/>
      <c r="IMU60" s="53"/>
      <c r="IMV60" s="53"/>
      <c r="IMW60" s="53"/>
      <c r="IMX60" s="53"/>
      <c r="IMY60" s="53"/>
      <c r="IMZ60" s="53"/>
      <c r="INA60" s="53"/>
      <c r="INB60" s="53"/>
      <c r="INC60" s="53"/>
      <c r="IND60" s="53"/>
      <c r="INE60" s="53"/>
      <c r="INF60" s="53"/>
      <c r="ING60" s="53"/>
      <c r="INH60" s="53"/>
      <c r="INI60" s="53"/>
      <c r="INJ60" s="53"/>
      <c r="INK60" s="53"/>
      <c r="INL60" s="53"/>
      <c r="INM60" s="53"/>
      <c r="INN60" s="53"/>
      <c r="INO60" s="53"/>
      <c r="INP60" s="53"/>
      <c r="INQ60" s="53"/>
      <c r="INR60" s="53"/>
      <c r="INS60" s="53"/>
      <c r="INT60" s="53"/>
      <c r="INU60" s="53"/>
      <c r="INV60" s="53"/>
      <c r="INW60" s="53"/>
      <c r="INX60" s="53"/>
      <c r="INY60" s="53"/>
      <c r="INZ60" s="53"/>
      <c r="IOA60" s="53"/>
      <c r="IOB60" s="53"/>
      <c r="IOC60" s="53"/>
      <c r="IOD60" s="53"/>
      <c r="IOE60" s="53"/>
      <c r="IOF60" s="53"/>
      <c r="IOG60" s="53"/>
      <c r="IOH60" s="53"/>
      <c r="IOI60" s="53"/>
      <c r="IOJ60" s="53"/>
      <c r="IOK60" s="53"/>
      <c r="IOL60" s="53"/>
      <c r="IOM60" s="53"/>
      <c r="ION60" s="53"/>
      <c r="IOO60" s="53"/>
      <c r="IOP60" s="53"/>
      <c r="IOQ60" s="53"/>
      <c r="IOR60" s="53"/>
      <c r="IOS60" s="53"/>
      <c r="IOT60" s="53"/>
      <c r="IOU60" s="53"/>
      <c r="IOV60" s="53"/>
      <c r="IOW60" s="53"/>
      <c r="IOX60" s="53"/>
      <c r="IOY60" s="53"/>
      <c r="IOZ60" s="53"/>
      <c r="IPA60" s="53"/>
      <c r="IPB60" s="53"/>
      <c r="IPC60" s="53"/>
      <c r="IPD60" s="53"/>
      <c r="IPE60" s="53"/>
      <c r="IPF60" s="53"/>
      <c r="IPG60" s="53"/>
      <c r="IPH60" s="53"/>
      <c r="IPI60" s="53"/>
      <c r="IPJ60" s="53"/>
      <c r="IPK60" s="53"/>
      <c r="IPL60" s="53"/>
      <c r="IPM60" s="53"/>
      <c r="IPN60" s="53"/>
      <c r="IPO60" s="53"/>
      <c r="IPP60" s="53"/>
      <c r="IPQ60" s="53"/>
      <c r="IPR60" s="53"/>
      <c r="IPS60" s="53"/>
      <c r="IPT60" s="53"/>
      <c r="IPU60" s="53"/>
      <c r="IPV60" s="53"/>
      <c r="IPW60" s="53"/>
      <c r="IPX60" s="53"/>
      <c r="IPY60" s="53"/>
      <c r="IPZ60" s="53"/>
      <c r="IQA60" s="53"/>
      <c r="IQB60" s="53"/>
      <c r="IQC60" s="53"/>
      <c r="IQD60" s="53"/>
      <c r="IQE60" s="53"/>
      <c r="IQF60" s="53"/>
      <c r="IQG60" s="53"/>
      <c r="IQH60" s="53"/>
      <c r="IQI60" s="53"/>
      <c r="IQJ60" s="53"/>
      <c r="IQK60" s="53"/>
      <c r="IQL60" s="53"/>
      <c r="IQM60" s="53"/>
      <c r="IQN60" s="53"/>
      <c r="IQO60" s="53"/>
      <c r="IQP60" s="53"/>
      <c r="IQQ60" s="53"/>
      <c r="IQR60" s="53"/>
      <c r="IQS60" s="53"/>
      <c r="IQT60" s="53"/>
      <c r="IQU60" s="53"/>
      <c r="IQV60" s="53"/>
      <c r="IQW60" s="53"/>
      <c r="IQX60" s="53"/>
      <c r="IQY60" s="53"/>
      <c r="IQZ60" s="53"/>
      <c r="IRA60" s="53"/>
      <c r="IRB60" s="53"/>
      <c r="IRC60" s="53"/>
      <c r="IRD60" s="53"/>
      <c r="IRE60" s="53"/>
      <c r="IRF60" s="53"/>
      <c r="IRG60" s="53"/>
      <c r="IRH60" s="53"/>
      <c r="IRI60" s="53"/>
      <c r="IRJ60" s="53"/>
      <c r="IRK60" s="53"/>
      <c r="IRL60" s="53"/>
      <c r="IRM60" s="53"/>
      <c r="IRN60" s="53"/>
      <c r="IRO60" s="53"/>
      <c r="IRP60" s="53"/>
      <c r="IRQ60" s="53"/>
      <c r="IRR60" s="53"/>
      <c r="IRS60" s="53"/>
      <c r="IRT60" s="53"/>
      <c r="IRU60" s="53"/>
      <c r="IRV60" s="53"/>
      <c r="IRW60" s="53"/>
      <c r="IRX60" s="53"/>
      <c r="IRY60" s="53"/>
      <c r="IRZ60" s="53"/>
      <c r="ISA60" s="53"/>
      <c r="ISB60" s="53"/>
      <c r="ISC60" s="53"/>
      <c r="ISD60" s="53"/>
      <c r="ISE60" s="53"/>
      <c r="ISF60" s="53"/>
      <c r="ISG60" s="53"/>
      <c r="ISH60" s="53"/>
      <c r="ISI60" s="53"/>
      <c r="ISJ60" s="53"/>
      <c r="ISK60" s="53"/>
      <c r="ISL60" s="53"/>
      <c r="ISM60" s="53"/>
      <c r="ISN60" s="53"/>
      <c r="ISO60" s="53"/>
      <c r="ISP60" s="53"/>
      <c r="ISQ60" s="53"/>
      <c r="ISR60" s="53"/>
      <c r="ISS60" s="53"/>
      <c r="IST60" s="53"/>
      <c r="ISU60" s="53"/>
      <c r="ISV60" s="53"/>
      <c r="ISW60" s="53"/>
      <c r="ISX60" s="53"/>
      <c r="ISY60" s="53"/>
      <c r="ISZ60" s="53"/>
      <c r="ITA60" s="53"/>
      <c r="ITB60" s="53"/>
      <c r="ITC60" s="53"/>
      <c r="ITD60" s="53"/>
      <c r="ITE60" s="53"/>
      <c r="ITF60" s="53"/>
      <c r="ITG60" s="53"/>
      <c r="ITH60" s="53"/>
      <c r="ITI60" s="53"/>
      <c r="ITJ60" s="53"/>
      <c r="ITK60" s="53"/>
      <c r="ITL60" s="53"/>
      <c r="ITM60" s="53"/>
      <c r="ITN60" s="53"/>
      <c r="ITO60" s="53"/>
      <c r="ITP60" s="53"/>
      <c r="ITQ60" s="53"/>
      <c r="ITR60" s="53"/>
      <c r="ITS60" s="53"/>
      <c r="ITT60" s="53"/>
      <c r="ITU60" s="53"/>
      <c r="ITV60" s="53"/>
      <c r="ITW60" s="53"/>
      <c r="ITX60" s="53"/>
      <c r="ITY60" s="53"/>
      <c r="ITZ60" s="53"/>
      <c r="IUA60" s="53"/>
      <c r="IUB60" s="53"/>
      <c r="IUC60" s="53"/>
      <c r="IUD60" s="53"/>
      <c r="IUE60" s="53"/>
      <c r="IUF60" s="53"/>
      <c r="IUG60" s="53"/>
      <c r="IUH60" s="53"/>
      <c r="IUI60" s="53"/>
      <c r="IUJ60" s="53"/>
      <c r="IUK60" s="53"/>
      <c r="IUL60" s="53"/>
      <c r="IUM60" s="53"/>
      <c r="IUN60" s="53"/>
      <c r="IUO60" s="53"/>
      <c r="IUP60" s="53"/>
      <c r="IUQ60" s="53"/>
      <c r="IUR60" s="53"/>
      <c r="IUS60" s="53"/>
      <c r="IUT60" s="53"/>
      <c r="IUU60" s="53"/>
      <c r="IUV60" s="53"/>
      <c r="IUW60" s="53"/>
      <c r="IUX60" s="53"/>
      <c r="IUY60" s="53"/>
      <c r="IUZ60" s="53"/>
      <c r="IVA60" s="53"/>
      <c r="IVB60" s="53"/>
      <c r="IVC60" s="53"/>
      <c r="IVD60" s="53"/>
      <c r="IVE60" s="53"/>
      <c r="IVF60" s="53"/>
      <c r="IVG60" s="53"/>
      <c r="IVH60" s="53"/>
      <c r="IVI60" s="53"/>
      <c r="IVJ60" s="53"/>
      <c r="IVK60" s="53"/>
      <c r="IVL60" s="53"/>
      <c r="IVM60" s="53"/>
      <c r="IVN60" s="53"/>
      <c r="IVO60" s="53"/>
      <c r="IVP60" s="53"/>
      <c r="IVQ60" s="53"/>
      <c r="IVR60" s="53"/>
      <c r="IVS60" s="53"/>
      <c r="IVT60" s="53"/>
      <c r="IVU60" s="53"/>
      <c r="IVV60" s="53"/>
      <c r="IVW60" s="53"/>
      <c r="IVX60" s="53"/>
      <c r="IVY60" s="53"/>
      <c r="IVZ60" s="53"/>
      <c r="IWA60" s="53"/>
      <c r="IWB60" s="53"/>
      <c r="IWC60" s="53"/>
      <c r="IWD60" s="53"/>
      <c r="IWE60" s="53"/>
      <c r="IWF60" s="53"/>
      <c r="IWG60" s="53"/>
      <c r="IWH60" s="53"/>
      <c r="IWI60" s="53"/>
      <c r="IWJ60" s="53"/>
      <c r="IWK60" s="53"/>
      <c r="IWL60" s="53"/>
      <c r="IWM60" s="53"/>
      <c r="IWN60" s="53"/>
      <c r="IWO60" s="53"/>
      <c r="IWP60" s="53"/>
      <c r="IWQ60" s="53"/>
      <c r="IWR60" s="53"/>
      <c r="IWS60" s="53"/>
      <c r="IWT60" s="53"/>
      <c r="IWU60" s="53"/>
      <c r="IWV60" s="53"/>
      <c r="IWW60" s="53"/>
      <c r="IWX60" s="53"/>
      <c r="IWY60" s="53"/>
      <c r="IWZ60" s="53"/>
      <c r="IXA60" s="53"/>
      <c r="IXB60" s="53"/>
      <c r="IXC60" s="53"/>
      <c r="IXD60" s="53"/>
      <c r="IXE60" s="53"/>
      <c r="IXF60" s="53"/>
      <c r="IXG60" s="53"/>
      <c r="IXH60" s="53"/>
      <c r="IXI60" s="53"/>
      <c r="IXJ60" s="53"/>
      <c r="IXK60" s="53"/>
      <c r="IXL60" s="53"/>
      <c r="IXM60" s="53"/>
      <c r="IXN60" s="53"/>
      <c r="IXO60" s="53"/>
      <c r="IXP60" s="53"/>
      <c r="IXQ60" s="53"/>
      <c r="IXR60" s="53"/>
      <c r="IXS60" s="53"/>
      <c r="IXT60" s="53"/>
      <c r="IXU60" s="53"/>
      <c r="IXV60" s="53"/>
      <c r="IXW60" s="53"/>
      <c r="IXX60" s="53"/>
      <c r="IXY60" s="53"/>
      <c r="IXZ60" s="53"/>
      <c r="IYA60" s="53"/>
      <c r="IYB60" s="53"/>
      <c r="IYC60" s="53"/>
      <c r="IYD60" s="53"/>
      <c r="IYE60" s="53"/>
      <c r="IYF60" s="53"/>
      <c r="IYG60" s="53"/>
      <c r="IYH60" s="53"/>
      <c r="IYI60" s="53"/>
      <c r="IYJ60" s="53"/>
      <c r="IYK60" s="53"/>
      <c r="IYL60" s="53"/>
      <c r="IYM60" s="53"/>
      <c r="IYN60" s="53"/>
      <c r="IYO60" s="53"/>
      <c r="IYP60" s="53"/>
      <c r="IYQ60" s="53"/>
      <c r="IYR60" s="53"/>
      <c r="IYS60" s="53"/>
      <c r="IYT60" s="53"/>
      <c r="IYU60" s="53"/>
      <c r="IYV60" s="53"/>
      <c r="IYW60" s="53"/>
      <c r="IYX60" s="53"/>
      <c r="IYY60" s="53"/>
      <c r="IYZ60" s="53"/>
      <c r="IZA60" s="53"/>
      <c r="IZB60" s="53"/>
      <c r="IZC60" s="53"/>
      <c r="IZD60" s="53"/>
      <c r="IZE60" s="53"/>
      <c r="IZF60" s="53"/>
      <c r="IZG60" s="53"/>
      <c r="IZH60" s="53"/>
      <c r="IZI60" s="53"/>
      <c r="IZJ60" s="53"/>
      <c r="IZK60" s="53"/>
      <c r="IZL60" s="53"/>
      <c r="IZM60" s="53"/>
      <c r="IZN60" s="53"/>
      <c r="IZO60" s="53"/>
      <c r="IZP60" s="53"/>
      <c r="IZQ60" s="53"/>
      <c r="IZR60" s="53"/>
      <c r="IZS60" s="53"/>
      <c r="IZT60" s="53"/>
      <c r="IZU60" s="53"/>
      <c r="IZV60" s="53"/>
      <c r="IZW60" s="53"/>
      <c r="IZX60" s="53"/>
      <c r="IZY60" s="53"/>
      <c r="IZZ60" s="53"/>
      <c r="JAA60" s="53"/>
      <c r="JAB60" s="53"/>
      <c r="JAC60" s="53"/>
      <c r="JAD60" s="53"/>
      <c r="JAE60" s="53"/>
      <c r="JAF60" s="53"/>
      <c r="JAG60" s="53"/>
      <c r="JAH60" s="53"/>
      <c r="JAI60" s="53"/>
      <c r="JAJ60" s="53"/>
      <c r="JAK60" s="53"/>
      <c r="JAL60" s="53"/>
      <c r="JAM60" s="53"/>
      <c r="JAN60" s="53"/>
      <c r="JAO60" s="53"/>
      <c r="JAP60" s="53"/>
      <c r="JAQ60" s="53"/>
      <c r="JAR60" s="53"/>
      <c r="JAS60" s="53"/>
      <c r="JAT60" s="53"/>
      <c r="JAU60" s="53"/>
      <c r="JAV60" s="53"/>
      <c r="JAW60" s="53"/>
      <c r="JAX60" s="53"/>
      <c r="JAY60" s="53"/>
      <c r="JAZ60" s="53"/>
      <c r="JBA60" s="53"/>
      <c r="JBB60" s="53"/>
      <c r="JBC60" s="53"/>
      <c r="JBD60" s="53"/>
      <c r="JBE60" s="53"/>
      <c r="JBF60" s="53"/>
      <c r="JBG60" s="53"/>
      <c r="JBH60" s="53"/>
      <c r="JBI60" s="53"/>
      <c r="JBJ60" s="53"/>
      <c r="JBK60" s="53"/>
      <c r="JBL60" s="53"/>
      <c r="JBM60" s="53"/>
      <c r="JBN60" s="53"/>
      <c r="JBO60" s="53"/>
      <c r="JBP60" s="53"/>
      <c r="JBQ60" s="53"/>
      <c r="JBR60" s="53"/>
      <c r="JBS60" s="53"/>
      <c r="JBT60" s="53"/>
      <c r="JBU60" s="53"/>
      <c r="JBV60" s="53"/>
      <c r="JBW60" s="53"/>
      <c r="JBX60" s="53"/>
      <c r="JBY60" s="53"/>
      <c r="JBZ60" s="53"/>
      <c r="JCA60" s="53"/>
      <c r="JCB60" s="53"/>
      <c r="JCC60" s="53"/>
      <c r="JCD60" s="53"/>
      <c r="JCE60" s="53"/>
      <c r="JCF60" s="53"/>
      <c r="JCG60" s="53"/>
      <c r="JCH60" s="53"/>
      <c r="JCI60" s="53"/>
      <c r="JCJ60" s="53"/>
      <c r="JCK60" s="53"/>
      <c r="JCL60" s="53"/>
      <c r="JCM60" s="53"/>
      <c r="JCN60" s="53"/>
      <c r="JCO60" s="53"/>
      <c r="JCP60" s="53"/>
      <c r="JCQ60" s="53"/>
      <c r="JCR60" s="53"/>
      <c r="JCS60" s="53"/>
      <c r="JCT60" s="53"/>
      <c r="JCU60" s="53"/>
      <c r="JCV60" s="53"/>
      <c r="JCW60" s="53"/>
      <c r="JCX60" s="53"/>
      <c r="JCY60" s="53"/>
      <c r="JCZ60" s="53"/>
      <c r="JDA60" s="53"/>
      <c r="JDB60" s="53"/>
      <c r="JDC60" s="53"/>
      <c r="JDD60" s="53"/>
      <c r="JDE60" s="53"/>
      <c r="JDF60" s="53"/>
      <c r="JDG60" s="53"/>
      <c r="JDH60" s="53"/>
      <c r="JDI60" s="53"/>
      <c r="JDJ60" s="53"/>
      <c r="JDK60" s="53"/>
      <c r="JDL60" s="53"/>
      <c r="JDM60" s="53"/>
      <c r="JDN60" s="53"/>
      <c r="JDO60" s="53"/>
      <c r="JDP60" s="53"/>
      <c r="JDQ60" s="53"/>
      <c r="JDR60" s="53"/>
      <c r="JDS60" s="53"/>
      <c r="JDT60" s="53"/>
      <c r="JDU60" s="53"/>
      <c r="JDV60" s="53"/>
      <c r="JDW60" s="53"/>
      <c r="JDX60" s="53"/>
      <c r="JDY60" s="53"/>
      <c r="JDZ60" s="53"/>
      <c r="JEA60" s="53"/>
      <c r="JEB60" s="53"/>
      <c r="JEC60" s="53"/>
      <c r="JED60" s="53"/>
      <c r="JEE60" s="53"/>
      <c r="JEF60" s="53"/>
      <c r="JEG60" s="53"/>
      <c r="JEH60" s="53"/>
      <c r="JEI60" s="53"/>
      <c r="JEJ60" s="53"/>
      <c r="JEK60" s="53"/>
      <c r="JEL60" s="53"/>
      <c r="JEM60" s="53"/>
      <c r="JEN60" s="53"/>
      <c r="JEO60" s="53"/>
      <c r="JEP60" s="53"/>
      <c r="JEQ60" s="53"/>
      <c r="JER60" s="53"/>
      <c r="JES60" s="53"/>
      <c r="JET60" s="53"/>
      <c r="JEU60" s="53"/>
      <c r="JEV60" s="53"/>
      <c r="JEW60" s="53"/>
      <c r="JEX60" s="53"/>
      <c r="JEY60" s="53"/>
      <c r="JEZ60" s="53"/>
      <c r="JFA60" s="53"/>
      <c r="JFB60" s="53"/>
      <c r="JFC60" s="53"/>
      <c r="JFD60" s="53"/>
      <c r="JFE60" s="53"/>
      <c r="JFF60" s="53"/>
      <c r="JFG60" s="53"/>
      <c r="JFH60" s="53"/>
      <c r="JFI60" s="53"/>
      <c r="JFJ60" s="53"/>
      <c r="JFK60" s="53"/>
      <c r="JFL60" s="53"/>
      <c r="JFM60" s="53"/>
      <c r="JFN60" s="53"/>
      <c r="JFO60" s="53"/>
      <c r="JFP60" s="53"/>
      <c r="JFQ60" s="53"/>
      <c r="JFR60" s="53"/>
      <c r="JFS60" s="53"/>
      <c r="JFT60" s="53"/>
      <c r="JFU60" s="53"/>
      <c r="JFV60" s="53"/>
      <c r="JFW60" s="53"/>
      <c r="JFX60" s="53"/>
      <c r="JFY60" s="53"/>
      <c r="JFZ60" s="53"/>
      <c r="JGA60" s="53"/>
      <c r="JGB60" s="53"/>
      <c r="JGC60" s="53"/>
      <c r="JGD60" s="53"/>
      <c r="JGE60" s="53"/>
      <c r="JGF60" s="53"/>
      <c r="JGG60" s="53"/>
      <c r="JGH60" s="53"/>
      <c r="JGI60" s="53"/>
      <c r="JGJ60" s="53"/>
      <c r="JGK60" s="53"/>
      <c r="JGL60" s="53"/>
      <c r="JGM60" s="53"/>
      <c r="JGN60" s="53"/>
      <c r="JGO60" s="53"/>
      <c r="JGP60" s="53"/>
      <c r="JGQ60" s="53"/>
      <c r="JGR60" s="53"/>
      <c r="JGS60" s="53"/>
      <c r="JGT60" s="53"/>
      <c r="JGU60" s="53"/>
      <c r="JGV60" s="53"/>
      <c r="JGW60" s="53"/>
      <c r="JGX60" s="53"/>
      <c r="JGY60" s="53"/>
      <c r="JGZ60" s="53"/>
      <c r="JHA60" s="53"/>
      <c r="JHB60" s="53"/>
      <c r="JHC60" s="53"/>
      <c r="JHD60" s="53"/>
      <c r="JHE60" s="53"/>
      <c r="JHF60" s="53"/>
      <c r="JHG60" s="53"/>
      <c r="JHH60" s="53"/>
      <c r="JHI60" s="53"/>
      <c r="JHJ60" s="53"/>
      <c r="JHK60" s="53"/>
      <c r="JHL60" s="53"/>
      <c r="JHM60" s="53"/>
      <c r="JHN60" s="53"/>
      <c r="JHO60" s="53"/>
      <c r="JHP60" s="53"/>
      <c r="JHQ60" s="53"/>
      <c r="JHR60" s="53"/>
      <c r="JHS60" s="53"/>
      <c r="JHT60" s="53"/>
      <c r="JHU60" s="53"/>
      <c r="JHV60" s="53"/>
      <c r="JHW60" s="53"/>
      <c r="JHX60" s="53"/>
      <c r="JHY60" s="53"/>
      <c r="JHZ60" s="53"/>
      <c r="JIA60" s="53"/>
      <c r="JIB60" s="53"/>
      <c r="JIC60" s="53"/>
      <c r="JID60" s="53"/>
      <c r="JIE60" s="53"/>
      <c r="JIF60" s="53"/>
      <c r="JIG60" s="53"/>
      <c r="JIH60" s="53"/>
      <c r="JII60" s="53"/>
      <c r="JIJ60" s="53"/>
      <c r="JIK60" s="53"/>
      <c r="JIL60" s="53"/>
      <c r="JIM60" s="53"/>
      <c r="JIN60" s="53"/>
      <c r="JIO60" s="53"/>
      <c r="JIP60" s="53"/>
      <c r="JIQ60" s="53"/>
      <c r="JIR60" s="53"/>
      <c r="JIS60" s="53"/>
      <c r="JIT60" s="53"/>
      <c r="JIU60" s="53"/>
      <c r="JIV60" s="53"/>
      <c r="JIW60" s="53"/>
      <c r="JIX60" s="53"/>
      <c r="JIY60" s="53"/>
      <c r="JIZ60" s="53"/>
      <c r="JJA60" s="53"/>
      <c r="JJB60" s="53"/>
      <c r="JJC60" s="53"/>
      <c r="JJD60" s="53"/>
      <c r="JJE60" s="53"/>
      <c r="JJF60" s="53"/>
      <c r="JJG60" s="53"/>
      <c r="JJH60" s="53"/>
      <c r="JJI60" s="53"/>
      <c r="JJJ60" s="53"/>
      <c r="JJK60" s="53"/>
      <c r="JJL60" s="53"/>
      <c r="JJM60" s="53"/>
      <c r="JJN60" s="53"/>
      <c r="JJO60" s="53"/>
      <c r="JJP60" s="53"/>
      <c r="JJQ60" s="53"/>
      <c r="JJR60" s="53"/>
      <c r="JJS60" s="53"/>
      <c r="JJT60" s="53"/>
      <c r="JJU60" s="53"/>
      <c r="JJV60" s="53"/>
      <c r="JJW60" s="53"/>
      <c r="JJX60" s="53"/>
      <c r="JJY60" s="53"/>
      <c r="JJZ60" s="53"/>
      <c r="JKA60" s="53"/>
      <c r="JKB60" s="53"/>
      <c r="JKC60" s="53"/>
      <c r="JKD60" s="53"/>
      <c r="JKE60" s="53"/>
      <c r="JKF60" s="53"/>
      <c r="JKG60" s="53"/>
      <c r="JKH60" s="53"/>
      <c r="JKI60" s="53"/>
      <c r="JKJ60" s="53"/>
      <c r="JKK60" s="53"/>
      <c r="JKL60" s="53"/>
      <c r="JKM60" s="53"/>
      <c r="JKN60" s="53"/>
      <c r="JKO60" s="53"/>
      <c r="JKP60" s="53"/>
      <c r="JKQ60" s="53"/>
      <c r="JKR60" s="53"/>
      <c r="JKS60" s="53"/>
      <c r="JKT60" s="53"/>
      <c r="JKU60" s="53"/>
      <c r="JKV60" s="53"/>
      <c r="JKW60" s="53"/>
      <c r="JKX60" s="53"/>
      <c r="JKY60" s="53"/>
      <c r="JKZ60" s="53"/>
      <c r="JLA60" s="53"/>
      <c r="JLB60" s="53"/>
      <c r="JLC60" s="53"/>
      <c r="JLD60" s="53"/>
      <c r="JLE60" s="53"/>
      <c r="JLF60" s="53"/>
      <c r="JLG60" s="53"/>
      <c r="JLH60" s="53"/>
      <c r="JLI60" s="53"/>
      <c r="JLJ60" s="53"/>
      <c r="JLK60" s="53"/>
      <c r="JLL60" s="53"/>
      <c r="JLM60" s="53"/>
      <c r="JLN60" s="53"/>
      <c r="JLO60" s="53"/>
      <c r="JLP60" s="53"/>
      <c r="JLQ60" s="53"/>
      <c r="JLR60" s="53"/>
      <c r="JLS60" s="53"/>
      <c r="JLT60" s="53"/>
      <c r="JLU60" s="53"/>
      <c r="JLV60" s="53"/>
      <c r="JLW60" s="53"/>
      <c r="JLX60" s="53"/>
      <c r="JLY60" s="53"/>
      <c r="JLZ60" s="53"/>
      <c r="JMA60" s="53"/>
      <c r="JMB60" s="53"/>
      <c r="JMC60" s="53"/>
      <c r="JMD60" s="53"/>
      <c r="JME60" s="53"/>
      <c r="JMF60" s="53"/>
      <c r="JMG60" s="53"/>
      <c r="JMH60" s="53"/>
      <c r="JMI60" s="53"/>
      <c r="JMJ60" s="53"/>
      <c r="JMK60" s="53"/>
      <c r="JML60" s="53"/>
      <c r="JMM60" s="53"/>
      <c r="JMN60" s="53"/>
      <c r="JMO60" s="53"/>
      <c r="JMP60" s="53"/>
      <c r="JMQ60" s="53"/>
      <c r="JMR60" s="53"/>
      <c r="JMS60" s="53"/>
      <c r="JMT60" s="53"/>
      <c r="JMU60" s="53"/>
      <c r="JMV60" s="53"/>
      <c r="JMW60" s="53"/>
      <c r="JMX60" s="53"/>
      <c r="JMY60" s="53"/>
      <c r="JMZ60" s="53"/>
      <c r="JNA60" s="53"/>
      <c r="JNB60" s="53"/>
      <c r="JNC60" s="53"/>
      <c r="JND60" s="53"/>
      <c r="JNE60" s="53"/>
      <c r="JNF60" s="53"/>
      <c r="JNG60" s="53"/>
      <c r="JNH60" s="53"/>
      <c r="JNI60" s="53"/>
      <c r="JNJ60" s="53"/>
      <c r="JNK60" s="53"/>
      <c r="JNL60" s="53"/>
      <c r="JNM60" s="53"/>
      <c r="JNN60" s="53"/>
      <c r="JNO60" s="53"/>
      <c r="JNP60" s="53"/>
      <c r="JNQ60" s="53"/>
      <c r="JNR60" s="53"/>
      <c r="JNS60" s="53"/>
      <c r="JNT60" s="53"/>
      <c r="JNU60" s="53"/>
      <c r="JNV60" s="53"/>
      <c r="JNW60" s="53"/>
      <c r="JNX60" s="53"/>
      <c r="JNY60" s="53"/>
      <c r="JNZ60" s="53"/>
      <c r="JOA60" s="53"/>
      <c r="JOB60" s="53"/>
      <c r="JOC60" s="53"/>
      <c r="JOD60" s="53"/>
      <c r="JOE60" s="53"/>
      <c r="JOF60" s="53"/>
      <c r="JOG60" s="53"/>
      <c r="JOH60" s="53"/>
      <c r="JOI60" s="53"/>
      <c r="JOJ60" s="53"/>
      <c r="JOK60" s="53"/>
      <c r="JOL60" s="53"/>
      <c r="JOM60" s="53"/>
      <c r="JON60" s="53"/>
      <c r="JOO60" s="53"/>
      <c r="JOP60" s="53"/>
      <c r="JOQ60" s="53"/>
      <c r="JOR60" s="53"/>
      <c r="JOS60" s="53"/>
      <c r="JOT60" s="53"/>
      <c r="JOU60" s="53"/>
      <c r="JOV60" s="53"/>
      <c r="JOW60" s="53"/>
      <c r="JOX60" s="53"/>
      <c r="JOY60" s="53"/>
      <c r="JOZ60" s="53"/>
      <c r="JPA60" s="53"/>
      <c r="JPB60" s="53"/>
      <c r="JPC60" s="53"/>
      <c r="JPD60" s="53"/>
      <c r="JPE60" s="53"/>
      <c r="JPF60" s="53"/>
      <c r="JPG60" s="53"/>
      <c r="JPH60" s="53"/>
      <c r="JPI60" s="53"/>
      <c r="JPJ60" s="53"/>
      <c r="JPK60" s="53"/>
      <c r="JPL60" s="53"/>
      <c r="JPM60" s="53"/>
      <c r="JPN60" s="53"/>
      <c r="JPO60" s="53"/>
      <c r="JPP60" s="53"/>
      <c r="JPQ60" s="53"/>
      <c r="JPR60" s="53"/>
      <c r="JPS60" s="53"/>
      <c r="JPT60" s="53"/>
      <c r="JPU60" s="53"/>
      <c r="JPV60" s="53"/>
      <c r="JPW60" s="53"/>
      <c r="JPX60" s="53"/>
      <c r="JPY60" s="53"/>
      <c r="JPZ60" s="53"/>
      <c r="JQA60" s="53"/>
      <c r="JQB60" s="53"/>
      <c r="JQC60" s="53"/>
      <c r="JQD60" s="53"/>
      <c r="JQE60" s="53"/>
      <c r="JQF60" s="53"/>
      <c r="JQG60" s="53"/>
      <c r="JQH60" s="53"/>
      <c r="JQI60" s="53"/>
      <c r="JQJ60" s="53"/>
      <c r="JQK60" s="53"/>
      <c r="JQL60" s="53"/>
      <c r="JQM60" s="53"/>
      <c r="JQN60" s="53"/>
      <c r="JQO60" s="53"/>
      <c r="JQP60" s="53"/>
      <c r="JQQ60" s="53"/>
      <c r="JQR60" s="53"/>
      <c r="JQS60" s="53"/>
      <c r="JQT60" s="53"/>
      <c r="JQU60" s="53"/>
      <c r="JQV60" s="53"/>
      <c r="JQW60" s="53"/>
      <c r="JQX60" s="53"/>
      <c r="JQY60" s="53"/>
      <c r="JQZ60" s="53"/>
      <c r="JRA60" s="53"/>
      <c r="JRB60" s="53"/>
      <c r="JRC60" s="53"/>
      <c r="JRD60" s="53"/>
      <c r="JRE60" s="53"/>
      <c r="JRF60" s="53"/>
      <c r="JRG60" s="53"/>
      <c r="JRH60" s="53"/>
      <c r="JRI60" s="53"/>
      <c r="JRJ60" s="53"/>
      <c r="JRK60" s="53"/>
      <c r="JRL60" s="53"/>
      <c r="JRM60" s="53"/>
      <c r="JRN60" s="53"/>
      <c r="JRO60" s="53"/>
      <c r="JRP60" s="53"/>
      <c r="JRQ60" s="53"/>
      <c r="JRR60" s="53"/>
      <c r="JRS60" s="53"/>
      <c r="JRT60" s="53"/>
      <c r="JRU60" s="53"/>
      <c r="JRV60" s="53"/>
      <c r="JRW60" s="53"/>
      <c r="JRX60" s="53"/>
      <c r="JRY60" s="53"/>
      <c r="JRZ60" s="53"/>
      <c r="JSA60" s="53"/>
      <c r="JSB60" s="53"/>
      <c r="JSC60" s="53"/>
      <c r="JSD60" s="53"/>
      <c r="JSE60" s="53"/>
      <c r="JSF60" s="53"/>
      <c r="JSG60" s="53"/>
      <c r="JSH60" s="53"/>
      <c r="JSI60" s="53"/>
      <c r="JSJ60" s="53"/>
      <c r="JSK60" s="53"/>
      <c r="JSL60" s="53"/>
      <c r="JSM60" s="53"/>
      <c r="JSN60" s="53"/>
      <c r="JSO60" s="53"/>
      <c r="JSP60" s="53"/>
      <c r="JSQ60" s="53"/>
      <c r="JSR60" s="53"/>
      <c r="JSS60" s="53"/>
      <c r="JST60" s="53"/>
      <c r="JSU60" s="53"/>
      <c r="JSV60" s="53"/>
      <c r="JSW60" s="53"/>
      <c r="JSX60" s="53"/>
      <c r="JSY60" s="53"/>
      <c r="JSZ60" s="53"/>
      <c r="JTA60" s="53"/>
      <c r="JTB60" s="53"/>
      <c r="JTC60" s="53"/>
      <c r="JTD60" s="53"/>
      <c r="JTE60" s="53"/>
      <c r="JTF60" s="53"/>
      <c r="JTG60" s="53"/>
      <c r="JTH60" s="53"/>
      <c r="JTI60" s="53"/>
      <c r="JTJ60" s="53"/>
      <c r="JTK60" s="53"/>
      <c r="JTL60" s="53"/>
      <c r="JTM60" s="53"/>
      <c r="JTN60" s="53"/>
      <c r="JTO60" s="53"/>
      <c r="JTP60" s="53"/>
      <c r="JTQ60" s="53"/>
      <c r="JTR60" s="53"/>
      <c r="JTS60" s="53"/>
      <c r="JTT60" s="53"/>
      <c r="JTU60" s="53"/>
      <c r="JTV60" s="53"/>
      <c r="JTW60" s="53"/>
      <c r="JTX60" s="53"/>
      <c r="JTY60" s="53"/>
      <c r="JTZ60" s="53"/>
      <c r="JUA60" s="53"/>
      <c r="JUB60" s="53"/>
      <c r="JUC60" s="53"/>
      <c r="JUD60" s="53"/>
      <c r="JUE60" s="53"/>
      <c r="JUF60" s="53"/>
      <c r="JUG60" s="53"/>
      <c r="JUH60" s="53"/>
      <c r="JUI60" s="53"/>
      <c r="JUJ60" s="53"/>
      <c r="JUK60" s="53"/>
      <c r="JUL60" s="53"/>
      <c r="JUM60" s="53"/>
      <c r="JUN60" s="53"/>
      <c r="JUO60" s="53"/>
      <c r="JUP60" s="53"/>
      <c r="JUQ60" s="53"/>
      <c r="JUR60" s="53"/>
      <c r="JUS60" s="53"/>
      <c r="JUT60" s="53"/>
      <c r="JUU60" s="53"/>
      <c r="JUV60" s="53"/>
      <c r="JUW60" s="53"/>
      <c r="JUX60" s="53"/>
      <c r="JUY60" s="53"/>
      <c r="JUZ60" s="53"/>
      <c r="JVA60" s="53"/>
      <c r="JVB60" s="53"/>
      <c r="JVC60" s="53"/>
      <c r="JVD60" s="53"/>
      <c r="JVE60" s="53"/>
      <c r="JVF60" s="53"/>
      <c r="JVG60" s="53"/>
      <c r="JVH60" s="53"/>
      <c r="JVI60" s="53"/>
      <c r="JVJ60" s="53"/>
      <c r="JVK60" s="53"/>
      <c r="JVL60" s="53"/>
      <c r="JVM60" s="53"/>
      <c r="JVN60" s="53"/>
      <c r="JVO60" s="53"/>
      <c r="JVP60" s="53"/>
      <c r="JVQ60" s="53"/>
      <c r="JVR60" s="53"/>
      <c r="JVS60" s="53"/>
      <c r="JVT60" s="53"/>
      <c r="JVU60" s="53"/>
      <c r="JVV60" s="53"/>
      <c r="JVW60" s="53"/>
      <c r="JVX60" s="53"/>
      <c r="JVY60" s="53"/>
      <c r="JVZ60" s="53"/>
      <c r="JWA60" s="53"/>
      <c r="JWB60" s="53"/>
      <c r="JWC60" s="53"/>
      <c r="JWD60" s="53"/>
      <c r="JWE60" s="53"/>
      <c r="JWF60" s="53"/>
      <c r="JWG60" s="53"/>
      <c r="JWH60" s="53"/>
      <c r="JWI60" s="53"/>
      <c r="JWJ60" s="53"/>
      <c r="JWK60" s="53"/>
      <c r="JWL60" s="53"/>
      <c r="JWM60" s="53"/>
      <c r="JWN60" s="53"/>
      <c r="JWO60" s="53"/>
      <c r="JWP60" s="53"/>
      <c r="JWQ60" s="53"/>
      <c r="JWR60" s="53"/>
      <c r="JWS60" s="53"/>
      <c r="JWT60" s="53"/>
      <c r="JWU60" s="53"/>
      <c r="JWV60" s="53"/>
      <c r="JWW60" s="53"/>
      <c r="JWX60" s="53"/>
      <c r="JWY60" s="53"/>
      <c r="JWZ60" s="53"/>
      <c r="JXA60" s="53"/>
      <c r="JXB60" s="53"/>
      <c r="JXC60" s="53"/>
      <c r="JXD60" s="53"/>
      <c r="JXE60" s="53"/>
      <c r="JXF60" s="53"/>
      <c r="JXG60" s="53"/>
      <c r="JXH60" s="53"/>
      <c r="JXI60" s="53"/>
      <c r="JXJ60" s="53"/>
      <c r="JXK60" s="53"/>
      <c r="JXL60" s="53"/>
      <c r="JXM60" s="53"/>
      <c r="JXN60" s="53"/>
      <c r="JXO60" s="53"/>
      <c r="JXP60" s="53"/>
      <c r="JXQ60" s="53"/>
      <c r="JXR60" s="53"/>
      <c r="JXS60" s="53"/>
      <c r="JXT60" s="53"/>
      <c r="JXU60" s="53"/>
      <c r="JXV60" s="53"/>
      <c r="JXW60" s="53"/>
      <c r="JXX60" s="53"/>
      <c r="JXY60" s="53"/>
      <c r="JXZ60" s="53"/>
      <c r="JYA60" s="53"/>
      <c r="JYB60" s="53"/>
      <c r="JYC60" s="53"/>
      <c r="JYD60" s="53"/>
      <c r="JYE60" s="53"/>
      <c r="JYF60" s="53"/>
      <c r="JYG60" s="53"/>
      <c r="JYH60" s="53"/>
      <c r="JYI60" s="53"/>
      <c r="JYJ60" s="53"/>
      <c r="JYK60" s="53"/>
      <c r="JYL60" s="53"/>
      <c r="JYM60" s="53"/>
      <c r="JYN60" s="53"/>
      <c r="JYO60" s="53"/>
      <c r="JYP60" s="53"/>
      <c r="JYQ60" s="53"/>
      <c r="JYR60" s="53"/>
      <c r="JYS60" s="53"/>
      <c r="JYT60" s="53"/>
      <c r="JYU60" s="53"/>
      <c r="JYV60" s="53"/>
      <c r="JYW60" s="53"/>
      <c r="JYX60" s="53"/>
      <c r="JYY60" s="53"/>
      <c r="JYZ60" s="53"/>
      <c r="JZA60" s="53"/>
      <c r="JZB60" s="53"/>
      <c r="JZC60" s="53"/>
      <c r="JZD60" s="53"/>
      <c r="JZE60" s="53"/>
      <c r="JZF60" s="53"/>
      <c r="JZG60" s="53"/>
      <c r="JZH60" s="53"/>
      <c r="JZI60" s="53"/>
      <c r="JZJ60" s="53"/>
      <c r="JZK60" s="53"/>
      <c r="JZL60" s="53"/>
      <c r="JZM60" s="53"/>
      <c r="JZN60" s="53"/>
      <c r="JZO60" s="53"/>
      <c r="JZP60" s="53"/>
      <c r="JZQ60" s="53"/>
      <c r="JZR60" s="53"/>
      <c r="JZS60" s="53"/>
      <c r="JZT60" s="53"/>
      <c r="JZU60" s="53"/>
      <c r="JZV60" s="53"/>
      <c r="JZW60" s="53"/>
      <c r="JZX60" s="53"/>
      <c r="JZY60" s="53"/>
      <c r="JZZ60" s="53"/>
      <c r="KAA60" s="53"/>
      <c r="KAB60" s="53"/>
      <c r="KAC60" s="53"/>
      <c r="KAD60" s="53"/>
      <c r="KAE60" s="53"/>
      <c r="KAF60" s="53"/>
      <c r="KAG60" s="53"/>
      <c r="KAH60" s="53"/>
      <c r="KAI60" s="53"/>
      <c r="KAJ60" s="53"/>
      <c r="KAK60" s="53"/>
      <c r="KAL60" s="53"/>
      <c r="KAM60" s="53"/>
      <c r="KAN60" s="53"/>
      <c r="KAO60" s="53"/>
      <c r="KAP60" s="53"/>
      <c r="KAQ60" s="53"/>
      <c r="KAR60" s="53"/>
      <c r="KAS60" s="53"/>
      <c r="KAT60" s="53"/>
      <c r="KAU60" s="53"/>
      <c r="KAV60" s="53"/>
      <c r="KAW60" s="53"/>
      <c r="KAX60" s="53"/>
      <c r="KAY60" s="53"/>
      <c r="KAZ60" s="53"/>
      <c r="KBA60" s="53"/>
      <c r="KBB60" s="53"/>
      <c r="KBC60" s="53"/>
      <c r="KBD60" s="53"/>
      <c r="KBE60" s="53"/>
      <c r="KBF60" s="53"/>
      <c r="KBG60" s="53"/>
      <c r="KBH60" s="53"/>
      <c r="KBI60" s="53"/>
      <c r="KBJ60" s="53"/>
      <c r="KBK60" s="53"/>
      <c r="KBL60" s="53"/>
      <c r="KBM60" s="53"/>
      <c r="KBN60" s="53"/>
      <c r="KBO60" s="53"/>
      <c r="KBP60" s="53"/>
      <c r="KBQ60" s="53"/>
      <c r="KBR60" s="53"/>
      <c r="KBS60" s="53"/>
      <c r="KBT60" s="53"/>
      <c r="KBU60" s="53"/>
      <c r="KBV60" s="53"/>
      <c r="KBW60" s="53"/>
      <c r="KBX60" s="53"/>
      <c r="KBY60" s="53"/>
      <c r="KBZ60" s="53"/>
      <c r="KCA60" s="53"/>
      <c r="KCB60" s="53"/>
      <c r="KCC60" s="53"/>
      <c r="KCD60" s="53"/>
      <c r="KCE60" s="53"/>
      <c r="KCF60" s="53"/>
      <c r="KCG60" s="53"/>
      <c r="KCH60" s="53"/>
      <c r="KCI60" s="53"/>
      <c r="KCJ60" s="53"/>
      <c r="KCK60" s="53"/>
      <c r="KCL60" s="53"/>
      <c r="KCM60" s="53"/>
      <c r="KCN60" s="53"/>
      <c r="KCO60" s="53"/>
      <c r="KCP60" s="53"/>
      <c r="KCQ60" s="53"/>
      <c r="KCR60" s="53"/>
      <c r="KCS60" s="53"/>
      <c r="KCT60" s="53"/>
      <c r="KCU60" s="53"/>
      <c r="KCV60" s="53"/>
      <c r="KCW60" s="53"/>
      <c r="KCX60" s="53"/>
      <c r="KCY60" s="53"/>
      <c r="KCZ60" s="53"/>
      <c r="KDA60" s="53"/>
      <c r="KDB60" s="53"/>
      <c r="KDC60" s="53"/>
      <c r="KDD60" s="53"/>
      <c r="KDE60" s="53"/>
      <c r="KDF60" s="53"/>
      <c r="KDG60" s="53"/>
      <c r="KDH60" s="53"/>
      <c r="KDI60" s="53"/>
      <c r="KDJ60" s="53"/>
      <c r="KDK60" s="53"/>
      <c r="KDL60" s="53"/>
      <c r="KDM60" s="53"/>
      <c r="KDN60" s="53"/>
      <c r="KDO60" s="53"/>
      <c r="KDP60" s="53"/>
      <c r="KDQ60" s="53"/>
      <c r="KDR60" s="53"/>
      <c r="KDS60" s="53"/>
      <c r="KDT60" s="53"/>
      <c r="KDU60" s="53"/>
      <c r="KDV60" s="53"/>
      <c r="KDW60" s="53"/>
      <c r="KDX60" s="53"/>
      <c r="KDY60" s="53"/>
      <c r="KDZ60" s="53"/>
      <c r="KEA60" s="53"/>
      <c r="KEB60" s="53"/>
      <c r="KEC60" s="53"/>
      <c r="KED60" s="53"/>
      <c r="KEE60" s="53"/>
      <c r="KEF60" s="53"/>
      <c r="KEG60" s="53"/>
      <c r="KEH60" s="53"/>
      <c r="KEI60" s="53"/>
      <c r="KEJ60" s="53"/>
      <c r="KEK60" s="53"/>
      <c r="KEL60" s="53"/>
      <c r="KEM60" s="53"/>
      <c r="KEN60" s="53"/>
      <c r="KEO60" s="53"/>
      <c r="KEP60" s="53"/>
      <c r="KEQ60" s="53"/>
      <c r="KER60" s="53"/>
      <c r="KES60" s="53"/>
      <c r="KET60" s="53"/>
      <c r="KEU60" s="53"/>
      <c r="KEV60" s="53"/>
      <c r="KEW60" s="53"/>
      <c r="KEX60" s="53"/>
      <c r="KEY60" s="53"/>
      <c r="KEZ60" s="53"/>
      <c r="KFA60" s="53"/>
      <c r="KFB60" s="53"/>
      <c r="KFC60" s="53"/>
      <c r="KFD60" s="53"/>
      <c r="KFE60" s="53"/>
      <c r="KFF60" s="53"/>
      <c r="KFG60" s="53"/>
      <c r="KFH60" s="53"/>
      <c r="KFI60" s="53"/>
      <c r="KFJ60" s="53"/>
      <c r="KFK60" s="53"/>
      <c r="KFL60" s="53"/>
      <c r="KFM60" s="53"/>
      <c r="KFN60" s="53"/>
      <c r="KFO60" s="53"/>
      <c r="KFP60" s="53"/>
      <c r="KFQ60" s="53"/>
      <c r="KFR60" s="53"/>
      <c r="KFS60" s="53"/>
      <c r="KFT60" s="53"/>
      <c r="KFU60" s="53"/>
      <c r="KFV60" s="53"/>
      <c r="KFW60" s="53"/>
      <c r="KFX60" s="53"/>
      <c r="KFY60" s="53"/>
      <c r="KFZ60" s="53"/>
      <c r="KGA60" s="53"/>
      <c r="KGB60" s="53"/>
      <c r="KGC60" s="53"/>
      <c r="KGD60" s="53"/>
      <c r="KGE60" s="53"/>
      <c r="KGF60" s="53"/>
      <c r="KGG60" s="53"/>
      <c r="KGH60" s="53"/>
      <c r="KGI60" s="53"/>
      <c r="KGJ60" s="53"/>
      <c r="KGK60" s="53"/>
      <c r="KGL60" s="53"/>
      <c r="KGM60" s="53"/>
      <c r="KGN60" s="53"/>
      <c r="KGO60" s="53"/>
      <c r="KGP60" s="53"/>
      <c r="KGQ60" s="53"/>
      <c r="KGR60" s="53"/>
      <c r="KGS60" s="53"/>
      <c r="KGT60" s="53"/>
      <c r="KGU60" s="53"/>
      <c r="KGV60" s="53"/>
      <c r="KGW60" s="53"/>
      <c r="KGX60" s="53"/>
      <c r="KGY60" s="53"/>
      <c r="KGZ60" s="53"/>
      <c r="KHA60" s="53"/>
      <c r="KHB60" s="53"/>
      <c r="KHC60" s="53"/>
      <c r="KHD60" s="53"/>
      <c r="KHE60" s="53"/>
      <c r="KHF60" s="53"/>
      <c r="KHG60" s="53"/>
      <c r="KHH60" s="53"/>
      <c r="KHI60" s="53"/>
      <c r="KHJ60" s="53"/>
      <c r="KHK60" s="53"/>
      <c r="KHL60" s="53"/>
      <c r="KHM60" s="53"/>
      <c r="KHN60" s="53"/>
      <c r="KHO60" s="53"/>
      <c r="KHP60" s="53"/>
      <c r="KHQ60" s="53"/>
      <c r="KHR60" s="53"/>
      <c r="KHS60" s="53"/>
      <c r="KHT60" s="53"/>
      <c r="KHU60" s="53"/>
      <c r="KHV60" s="53"/>
      <c r="KHW60" s="53"/>
      <c r="KHX60" s="53"/>
      <c r="KHY60" s="53"/>
      <c r="KHZ60" s="53"/>
      <c r="KIA60" s="53"/>
      <c r="KIB60" s="53"/>
      <c r="KIC60" s="53"/>
      <c r="KID60" s="53"/>
      <c r="KIE60" s="53"/>
      <c r="KIF60" s="53"/>
      <c r="KIG60" s="53"/>
      <c r="KIH60" s="53"/>
      <c r="KII60" s="53"/>
      <c r="KIJ60" s="53"/>
      <c r="KIK60" s="53"/>
      <c r="KIL60" s="53"/>
      <c r="KIM60" s="53"/>
      <c r="KIN60" s="53"/>
      <c r="KIO60" s="53"/>
      <c r="KIP60" s="53"/>
      <c r="KIQ60" s="53"/>
      <c r="KIR60" s="53"/>
      <c r="KIS60" s="53"/>
      <c r="KIT60" s="53"/>
      <c r="KIU60" s="53"/>
      <c r="KIV60" s="53"/>
      <c r="KIW60" s="53"/>
      <c r="KIX60" s="53"/>
      <c r="KIY60" s="53"/>
      <c r="KIZ60" s="53"/>
      <c r="KJA60" s="53"/>
      <c r="KJB60" s="53"/>
      <c r="KJC60" s="53"/>
      <c r="KJD60" s="53"/>
      <c r="KJE60" s="53"/>
      <c r="KJF60" s="53"/>
      <c r="KJG60" s="53"/>
      <c r="KJH60" s="53"/>
      <c r="KJI60" s="53"/>
      <c r="KJJ60" s="53"/>
      <c r="KJK60" s="53"/>
      <c r="KJL60" s="53"/>
      <c r="KJM60" s="53"/>
      <c r="KJN60" s="53"/>
      <c r="KJO60" s="53"/>
      <c r="KJP60" s="53"/>
      <c r="KJQ60" s="53"/>
      <c r="KJR60" s="53"/>
      <c r="KJS60" s="53"/>
      <c r="KJT60" s="53"/>
      <c r="KJU60" s="53"/>
      <c r="KJV60" s="53"/>
      <c r="KJW60" s="53"/>
      <c r="KJX60" s="53"/>
      <c r="KJY60" s="53"/>
      <c r="KJZ60" s="53"/>
      <c r="KKA60" s="53"/>
      <c r="KKB60" s="53"/>
      <c r="KKC60" s="53"/>
      <c r="KKD60" s="53"/>
      <c r="KKE60" s="53"/>
      <c r="KKF60" s="53"/>
      <c r="KKG60" s="53"/>
      <c r="KKH60" s="53"/>
      <c r="KKI60" s="53"/>
      <c r="KKJ60" s="53"/>
      <c r="KKK60" s="53"/>
      <c r="KKL60" s="53"/>
      <c r="KKM60" s="53"/>
      <c r="KKN60" s="53"/>
      <c r="KKO60" s="53"/>
      <c r="KKP60" s="53"/>
      <c r="KKQ60" s="53"/>
      <c r="KKR60" s="53"/>
      <c r="KKS60" s="53"/>
      <c r="KKT60" s="53"/>
      <c r="KKU60" s="53"/>
      <c r="KKV60" s="53"/>
      <c r="KKW60" s="53"/>
      <c r="KKX60" s="53"/>
      <c r="KKY60" s="53"/>
      <c r="KKZ60" s="53"/>
      <c r="KLA60" s="53"/>
      <c r="KLB60" s="53"/>
      <c r="KLC60" s="53"/>
      <c r="KLD60" s="53"/>
      <c r="KLE60" s="53"/>
      <c r="KLF60" s="53"/>
      <c r="KLG60" s="53"/>
      <c r="KLH60" s="53"/>
      <c r="KLI60" s="53"/>
      <c r="KLJ60" s="53"/>
      <c r="KLK60" s="53"/>
      <c r="KLL60" s="53"/>
      <c r="KLM60" s="53"/>
      <c r="KLN60" s="53"/>
      <c r="KLO60" s="53"/>
      <c r="KLP60" s="53"/>
      <c r="KLQ60" s="53"/>
      <c r="KLR60" s="53"/>
      <c r="KLS60" s="53"/>
      <c r="KLT60" s="53"/>
      <c r="KLU60" s="53"/>
      <c r="KLV60" s="53"/>
      <c r="KLW60" s="53"/>
      <c r="KLX60" s="53"/>
      <c r="KLY60" s="53"/>
      <c r="KLZ60" s="53"/>
      <c r="KMA60" s="53"/>
      <c r="KMB60" s="53"/>
      <c r="KMC60" s="53"/>
      <c r="KMD60" s="53"/>
      <c r="KME60" s="53"/>
      <c r="KMF60" s="53"/>
      <c r="KMG60" s="53"/>
      <c r="KMH60" s="53"/>
      <c r="KMI60" s="53"/>
      <c r="KMJ60" s="53"/>
      <c r="KMK60" s="53"/>
      <c r="KML60" s="53"/>
      <c r="KMM60" s="53"/>
      <c r="KMN60" s="53"/>
      <c r="KMO60" s="53"/>
      <c r="KMP60" s="53"/>
      <c r="KMQ60" s="53"/>
      <c r="KMR60" s="53"/>
      <c r="KMS60" s="53"/>
      <c r="KMT60" s="53"/>
      <c r="KMU60" s="53"/>
      <c r="KMV60" s="53"/>
      <c r="KMW60" s="53"/>
      <c r="KMX60" s="53"/>
      <c r="KMY60" s="53"/>
      <c r="KMZ60" s="53"/>
      <c r="KNA60" s="53"/>
      <c r="KNB60" s="53"/>
      <c r="KNC60" s="53"/>
      <c r="KND60" s="53"/>
      <c r="KNE60" s="53"/>
      <c r="KNF60" s="53"/>
      <c r="KNG60" s="53"/>
      <c r="KNH60" s="53"/>
      <c r="KNI60" s="53"/>
      <c r="KNJ60" s="53"/>
      <c r="KNK60" s="53"/>
      <c r="KNL60" s="53"/>
      <c r="KNM60" s="53"/>
      <c r="KNN60" s="53"/>
      <c r="KNO60" s="53"/>
      <c r="KNP60" s="53"/>
      <c r="KNQ60" s="53"/>
      <c r="KNR60" s="53"/>
      <c r="KNS60" s="53"/>
      <c r="KNT60" s="53"/>
      <c r="KNU60" s="53"/>
      <c r="KNV60" s="53"/>
      <c r="KNW60" s="53"/>
      <c r="KNX60" s="53"/>
      <c r="KNY60" s="53"/>
      <c r="KNZ60" s="53"/>
      <c r="KOA60" s="53"/>
      <c r="KOB60" s="53"/>
      <c r="KOC60" s="53"/>
      <c r="KOD60" s="53"/>
      <c r="KOE60" s="53"/>
      <c r="KOF60" s="53"/>
      <c r="KOG60" s="53"/>
      <c r="KOH60" s="53"/>
      <c r="KOI60" s="53"/>
      <c r="KOJ60" s="53"/>
      <c r="KOK60" s="53"/>
      <c r="KOL60" s="53"/>
      <c r="KOM60" s="53"/>
      <c r="KON60" s="53"/>
      <c r="KOO60" s="53"/>
      <c r="KOP60" s="53"/>
      <c r="KOQ60" s="53"/>
      <c r="KOR60" s="53"/>
      <c r="KOS60" s="53"/>
      <c r="KOT60" s="53"/>
      <c r="KOU60" s="53"/>
      <c r="KOV60" s="53"/>
      <c r="KOW60" s="53"/>
      <c r="KOX60" s="53"/>
      <c r="KOY60" s="53"/>
      <c r="KOZ60" s="53"/>
      <c r="KPA60" s="53"/>
      <c r="KPB60" s="53"/>
      <c r="KPC60" s="53"/>
      <c r="KPD60" s="53"/>
      <c r="KPE60" s="53"/>
      <c r="KPF60" s="53"/>
      <c r="KPG60" s="53"/>
      <c r="KPH60" s="53"/>
      <c r="KPI60" s="53"/>
      <c r="KPJ60" s="53"/>
      <c r="KPK60" s="53"/>
      <c r="KPL60" s="53"/>
      <c r="KPM60" s="53"/>
      <c r="KPN60" s="53"/>
      <c r="KPO60" s="53"/>
      <c r="KPP60" s="53"/>
      <c r="KPQ60" s="53"/>
      <c r="KPR60" s="53"/>
      <c r="KPS60" s="53"/>
      <c r="KPT60" s="53"/>
      <c r="KPU60" s="53"/>
      <c r="KPV60" s="53"/>
      <c r="KPW60" s="53"/>
      <c r="KPX60" s="53"/>
      <c r="KPY60" s="53"/>
      <c r="KPZ60" s="53"/>
      <c r="KQA60" s="53"/>
      <c r="KQB60" s="53"/>
      <c r="KQC60" s="53"/>
      <c r="KQD60" s="53"/>
      <c r="KQE60" s="53"/>
      <c r="KQF60" s="53"/>
      <c r="KQG60" s="53"/>
      <c r="KQH60" s="53"/>
      <c r="KQI60" s="53"/>
      <c r="KQJ60" s="53"/>
      <c r="KQK60" s="53"/>
      <c r="KQL60" s="53"/>
      <c r="KQM60" s="53"/>
      <c r="KQN60" s="53"/>
      <c r="KQO60" s="53"/>
      <c r="KQP60" s="53"/>
      <c r="KQQ60" s="53"/>
      <c r="KQR60" s="53"/>
      <c r="KQS60" s="53"/>
      <c r="KQT60" s="53"/>
      <c r="KQU60" s="53"/>
      <c r="KQV60" s="53"/>
      <c r="KQW60" s="53"/>
      <c r="KQX60" s="53"/>
      <c r="KQY60" s="53"/>
      <c r="KQZ60" s="53"/>
      <c r="KRA60" s="53"/>
      <c r="KRB60" s="53"/>
      <c r="KRC60" s="53"/>
      <c r="KRD60" s="53"/>
      <c r="KRE60" s="53"/>
      <c r="KRF60" s="53"/>
      <c r="KRG60" s="53"/>
      <c r="KRH60" s="53"/>
      <c r="KRI60" s="53"/>
      <c r="KRJ60" s="53"/>
      <c r="KRK60" s="53"/>
      <c r="KRL60" s="53"/>
      <c r="KRM60" s="53"/>
      <c r="KRN60" s="53"/>
      <c r="KRO60" s="53"/>
      <c r="KRP60" s="53"/>
      <c r="KRQ60" s="53"/>
      <c r="KRR60" s="53"/>
      <c r="KRS60" s="53"/>
      <c r="KRT60" s="53"/>
      <c r="KRU60" s="53"/>
      <c r="KRV60" s="53"/>
      <c r="KRW60" s="53"/>
      <c r="KRX60" s="53"/>
      <c r="KRY60" s="53"/>
      <c r="KRZ60" s="53"/>
      <c r="KSA60" s="53"/>
      <c r="KSB60" s="53"/>
      <c r="KSC60" s="53"/>
      <c r="KSD60" s="53"/>
      <c r="KSE60" s="53"/>
      <c r="KSF60" s="53"/>
      <c r="KSG60" s="53"/>
      <c r="KSH60" s="53"/>
      <c r="KSI60" s="53"/>
      <c r="KSJ60" s="53"/>
      <c r="KSK60" s="53"/>
      <c r="KSL60" s="53"/>
      <c r="KSM60" s="53"/>
      <c r="KSN60" s="53"/>
      <c r="KSO60" s="53"/>
      <c r="KSP60" s="53"/>
      <c r="KSQ60" s="53"/>
      <c r="KSR60" s="53"/>
      <c r="KSS60" s="53"/>
      <c r="KST60" s="53"/>
      <c r="KSU60" s="53"/>
      <c r="KSV60" s="53"/>
      <c r="KSW60" s="53"/>
      <c r="KSX60" s="53"/>
      <c r="KSY60" s="53"/>
      <c r="KSZ60" s="53"/>
      <c r="KTA60" s="53"/>
      <c r="KTB60" s="53"/>
      <c r="KTC60" s="53"/>
      <c r="KTD60" s="53"/>
      <c r="KTE60" s="53"/>
      <c r="KTF60" s="53"/>
      <c r="KTG60" s="53"/>
      <c r="KTH60" s="53"/>
      <c r="KTI60" s="53"/>
      <c r="KTJ60" s="53"/>
      <c r="KTK60" s="53"/>
      <c r="KTL60" s="53"/>
      <c r="KTM60" s="53"/>
      <c r="KTN60" s="53"/>
      <c r="KTO60" s="53"/>
      <c r="KTP60" s="53"/>
      <c r="KTQ60" s="53"/>
      <c r="KTR60" s="53"/>
      <c r="KTS60" s="53"/>
      <c r="KTT60" s="53"/>
      <c r="KTU60" s="53"/>
      <c r="KTV60" s="53"/>
      <c r="KTW60" s="53"/>
      <c r="KTX60" s="53"/>
      <c r="KTY60" s="53"/>
      <c r="KTZ60" s="53"/>
      <c r="KUA60" s="53"/>
      <c r="KUB60" s="53"/>
      <c r="KUC60" s="53"/>
      <c r="KUD60" s="53"/>
      <c r="KUE60" s="53"/>
      <c r="KUF60" s="53"/>
      <c r="KUG60" s="53"/>
      <c r="KUH60" s="53"/>
      <c r="KUI60" s="53"/>
      <c r="KUJ60" s="53"/>
      <c r="KUK60" s="53"/>
      <c r="KUL60" s="53"/>
      <c r="KUM60" s="53"/>
      <c r="KUN60" s="53"/>
      <c r="KUO60" s="53"/>
      <c r="KUP60" s="53"/>
      <c r="KUQ60" s="53"/>
      <c r="KUR60" s="53"/>
      <c r="KUS60" s="53"/>
      <c r="KUT60" s="53"/>
      <c r="KUU60" s="53"/>
      <c r="KUV60" s="53"/>
      <c r="KUW60" s="53"/>
      <c r="KUX60" s="53"/>
      <c r="KUY60" s="53"/>
      <c r="KUZ60" s="53"/>
      <c r="KVA60" s="53"/>
      <c r="KVB60" s="53"/>
      <c r="KVC60" s="53"/>
      <c r="KVD60" s="53"/>
      <c r="KVE60" s="53"/>
      <c r="KVF60" s="53"/>
      <c r="KVG60" s="53"/>
      <c r="KVH60" s="53"/>
      <c r="KVI60" s="53"/>
      <c r="KVJ60" s="53"/>
      <c r="KVK60" s="53"/>
      <c r="KVL60" s="53"/>
      <c r="KVM60" s="53"/>
      <c r="KVN60" s="53"/>
      <c r="KVO60" s="53"/>
      <c r="KVP60" s="53"/>
      <c r="KVQ60" s="53"/>
      <c r="KVR60" s="53"/>
      <c r="KVS60" s="53"/>
      <c r="KVT60" s="53"/>
      <c r="KVU60" s="53"/>
      <c r="KVV60" s="53"/>
      <c r="KVW60" s="53"/>
      <c r="KVX60" s="53"/>
      <c r="KVY60" s="53"/>
      <c r="KVZ60" s="53"/>
      <c r="KWA60" s="53"/>
      <c r="KWB60" s="53"/>
      <c r="KWC60" s="53"/>
      <c r="KWD60" s="53"/>
      <c r="KWE60" s="53"/>
      <c r="KWF60" s="53"/>
      <c r="KWG60" s="53"/>
      <c r="KWH60" s="53"/>
      <c r="KWI60" s="53"/>
      <c r="KWJ60" s="53"/>
      <c r="KWK60" s="53"/>
      <c r="KWL60" s="53"/>
      <c r="KWM60" s="53"/>
      <c r="KWN60" s="53"/>
      <c r="KWO60" s="53"/>
      <c r="KWP60" s="53"/>
      <c r="KWQ60" s="53"/>
      <c r="KWR60" s="53"/>
      <c r="KWS60" s="53"/>
      <c r="KWT60" s="53"/>
      <c r="KWU60" s="53"/>
      <c r="KWV60" s="53"/>
      <c r="KWW60" s="53"/>
      <c r="KWX60" s="53"/>
      <c r="KWY60" s="53"/>
      <c r="KWZ60" s="53"/>
      <c r="KXA60" s="53"/>
      <c r="KXB60" s="53"/>
      <c r="KXC60" s="53"/>
      <c r="KXD60" s="53"/>
      <c r="KXE60" s="53"/>
      <c r="KXF60" s="53"/>
      <c r="KXG60" s="53"/>
      <c r="KXH60" s="53"/>
      <c r="KXI60" s="53"/>
      <c r="KXJ60" s="53"/>
      <c r="KXK60" s="53"/>
      <c r="KXL60" s="53"/>
      <c r="KXM60" s="53"/>
      <c r="KXN60" s="53"/>
      <c r="KXO60" s="53"/>
      <c r="KXP60" s="53"/>
      <c r="KXQ60" s="53"/>
      <c r="KXR60" s="53"/>
      <c r="KXS60" s="53"/>
      <c r="KXT60" s="53"/>
      <c r="KXU60" s="53"/>
      <c r="KXV60" s="53"/>
      <c r="KXW60" s="53"/>
      <c r="KXX60" s="53"/>
      <c r="KXY60" s="53"/>
      <c r="KXZ60" s="53"/>
      <c r="KYA60" s="53"/>
      <c r="KYB60" s="53"/>
      <c r="KYC60" s="53"/>
      <c r="KYD60" s="53"/>
      <c r="KYE60" s="53"/>
      <c r="KYF60" s="53"/>
      <c r="KYG60" s="53"/>
      <c r="KYH60" s="53"/>
      <c r="KYI60" s="53"/>
      <c r="KYJ60" s="53"/>
      <c r="KYK60" s="53"/>
      <c r="KYL60" s="53"/>
      <c r="KYM60" s="53"/>
      <c r="KYN60" s="53"/>
      <c r="KYO60" s="53"/>
      <c r="KYP60" s="53"/>
      <c r="KYQ60" s="53"/>
      <c r="KYR60" s="53"/>
      <c r="KYS60" s="53"/>
      <c r="KYT60" s="53"/>
      <c r="KYU60" s="53"/>
      <c r="KYV60" s="53"/>
      <c r="KYW60" s="53"/>
      <c r="KYX60" s="53"/>
      <c r="KYY60" s="53"/>
      <c r="KYZ60" s="53"/>
      <c r="KZA60" s="53"/>
      <c r="KZB60" s="53"/>
      <c r="KZC60" s="53"/>
      <c r="KZD60" s="53"/>
      <c r="KZE60" s="53"/>
      <c r="KZF60" s="53"/>
      <c r="KZG60" s="53"/>
      <c r="KZH60" s="53"/>
      <c r="KZI60" s="53"/>
      <c r="KZJ60" s="53"/>
      <c r="KZK60" s="53"/>
      <c r="KZL60" s="53"/>
      <c r="KZM60" s="53"/>
      <c r="KZN60" s="53"/>
      <c r="KZO60" s="53"/>
      <c r="KZP60" s="53"/>
      <c r="KZQ60" s="53"/>
      <c r="KZR60" s="53"/>
      <c r="KZS60" s="53"/>
      <c r="KZT60" s="53"/>
      <c r="KZU60" s="53"/>
      <c r="KZV60" s="53"/>
      <c r="KZW60" s="53"/>
      <c r="KZX60" s="53"/>
      <c r="KZY60" s="53"/>
      <c r="KZZ60" s="53"/>
      <c r="LAA60" s="53"/>
      <c r="LAB60" s="53"/>
      <c r="LAC60" s="53"/>
      <c r="LAD60" s="53"/>
      <c r="LAE60" s="53"/>
      <c r="LAF60" s="53"/>
      <c r="LAG60" s="53"/>
      <c r="LAH60" s="53"/>
      <c r="LAI60" s="53"/>
      <c r="LAJ60" s="53"/>
      <c r="LAK60" s="53"/>
      <c r="LAL60" s="53"/>
      <c r="LAM60" s="53"/>
      <c r="LAN60" s="53"/>
      <c r="LAO60" s="53"/>
      <c r="LAP60" s="53"/>
      <c r="LAQ60" s="53"/>
      <c r="LAR60" s="53"/>
      <c r="LAS60" s="53"/>
      <c r="LAT60" s="53"/>
      <c r="LAU60" s="53"/>
      <c r="LAV60" s="53"/>
      <c r="LAW60" s="53"/>
      <c r="LAX60" s="53"/>
      <c r="LAY60" s="53"/>
      <c r="LAZ60" s="53"/>
      <c r="LBA60" s="53"/>
      <c r="LBB60" s="53"/>
      <c r="LBC60" s="53"/>
      <c r="LBD60" s="53"/>
      <c r="LBE60" s="53"/>
      <c r="LBF60" s="53"/>
      <c r="LBG60" s="53"/>
      <c r="LBH60" s="53"/>
      <c r="LBI60" s="53"/>
      <c r="LBJ60" s="53"/>
      <c r="LBK60" s="53"/>
      <c r="LBL60" s="53"/>
      <c r="LBM60" s="53"/>
      <c r="LBN60" s="53"/>
      <c r="LBO60" s="53"/>
      <c r="LBP60" s="53"/>
      <c r="LBQ60" s="53"/>
      <c r="LBR60" s="53"/>
      <c r="LBS60" s="53"/>
      <c r="LBT60" s="53"/>
      <c r="LBU60" s="53"/>
      <c r="LBV60" s="53"/>
      <c r="LBW60" s="53"/>
      <c r="LBX60" s="53"/>
      <c r="LBY60" s="53"/>
      <c r="LBZ60" s="53"/>
      <c r="LCA60" s="53"/>
      <c r="LCB60" s="53"/>
      <c r="LCC60" s="53"/>
      <c r="LCD60" s="53"/>
      <c r="LCE60" s="53"/>
      <c r="LCF60" s="53"/>
      <c r="LCG60" s="53"/>
      <c r="LCH60" s="53"/>
      <c r="LCI60" s="53"/>
      <c r="LCJ60" s="53"/>
      <c r="LCK60" s="53"/>
      <c r="LCL60" s="53"/>
      <c r="LCM60" s="53"/>
      <c r="LCN60" s="53"/>
      <c r="LCO60" s="53"/>
      <c r="LCP60" s="53"/>
      <c r="LCQ60" s="53"/>
      <c r="LCR60" s="53"/>
      <c r="LCS60" s="53"/>
      <c r="LCT60" s="53"/>
      <c r="LCU60" s="53"/>
      <c r="LCV60" s="53"/>
      <c r="LCW60" s="53"/>
      <c r="LCX60" s="53"/>
      <c r="LCY60" s="53"/>
      <c r="LCZ60" s="53"/>
      <c r="LDA60" s="53"/>
      <c r="LDB60" s="53"/>
      <c r="LDC60" s="53"/>
      <c r="LDD60" s="53"/>
      <c r="LDE60" s="53"/>
      <c r="LDF60" s="53"/>
      <c r="LDG60" s="53"/>
      <c r="LDH60" s="53"/>
      <c r="LDI60" s="53"/>
      <c r="LDJ60" s="53"/>
      <c r="LDK60" s="53"/>
      <c r="LDL60" s="53"/>
      <c r="LDM60" s="53"/>
      <c r="LDN60" s="53"/>
      <c r="LDO60" s="53"/>
      <c r="LDP60" s="53"/>
      <c r="LDQ60" s="53"/>
      <c r="LDR60" s="53"/>
      <c r="LDS60" s="53"/>
      <c r="LDT60" s="53"/>
      <c r="LDU60" s="53"/>
      <c r="LDV60" s="53"/>
      <c r="LDW60" s="53"/>
      <c r="LDX60" s="53"/>
      <c r="LDY60" s="53"/>
      <c r="LDZ60" s="53"/>
      <c r="LEA60" s="53"/>
      <c r="LEB60" s="53"/>
      <c r="LEC60" s="53"/>
      <c r="LED60" s="53"/>
      <c r="LEE60" s="53"/>
      <c r="LEF60" s="53"/>
      <c r="LEG60" s="53"/>
      <c r="LEH60" s="53"/>
      <c r="LEI60" s="53"/>
      <c r="LEJ60" s="53"/>
      <c r="LEK60" s="53"/>
      <c r="LEL60" s="53"/>
      <c r="LEM60" s="53"/>
      <c r="LEN60" s="53"/>
      <c r="LEO60" s="53"/>
      <c r="LEP60" s="53"/>
      <c r="LEQ60" s="53"/>
      <c r="LER60" s="53"/>
      <c r="LES60" s="53"/>
      <c r="LET60" s="53"/>
      <c r="LEU60" s="53"/>
      <c r="LEV60" s="53"/>
      <c r="LEW60" s="53"/>
      <c r="LEX60" s="53"/>
      <c r="LEY60" s="53"/>
      <c r="LEZ60" s="53"/>
      <c r="LFA60" s="53"/>
      <c r="LFB60" s="53"/>
      <c r="LFC60" s="53"/>
      <c r="LFD60" s="53"/>
      <c r="LFE60" s="53"/>
      <c r="LFF60" s="53"/>
      <c r="LFG60" s="53"/>
      <c r="LFH60" s="53"/>
      <c r="LFI60" s="53"/>
      <c r="LFJ60" s="53"/>
      <c r="LFK60" s="53"/>
      <c r="LFL60" s="53"/>
      <c r="LFM60" s="53"/>
      <c r="LFN60" s="53"/>
      <c r="LFO60" s="53"/>
      <c r="LFP60" s="53"/>
      <c r="LFQ60" s="53"/>
      <c r="LFR60" s="53"/>
      <c r="LFS60" s="53"/>
      <c r="LFT60" s="53"/>
      <c r="LFU60" s="53"/>
      <c r="LFV60" s="53"/>
      <c r="LFW60" s="53"/>
      <c r="LFX60" s="53"/>
      <c r="LFY60" s="53"/>
      <c r="LFZ60" s="53"/>
      <c r="LGA60" s="53"/>
      <c r="LGB60" s="53"/>
      <c r="LGC60" s="53"/>
      <c r="LGD60" s="53"/>
      <c r="LGE60" s="53"/>
      <c r="LGF60" s="53"/>
      <c r="LGG60" s="53"/>
      <c r="LGH60" s="53"/>
      <c r="LGI60" s="53"/>
      <c r="LGJ60" s="53"/>
      <c r="LGK60" s="53"/>
      <c r="LGL60" s="53"/>
      <c r="LGM60" s="53"/>
      <c r="LGN60" s="53"/>
      <c r="LGO60" s="53"/>
      <c r="LGP60" s="53"/>
      <c r="LGQ60" s="53"/>
      <c r="LGR60" s="53"/>
      <c r="LGS60" s="53"/>
      <c r="LGT60" s="53"/>
      <c r="LGU60" s="53"/>
      <c r="LGV60" s="53"/>
      <c r="LGW60" s="53"/>
      <c r="LGX60" s="53"/>
      <c r="LGY60" s="53"/>
      <c r="LGZ60" s="53"/>
      <c r="LHA60" s="53"/>
      <c r="LHB60" s="53"/>
      <c r="LHC60" s="53"/>
      <c r="LHD60" s="53"/>
      <c r="LHE60" s="53"/>
      <c r="LHF60" s="53"/>
      <c r="LHG60" s="53"/>
      <c r="LHH60" s="53"/>
      <c r="LHI60" s="53"/>
      <c r="LHJ60" s="53"/>
      <c r="LHK60" s="53"/>
      <c r="LHL60" s="53"/>
      <c r="LHM60" s="53"/>
      <c r="LHN60" s="53"/>
      <c r="LHO60" s="53"/>
      <c r="LHP60" s="53"/>
      <c r="LHQ60" s="53"/>
      <c r="LHR60" s="53"/>
      <c r="LHS60" s="53"/>
      <c r="LHT60" s="53"/>
      <c r="LHU60" s="53"/>
      <c r="LHV60" s="53"/>
      <c r="LHW60" s="53"/>
      <c r="LHX60" s="53"/>
      <c r="LHY60" s="53"/>
      <c r="LHZ60" s="53"/>
      <c r="LIA60" s="53"/>
      <c r="LIB60" s="53"/>
      <c r="LIC60" s="53"/>
      <c r="LID60" s="53"/>
      <c r="LIE60" s="53"/>
      <c r="LIF60" s="53"/>
      <c r="LIG60" s="53"/>
      <c r="LIH60" s="53"/>
      <c r="LII60" s="53"/>
      <c r="LIJ60" s="53"/>
      <c r="LIK60" s="53"/>
      <c r="LIL60" s="53"/>
      <c r="LIM60" s="53"/>
      <c r="LIN60" s="53"/>
      <c r="LIO60" s="53"/>
      <c r="LIP60" s="53"/>
      <c r="LIQ60" s="53"/>
      <c r="LIR60" s="53"/>
      <c r="LIS60" s="53"/>
      <c r="LIT60" s="53"/>
      <c r="LIU60" s="53"/>
      <c r="LIV60" s="53"/>
      <c r="LIW60" s="53"/>
      <c r="LIX60" s="53"/>
      <c r="LIY60" s="53"/>
      <c r="LIZ60" s="53"/>
      <c r="LJA60" s="53"/>
      <c r="LJB60" s="53"/>
      <c r="LJC60" s="53"/>
      <c r="LJD60" s="53"/>
      <c r="LJE60" s="53"/>
      <c r="LJF60" s="53"/>
      <c r="LJG60" s="53"/>
      <c r="LJH60" s="53"/>
      <c r="LJI60" s="53"/>
      <c r="LJJ60" s="53"/>
      <c r="LJK60" s="53"/>
      <c r="LJL60" s="53"/>
      <c r="LJM60" s="53"/>
      <c r="LJN60" s="53"/>
      <c r="LJO60" s="53"/>
      <c r="LJP60" s="53"/>
      <c r="LJQ60" s="53"/>
      <c r="LJR60" s="53"/>
      <c r="LJS60" s="53"/>
      <c r="LJT60" s="53"/>
      <c r="LJU60" s="53"/>
      <c r="LJV60" s="53"/>
      <c r="LJW60" s="53"/>
      <c r="LJX60" s="53"/>
      <c r="LJY60" s="53"/>
      <c r="LJZ60" s="53"/>
      <c r="LKA60" s="53"/>
      <c r="LKB60" s="53"/>
      <c r="LKC60" s="53"/>
      <c r="LKD60" s="53"/>
      <c r="LKE60" s="53"/>
      <c r="LKF60" s="53"/>
      <c r="LKG60" s="53"/>
      <c r="LKH60" s="53"/>
      <c r="LKI60" s="53"/>
      <c r="LKJ60" s="53"/>
      <c r="LKK60" s="53"/>
      <c r="LKL60" s="53"/>
      <c r="LKM60" s="53"/>
      <c r="LKN60" s="53"/>
      <c r="LKO60" s="53"/>
      <c r="LKP60" s="53"/>
      <c r="LKQ60" s="53"/>
      <c r="LKR60" s="53"/>
      <c r="LKS60" s="53"/>
      <c r="LKT60" s="53"/>
      <c r="LKU60" s="53"/>
      <c r="LKV60" s="53"/>
      <c r="LKW60" s="53"/>
      <c r="LKX60" s="53"/>
      <c r="LKY60" s="53"/>
      <c r="LKZ60" s="53"/>
      <c r="LLA60" s="53"/>
      <c r="LLB60" s="53"/>
      <c r="LLC60" s="53"/>
      <c r="LLD60" s="53"/>
      <c r="LLE60" s="53"/>
      <c r="LLF60" s="53"/>
      <c r="LLG60" s="53"/>
      <c r="LLH60" s="53"/>
      <c r="LLI60" s="53"/>
      <c r="LLJ60" s="53"/>
      <c r="LLK60" s="53"/>
      <c r="LLL60" s="53"/>
      <c r="LLM60" s="53"/>
      <c r="LLN60" s="53"/>
      <c r="LLO60" s="53"/>
      <c r="LLP60" s="53"/>
      <c r="LLQ60" s="53"/>
      <c r="LLR60" s="53"/>
      <c r="LLS60" s="53"/>
      <c r="LLT60" s="53"/>
      <c r="LLU60" s="53"/>
      <c r="LLV60" s="53"/>
      <c r="LLW60" s="53"/>
      <c r="LLX60" s="53"/>
      <c r="LLY60" s="53"/>
      <c r="LLZ60" s="53"/>
      <c r="LMA60" s="53"/>
      <c r="LMB60" s="53"/>
      <c r="LMC60" s="53"/>
      <c r="LMD60" s="53"/>
      <c r="LME60" s="53"/>
      <c r="LMF60" s="53"/>
      <c r="LMG60" s="53"/>
      <c r="LMH60" s="53"/>
      <c r="LMI60" s="53"/>
      <c r="LMJ60" s="53"/>
      <c r="LMK60" s="53"/>
      <c r="LML60" s="53"/>
      <c r="LMM60" s="53"/>
      <c r="LMN60" s="53"/>
      <c r="LMO60" s="53"/>
      <c r="LMP60" s="53"/>
      <c r="LMQ60" s="53"/>
      <c r="LMR60" s="53"/>
      <c r="LMS60" s="53"/>
      <c r="LMT60" s="53"/>
      <c r="LMU60" s="53"/>
      <c r="LMV60" s="53"/>
      <c r="LMW60" s="53"/>
      <c r="LMX60" s="53"/>
      <c r="LMY60" s="53"/>
      <c r="LMZ60" s="53"/>
      <c r="LNA60" s="53"/>
      <c r="LNB60" s="53"/>
      <c r="LNC60" s="53"/>
      <c r="LND60" s="53"/>
      <c r="LNE60" s="53"/>
      <c r="LNF60" s="53"/>
      <c r="LNG60" s="53"/>
      <c r="LNH60" s="53"/>
      <c r="LNI60" s="53"/>
      <c r="LNJ60" s="53"/>
      <c r="LNK60" s="53"/>
      <c r="LNL60" s="53"/>
      <c r="LNM60" s="53"/>
      <c r="LNN60" s="53"/>
      <c r="LNO60" s="53"/>
      <c r="LNP60" s="53"/>
      <c r="LNQ60" s="53"/>
      <c r="LNR60" s="53"/>
      <c r="LNS60" s="53"/>
      <c r="LNT60" s="53"/>
      <c r="LNU60" s="53"/>
      <c r="LNV60" s="53"/>
      <c r="LNW60" s="53"/>
      <c r="LNX60" s="53"/>
      <c r="LNY60" s="53"/>
      <c r="LNZ60" s="53"/>
      <c r="LOA60" s="53"/>
      <c r="LOB60" s="53"/>
      <c r="LOC60" s="53"/>
      <c r="LOD60" s="53"/>
      <c r="LOE60" s="53"/>
      <c r="LOF60" s="53"/>
      <c r="LOG60" s="53"/>
      <c r="LOH60" s="53"/>
      <c r="LOI60" s="53"/>
      <c r="LOJ60" s="53"/>
      <c r="LOK60" s="53"/>
      <c r="LOL60" s="53"/>
      <c r="LOM60" s="53"/>
      <c r="LON60" s="53"/>
      <c r="LOO60" s="53"/>
      <c r="LOP60" s="53"/>
      <c r="LOQ60" s="53"/>
      <c r="LOR60" s="53"/>
      <c r="LOS60" s="53"/>
      <c r="LOT60" s="53"/>
      <c r="LOU60" s="53"/>
      <c r="LOV60" s="53"/>
      <c r="LOW60" s="53"/>
      <c r="LOX60" s="53"/>
      <c r="LOY60" s="53"/>
      <c r="LOZ60" s="53"/>
      <c r="LPA60" s="53"/>
      <c r="LPB60" s="53"/>
      <c r="LPC60" s="53"/>
      <c r="LPD60" s="53"/>
      <c r="LPE60" s="53"/>
      <c r="LPF60" s="53"/>
      <c r="LPG60" s="53"/>
      <c r="LPH60" s="53"/>
      <c r="LPI60" s="53"/>
      <c r="LPJ60" s="53"/>
      <c r="LPK60" s="53"/>
      <c r="LPL60" s="53"/>
      <c r="LPM60" s="53"/>
      <c r="LPN60" s="53"/>
      <c r="LPO60" s="53"/>
      <c r="LPP60" s="53"/>
      <c r="LPQ60" s="53"/>
      <c r="LPR60" s="53"/>
      <c r="LPS60" s="53"/>
      <c r="LPT60" s="53"/>
      <c r="LPU60" s="53"/>
      <c r="LPV60" s="53"/>
      <c r="LPW60" s="53"/>
      <c r="LPX60" s="53"/>
      <c r="LPY60" s="53"/>
      <c r="LPZ60" s="53"/>
      <c r="LQA60" s="53"/>
      <c r="LQB60" s="53"/>
      <c r="LQC60" s="53"/>
      <c r="LQD60" s="53"/>
      <c r="LQE60" s="53"/>
      <c r="LQF60" s="53"/>
      <c r="LQG60" s="53"/>
      <c r="LQH60" s="53"/>
      <c r="LQI60" s="53"/>
      <c r="LQJ60" s="53"/>
      <c r="LQK60" s="53"/>
      <c r="LQL60" s="53"/>
      <c r="LQM60" s="53"/>
      <c r="LQN60" s="53"/>
      <c r="LQO60" s="53"/>
      <c r="LQP60" s="53"/>
      <c r="LQQ60" s="53"/>
      <c r="LQR60" s="53"/>
      <c r="LQS60" s="53"/>
      <c r="LQT60" s="53"/>
      <c r="LQU60" s="53"/>
      <c r="LQV60" s="53"/>
      <c r="LQW60" s="53"/>
      <c r="LQX60" s="53"/>
      <c r="LQY60" s="53"/>
      <c r="LQZ60" s="53"/>
      <c r="LRA60" s="53"/>
      <c r="LRB60" s="53"/>
      <c r="LRC60" s="53"/>
      <c r="LRD60" s="53"/>
      <c r="LRE60" s="53"/>
      <c r="LRF60" s="53"/>
      <c r="LRG60" s="53"/>
      <c r="LRH60" s="53"/>
      <c r="LRI60" s="53"/>
      <c r="LRJ60" s="53"/>
      <c r="LRK60" s="53"/>
      <c r="LRL60" s="53"/>
      <c r="LRM60" s="53"/>
      <c r="LRN60" s="53"/>
      <c r="LRO60" s="53"/>
      <c r="LRP60" s="53"/>
      <c r="LRQ60" s="53"/>
      <c r="LRR60" s="53"/>
      <c r="LRS60" s="53"/>
      <c r="LRT60" s="53"/>
      <c r="LRU60" s="53"/>
      <c r="LRV60" s="53"/>
      <c r="LRW60" s="53"/>
      <c r="LRX60" s="53"/>
      <c r="LRY60" s="53"/>
      <c r="LRZ60" s="53"/>
      <c r="LSA60" s="53"/>
      <c r="LSB60" s="53"/>
      <c r="LSC60" s="53"/>
      <c r="LSD60" s="53"/>
      <c r="LSE60" s="53"/>
      <c r="LSF60" s="53"/>
      <c r="LSG60" s="53"/>
      <c r="LSH60" s="53"/>
      <c r="LSI60" s="53"/>
      <c r="LSJ60" s="53"/>
      <c r="LSK60" s="53"/>
      <c r="LSL60" s="53"/>
      <c r="LSM60" s="53"/>
      <c r="LSN60" s="53"/>
      <c r="LSO60" s="53"/>
      <c r="LSP60" s="53"/>
      <c r="LSQ60" s="53"/>
      <c r="LSR60" s="53"/>
      <c r="LSS60" s="53"/>
      <c r="LST60" s="53"/>
      <c r="LSU60" s="53"/>
      <c r="LSV60" s="53"/>
      <c r="LSW60" s="53"/>
      <c r="LSX60" s="53"/>
      <c r="LSY60" s="53"/>
      <c r="LSZ60" s="53"/>
      <c r="LTA60" s="53"/>
      <c r="LTB60" s="53"/>
      <c r="LTC60" s="53"/>
      <c r="LTD60" s="53"/>
      <c r="LTE60" s="53"/>
      <c r="LTF60" s="53"/>
      <c r="LTG60" s="53"/>
      <c r="LTH60" s="53"/>
      <c r="LTI60" s="53"/>
      <c r="LTJ60" s="53"/>
      <c r="LTK60" s="53"/>
      <c r="LTL60" s="53"/>
      <c r="LTM60" s="53"/>
      <c r="LTN60" s="53"/>
      <c r="LTO60" s="53"/>
      <c r="LTP60" s="53"/>
      <c r="LTQ60" s="53"/>
      <c r="LTR60" s="53"/>
      <c r="LTS60" s="53"/>
      <c r="LTT60" s="53"/>
      <c r="LTU60" s="53"/>
      <c r="LTV60" s="53"/>
      <c r="LTW60" s="53"/>
      <c r="LTX60" s="53"/>
      <c r="LTY60" s="53"/>
      <c r="LTZ60" s="53"/>
      <c r="LUA60" s="53"/>
      <c r="LUB60" s="53"/>
      <c r="LUC60" s="53"/>
      <c r="LUD60" s="53"/>
      <c r="LUE60" s="53"/>
      <c r="LUF60" s="53"/>
      <c r="LUG60" s="53"/>
      <c r="LUH60" s="53"/>
      <c r="LUI60" s="53"/>
      <c r="LUJ60" s="53"/>
      <c r="LUK60" s="53"/>
      <c r="LUL60" s="53"/>
      <c r="LUM60" s="53"/>
      <c r="LUN60" s="53"/>
      <c r="LUO60" s="53"/>
      <c r="LUP60" s="53"/>
      <c r="LUQ60" s="53"/>
      <c r="LUR60" s="53"/>
      <c r="LUS60" s="53"/>
      <c r="LUT60" s="53"/>
      <c r="LUU60" s="53"/>
      <c r="LUV60" s="53"/>
      <c r="LUW60" s="53"/>
      <c r="LUX60" s="53"/>
      <c r="LUY60" s="53"/>
      <c r="LUZ60" s="53"/>
      <c r="LVA60" s="53"/>
      <c r="LVB60" s="53"/>
      <c r="LVC60" s="53"/>
      <c r="LVD60" s="53"/>
      <c r="LVE60" s="53"/>
      <c r="LVF60" s="53"/>
      <c r="LVG60" s="53"/>
      <c r="LVH60" s="53"/>
      <c r="LVI60" s="53"/>
      <c r="LVJ60" s="53"/>
      <c r="LVK60" s="53"/>
      <c r="LVL60" s="53"/>
      <c r="LVM60" s="53"/>
      <c r="LVN60" s="53"/>
      <c r="LVO60" s="53"/>
      <c r="LVP60" s="53"/>
      <c r="LVQ60" s="53"/>
      <c r="LVR60" s="53"/>
      <c r="LVS60" s="53"/>
      <c r="LVT60" s="53"/>
      <c r="LVU60" s="53"/>
      <c r="LVV60" s="53"/>
      <c r="LVW60" s="53"/>
      <c r="LVX60" s="53"/>
      <c r="LVY60" s="53"/>
      <c r="LVZ60" s="53"/>
      <c r="LWA60" s="53"/>
      <c r="LWB60" s="53"/>
      <c r="LWC60" s="53"/>
      <c r="LWD60" s="53"/>
      <c r="LWE60" s="53"/>
      <c r="LWF60" s="53"/>
      <c r="LWG60" s="53"/>
      <c r="LWH60" s="53"/>
      <c r="LWI60" s="53"/>
      <c r="LWJ60" s="53"/>
      <c r="LWK60" s="53"/>
      <c r="LWL60" s="53"/>
      <c r="LWM60" s="53"/>
      <c r="LWN60" s="53"/>
      <c r="LWO60" s="53"/>
      <c r="LWP60" s="53"/>
      <c r="LWQ60" s="53"/>
      <c r="LWR60" s="53"/>
      <c r="LWS60" s="53"/>
      <c r="LWT60" s="53"/>
      <c r="LWU60" s="53"/>
      <c r="LWV60" s="53"/>
      <c r="LWW60" s="53"/>
      <c r="LWX60" s="53"/>
      <c r="LWY60" s="53"/>
      <c r="LWZ60" s="53"/>
      <c r="LXA60" s="53"/>
      <c r="LXB60" s="53"/>
      <c r="LXC60" s="53"/>
      <c r="LXD60" s="53"/>
      <c r="LXE60" s="53"/>
      <c r="LXF60" s="53"/>
      <c r="LXG60" s="53"/>
      <c r="LXH60" s="53"/>
      <c r="LXI60" s="53"/>
      <c r="LXJ60" s="53"/>
      <c r="LXK60" s="53"/>
      <c r="LXL60" s="53"/>
      <c r="LXM60" s="53"/>
      <c r="LXN60" s="53"/>
      <c r="LXO60" s="53"/>
      <c r="LXP60" s="53"/>
      <c r="LXQ60" s="53"/>
      <c r="LXR60" s="53"/>
      <c r="LXS60" s="53"/>
      <c r="LXT60" s="53"/>
      <c r="LXU60" s="53"/>
      <c r="LXV60" s="53"/>
      <c r="LXW60" s="53"/>
      <c r="LXX60" s="53"/>
      <c r="LXY60" s="53"/>
      <c r="LXZ60" s="53"/>
      <c r="LYA60" s="53"/>
      <c r="LYB60" s="53"/>
      <c r="LYC60" s="53"/>
      <c r="LYD60" s="53"/>
      <c r="LYE60" s="53"/>
      <c r="LYF60" s="53"/>
      <c r="LYG60" s="53"/>
      <c r="LYH60" s="53"/>
      <c r="LYI60" s="53"/>
      <c r="LYJ60" s="53"/>
      <c r="LYK60" s="53"/>
      <c r="LYL60" s="53"/>
      <c r="LYM60" s="53"/>
      <c r="LYN60" s="53"/>
      <c r="LYO60" s="53"/>
      <c r="LYP60" s="53"/>
      <c r="LYQ60" s="53"/>
      <c r="LYR60" s="53"/>
      <c r="LYS60" s="53"/>
      <c r="LYT60" s="53"/>
      <c r="LYU60" s="53"/>
      <c r="LYV60" s="53"/>
      <c r="LYW60" s="53"/>
      <c r="LYX60" s="53"/>
      <c r="LYY60" s="53"/>
      <c r="LYZ60" s="53"/>
      <c r="LZA60" s="53"/>
      <c r="LZB60" s="53"/>
      <c r="LZC60" s="53"/>
      <c r="LZD60" s="53"/>
      <c r="LZE60" s="53"/>
      <c r="LZF60" s="53"/>
      <c r="LZG60" s="53"/>
      <c r="LZH60" s="53"/>
      <c r="LZI60" s="53"/>
      <c r="LZJ60" s="53"/>
      <c r="LZK60" s="53"/>
      <c r="LZL60" s="53"/>
      <c r="LZM60" s="53"/>
      <c r="LZN60" s="53"/>
      <c r="LZO60" s="53"/>
      <c r="LZP60" s="53"/>
      <c r="LZQ60" s="53"/>
      <c r="LZR60" s="53"/>
      <c r="LZS60" s="53"/>
      <c r="LZT60" s="53"/>
      <c r="LZU60" s="53"/>
      <c r="LZV60" s="53"/>
      <c r="LZW60" s="53"/>
      <c r="LZX60" s="53"/>
      <c r="LZY60" s="53"/>
      <c r="LZZ60" s="53"/>
      <c r="MAA60" s="53"/>
      <c r="MAB60" s="53"/>
      <c r="MAC60" s="53"/>
      <c r="MAD60" s="53"/>
      <c r="MAE60" s="53"/>
      <c r="MAF60" s="53"/>
      <c r="MAG60" s="53"/>
      <c r="MAH60" s="53"/>
      <c r="MAI60" s="53"/>
      <c r="MAJ60" s="53"/>
      <c r="MAK60" s="53"/>
      <c r="MAL60" s="53"/>
      <c r="MAM60" s="53"/>
      <c r="MAN60" s="53"/>
      <c r="MAO60" s="53"/>
      <c r="MAP60" s="53"/>
      <c r="MAQ60" s="53"/>
      <c r="MAR60" s="53"/>
      <c r="MAS60" s="53"/>
      <c r="MAT60" s="53"/>
      <c r="MAU60" s="53"/>
      <c r="MAV60" s="53"/>
      <c r="MAW60" s="53"/>
      <c r="MAX60" s="53"/>
      <c r="MAY60" s="53"/>
      <c r="MAZ60" s="53"/>
      <c r="MBA60" s="53"/>
      <c r="MBB60" s="53"/>
      <c r="MBC60" s="53"/>
      <c r="MBD60" s="53"/>
      <c r="MBE60" s="53"/>
      <c r="MBF60" s="53"/>
      <c r="MBG60" s="53"/>
      <c r="MBH60" s="53"/>
      <c r="MBI60" s="53"/>
      <c r="MBJ60" s="53"/>
      <c r="MBK60" s="53"/>
      <c r="MBL60" s="53"/>
      <c r="MBM60" s="53"/>
      <c r="MBN60" s="53"/>
      <c r="MBO60" s="53"/>
      <c r="MBP60" s="53"/>
      <c r="MBQ60" s="53"/>
      <c r="MBR60" s="53"/>
      <c r="MBS60" s="53"/>
      <c r="MBT60" s="53"/>
      <c r="MBU60" s="53"/>
      <c r="MBV60" s="53"/>
      <c r="MBW60" s="53"/>
      <c r="MBX60" s="53"/>
      <c r="MBY60" s="53"/>
      <c r="MBZ60" s="53"/>
      <c r="MCA60" s="53"/>
      <c r="MCB60" s="53"/>
      <c r="MCC60" s="53"/>
      <c r="MCD60" s="53"/>
      <c r="MCE60" s="53"/>
      <c r="MCF60" s="53"/>
      <c r="MCG60" s="53"/>
      <c r="MCH60" s="53"/>
      <c r="MCI60" s="53"/>
      <c r="MCJ60" s="53"/>
      <c r="MCK60" s="53"/>
      <c r="MCL60" s="53"/>
      <c r="MCM60" s="53"/>
      <c r="MCN60" s="53"/>
      <c r="MCO60" s="53"/>
      <c r="MCP60" s="53"/>
      <c r="MCQ60" s="53"/>
      <c r="MCR60" s="53"/>
      <c r="MCS60" s="53"/>
      <c r="MCT60" s="53"/>
      <c r="MCU60" s="53"/>
      <c r="MCV60" s="53"/>
      <c r="MCW60" s="53"/>
      <c r="MCX60" s="53"/>
      <c r="MCY60" s="53"/>
      <c r="MCZ60" s="53"/>
      <c r="MDA60" s="53"/>
      <c r="MDB60" s="53"/>
      <c r="MDC60" s="53"/>
      <c r="MDD60" s="53"/>
      <c r="MDE60" s="53"/>
      <c r="MDF60" s="53"/>
      <c r="MDG60" s="53"/>
      <c r="MDH60" s="53"/>
      <c r="MDI60" s="53"/>
      <c r="MDJ60" s="53"/>
      <c r="MDK60" s="53"/>
      <c r="MDL60" s="53"/>
      <c r="MDM60" s="53"/>
      <c r="MDN60" s="53"/>
      <c r="MDO60" s="53"/>
      <c r="MDP60" s="53"/>
      <c r="MDQ60" s="53"/>
      <c r="MDR60" s="53"/>
      <c r="MDS60" s="53"/>
      <c r="MDT60" s="53"/>
      <c r="MDU60" s="53"/>
      <c r="MDV60" s="53"/>
      <c r="MDW60" s="53"/>
      <c r="MDX60" s="53"/>
      <c r="MDY60" s="53"/>
      <c r="MDZ60" s="53"/>
      <c r="MEA60" s="53"/>
      <c r="MEB60" s="53"/>
      <c r="MEC60" s="53"/>
      <c r="MED60" s="53"/>
      <c r="MEE60" s="53"/>
      <c r="MEF60" s="53"/>
      <c r="MEG60" s="53"/>
      <c r="MEH60" s="53"/>
      <c r="MEI60" s="53"/>
      <c r="MEJ60" s="53"/>
      <c r="MEK60" s="53"/>
      <c r="MEL60" s="53"/>
      <c r="MEM60" s="53"/>
      <c r="MEN60" s="53"/>
      <c r="MEO60" s="53"/>
      <c r="MEP60" s="53"/>
      <c r="MEQ60" s="53"/>
      <c r="MER60" s="53"/>
      <c r="MES60" s="53"/>
      <c r="MET60" s="53"/>
      <c r="MEU60" s="53"/>
      <c r="MEV60" s="53"/>
      <c r="MEW60" s="53"/>
      <c r="MEX60" s="53"/>
      <c r="MEY60" s="53"/>
      <c r="MEZ60" s="53"/>
      <c r="MFA60" s="53"/>
      <c r="MFB60" s="53"/>
      <c r="MFC60" s="53"/>
      <c r="MFD60" s="53"/>
      <c r="MFE60" s="53"/>
      <c r="MFF60" s="53"/>
      <c r="MFG60" s="53"/>
      <c r="MFH60" s="53"/>
      <c r="MFI60" s="53"/>
      <c r="MFJ60" s="53"/>
      <c r="MFK60" s="53"/>
      <c r="MFL60" s="53"/>
      <c r="MFM60" s="53"/>
      <c r="MFN60" s="53"/>
      <c r="MFO60" s="53"/>
      <c r="MFP60" s="53"/>
      <c r="MFQ60" s="53"/>
      <c r="MFR60" s="53"/>
      <c r="MFS60" s="53"/>
      <c r="MFT60" s="53"/>
      <c r="MFU60" s="53"/>
      <c r="MFV60" s="53"/>
      <c r="MFW60" s="53"/>
      <c r="MFX60" s="53"/>
      <c r="MFY60" s="53"/>
      <c r="MFZ60" s="53"/>
      <c r="MGA60" s="53"/>
      <c r="MGB60" s="53"/>
      <c r="MGC60" s="53"/>
      <c r="MGD60" s="53"/>
      <c r="MGE60" s="53"/>
      <c r="MGF60" s="53"/>
      <c r="MGG60" s="53"/>
      <c r="MGH60" s="53"/>
      <c r="MGI60" s="53"/>
      <c r="MGJ60" s="53"/>
      <c r="MGK60" s="53"/>
      <c r="MGL60" s="53"/>
      <c r="MGM60" s="53"/>
      <c r="MGN60" s="53"/>
      <c r="MGO60" s="53"/>
      <c r="MGP60" s="53"/>
      <c r="MGQ60" s="53"/>
      <c r="MGR60" s="53"/>
      <c r="MGS60" s="53"/>
      <c r="MGT60" s="53"/>
      <c r="MGU60" s="53"/>
      <c r="MGV60" s="53"/>
      <c r="MGW60" s="53"/>
      <c r="MGX60" s="53"/>
      <c r="MGY60" s="53"/>
      <c r="MGZ60" s="53"/>
      <c r="MHA60" s="53"/>
      <c r="MHB60" s="53"/>
      <c r="MHC60" s="53"/>
      <c r="MHD60" s="53"/>
      <c r="MHE60" s="53"/>
      <c r="MHF60" s="53"/>
      <c r="MHG60" s="53"/>
      <c r="MHH60" s="53"/>
      <c r="MHI60" s="53"/>
      <c r="MHJ60" s="53"/>
      <c r="MHK60" s="53"/>
      <c r="MHL60" s="53"/>
      <c r="MHM60" s="53"/>
      <c r="MHN60" s="53"/>
      <c r="MHO60" s="53"/>
      <c r="MHP60" s="53"/>
      <c r="MHQ60" s="53"/>
      <c r="MHR60" s="53"/>
      <c r="MHS60" s="53"/>
      <c r="MHT60" s="53"/>
      <c r="MHU60" s="53"/>
      <c r="MHV60" s="53"/>
      <c r="MHW60" s="53"/>
      <c r="MHX60" s="53"/>
      <c r="MHY60" s="53"/>
      <c r="MHZ60" s="53"/>
      <c r="MIA60" s="53"/>
      <c r="MIB60" s="53"/>
      <c r="MIC60" s="53"/>
      <c r="MID60" s="53"/>
      <c r="MIE60" s="53"/>
      <c r="MIF60" s="53"/>
      <c r="MIG60" s="53"/>
      <c r="MIH60" s="53"/>
      <c r="MII60" s="53"/>
      <c r="MIJ60" s="53"/>
      <c r="MIK60" s="53"/>
      <c r="MIL60" s="53"/>
      <c r="MIM60" s="53"/>
      <c r="MIN60" s="53"/>
      <c r="MIO60" s="53"/>
      <c r="MIP60" s="53"/>
      <c r="MIQ60" s="53"/>
      <c r="MIR60" s="53"/>
      <c r="MIS60" s="53"/>
      <c r="MIT60" s="53"/>
      <c r="MIU60" s="53"/>
      <c r="MIV60" s="53"/>
      <c r="MIW60" s="53"/>
      <c r="MIX60" s="53"/>
      <c r="MIY60" s="53"/>
      <c r="MIZ60" s="53"/>
      <c r="MJA60" s="53"/>
      <c r="MJB60" s="53"/>
      <c r="MJC60" s="53"/>
      <c r="MJD60" s="53"/>
      <c r="MJE60" s="53"/>
      <c r="MJF60" s="53"/>
      <c r="MJG60" s="53"/>
      <c r="MJH60" s="53"/>
      <c r="MJI60" s="53"/>
      <c r="MJJ60" s="53"/>
      <c r="MJK60" s="53"/>
      <c r="MJL60" s="53"/>
      <c r="MJM60" s="53"/>
      <c r="MJN60" s="53"/>
      <c r="MJO60" s="53"/>
      <c r="MJP60" s="53"/>
      <c r="MJQ60" s="53"/>
      <c r="MJR60" s="53"/>
      <c r="MJS60" s="53"/>
      <c r="MJT60" s="53"/>
      <c r="MJU60" s="53"/>
      <c r="MJV60" s="53"/>
      <c r="MJW60" s="53"/>
      <c r="MJX60" s="53"/>
      <c r="MJY60" s="53"/>
      <c r="MJZ60" s="53"/>
      <c r="MKA60" s="53"/>
      <c r="MKB60" s="53"/>
      <c r="MKC60" s="53"/>
      <c r="MKD60" s="53"/>
      <c r="MKE60" s="53"/>
      <c r="MKF60" s="53"/>
      <c r="MKG60" s="53"/>
      <c r="MKH60" s="53"/>
      <c r="MKI60" s="53"/>
      <c r="MKJ60" s="53"/>
      <c r="MKK60" s="53"/>
      <c r="MKL60" s="53"/>
      <c r="MKM60" s="53"/>
      <c r="MKN60" s="53"/>
      <c r="MKO60" s="53"/>
      <c r="MKP60" s="53"/>
      <c r="MKQ60" s="53"/>
      <c r="MKR60" s="53"/>
      <c r="MKS60" s="53"/>
      <c r="MKT60" s="53"/>
      <c r="MKU60" s="53"/>
      <c r="MKV60" s="53"/>
      <c r="MKW60" s="53"/>
      <c r="MKX60" s="53"/>
      <c r="MKY60" s="53"/>
      <c r="MKZ60" s="53"/>
      <c r="MLA60" s="53"/>
      <c r="MLB60" s="53"/>
      <c r="MLC60" s="53"/>
      <c r="MLD60" s="53"/>
      <c r="MLE60" s="53"/>
      <c r="MLF60" s="53"/>
      <c r="MLG60" s="53"/>
      <c r="MLH60" s="53"/>
      <c r="MLI60" s="53"/>
      <c r="MLJ60" s="53"/>
      <c r="MLK60" s="53"/>
      <c r="MLL60" s="53"/>
      <c r="MLM60" s="53"/>
      <c r="MLN60" s="53"/>
      <c r="MLO60" s="53"/>
      <c r="MLP60" s="53"/>
      <c r="MLQ60" s="53"/>
      <c r="MLR60" s="53"/>
      <c r="MLS60" s="53"/>
      <c r="MLT60" s="53"/>
      <c r="MLU60" s="53"/>
      <c r="MLV60" s="53"/>
      <c r="MLW60" s="53"/>
      <c r="MLX60" s="53"/>
      <c r="MLY60" s="53"/>
      <c r="MLZ60" s="53"/>
      <c r="MMA60" s="53"/>
      <c r="MMB60" s="53"/>
      <c r="MMC60" s="53"/>
      <c r="MMD60" s="53"/>
      <c r="MME60" s="53"/>
      <c r="MMF60" s="53"/>
      <c r="MMG60" s="53"/>
      <c r="MMH60" s="53"/>
      <c r="MMI60" s="53"/>
      <c r="MMJ60" s="53"/>
      <c r="MMK60" s="53"/>
      <c r="MML60" s="53"/>
      <c r="MMM60" s="53"/>
      <c r="MMN60" s="53"/>
      <c r="MMO60" s="53"/>
      <c r="MMP60" s="53"/>
      <c r="MMQ60" s="53"/>
      <c r="MMR60" s="53"/>
      <c r="MMS60" s="53"/>
      <c r="MMT60" s="53"/>
      <c r="MMU60" s="53"/>
      <c r="MMV60" s="53"/>
      <c r="MMW60" s="53"/>
      <c r="MMX60" s="53"/>
      <c r="MMY60" s="53"/>
      <c r="MMZ60" s="53"/>
      <c r="MNA60" s="53"/>
      <c r="MNB60" s="53"/>
      <c r="MNC60" s="53"/>
      <c r="MND60" s="53"/>
      <c r="MNE60" s="53"/>
      <c r="MNF60" s="53"/>
      <c r="MNG60" s="53"/>
      <c r="MNH60" s="53"/>
      <c r="MNI60" s="53"/>
      <c r="MNJ60" s="53"/>
      <c r="MNK60" s="53"/>
      <c r="MNL60" s="53"/>
      <c r="MNM60" s="53"/>
      <c r="MNN60" s="53"/>
      <c r="MNO60" s="53"/>
      <c r="MNP60" s="53"/>
      <c r="MNQ60" s="53"/>
      <c r="MNR60" s="53"/>
      <c r="MNS60" s="53"/>
      <c r="MNT60" s="53"/>
      <c r="MNU60" s="53"/>
      <c r="MNV60" s="53"/>
      <c r="MNW60" s="53"/>
      <c r="MNX60" s="53"/>
      <c r="MNY60" s="53"/>
      <c r="MNZ60" s="53"/>
      <c r="MOA60" s="53"/>
      <c r="MOB60" s="53"/>
      <c r="MOC60" s="53"/>
      <c r="MOD60" s="53"/>
      <c r="MOE60" s="53"/>
      <c r="MOF60" s="53"/>
      <c r="MOG60" s="53"/>
      <c r="MOH60" s="53"/>
      <c r="MOI60" s="53"/>
      <c r="MOJ60" s="53"/>
      <c r="MOK60" s="53"/>
      <c r="MOL60" s="53"/>
      <c r="MOM60" s="53"/>
      <c r="MON60" s="53"/>
      <c r="MOO60" s="53"/>
      <c r="MOP60" s="53"/>
      <c r="MOQ60" s="53"/>
      <c r="MOR60" s="53"/>
      <c r="MOS60" s="53"/>
      <c r="MOT60" s="53"/>
      <c r="MOU60" s="53"/>
      <c r="MOV60" s="53"/>
      <c r="MOW60" s="53"/>
      <c r="MOX60" s="53"/>
      <c r="MOY60" s="53"/>
      <c r="MOZ60" s="53"/>
      <c r="MPA60" s="53"/>
      <c r="MPB60" s="53"/>
      <c r="MPC60" s="53"/>
      <c r="MPD60" s="53"/>
      <c r="MPE60" s="53"/>
      <c r="MPF60" s="53"/>
      <c r="MPG60" s="53"/>
      <c r="MPH60" s="53"/>
      <c r="MPI60" s="53"/>
      <c r="MPJ60" s="53"/>
      <c r="MPK60" s="53"/>
      <c r="MPL60" s="53"/>
      <c r="MPM60" s="53"/>
      <c r="MPN60" s="53"/>
      <c r="MPO60" s="53"/>
      <c r="MPP60" s="53"/>
      <c r="MPQ60" s="53"/>
      <c r="MPR60" s="53"/>
      <c r="MPS60" s="53"/>
      <c r="MPT60" s="53"/>
      <c r="MPU60" s="53"/>
      <c r="MPV60" s="53"/>
      <c r="MPW60" s="53"/>
      <c r="MPX60" s="53"/>
      <c r="MPY60" s="53"/>
      <c r="MPZ60" s="53"/>
      <c r="MQA60" s="53"/>
      <c r="MQB60" s="53"/>
      <c r="MQC60" s="53"/>
      <c r="MQD60" s="53"/>
      <c r="MQE60" s="53"/>
      <c r="MQF60" s="53"/>
      <c r="MQG60" s="53"/>
      <c r="MQH60" s="53"/>
      <c r="MQI60" s="53"/>
      <c r="MQJ60" s="53"/>
      <c r="MQK60" s="53"/>
      <c r="MQL60" s="53"/>
      <c r="MQM60" s="53"/>
      <c r="MQN60" s="53"/>
      <c r="MQO60" s="53"/>
      <c r="MQP60" s="53"/>
      <c r="MQQ60" s="53"/>
      <c r="MQR60" s="53"/>
      <c r="MQS60" s="53"/>
      <c r="MQT60" s="53"/>
      <c r="MQU60" s="53"/>
      <c r="MQV60" s="53"/>
      <c r="MQW60" s="53"/>
      <c r="MQX60" s="53"/>
      <c r="MQY60" s="53"/>
      <c r="MQZ60" s="53"/>
      <c r="MRA60" s="53"/>
      <c r="MRB60" s="53"/>
      <c r="MRC60" s="53"/>
      <c r="MRD60" s="53"/>
      <c r="MRE60" s="53"/>
      <c r="MRF60" s="53"/>
      <c r="MRG60" s="53"/>
      <c r="MRH60" s="53"/>
      <c r="MRI60" s="53"/>
      <c r="MRJ60" s="53"/>
      <c r="MRK60" s="53"/>
      <c r="MRL60" s="53"/>
      <c r="MRM60" s="53"/>
      <c r="MRN60" s="53"/>
      <c r="MRO60" s="53"/>
      <c r="MRP60" s="53"/>
      <c r="MRQ60" s="53"/>
      <c r="MRR60" s="53"/>
      <c r="MRS60" s="53"/>
      <c r="MRT60" s="53"/>
      <c r="MRU60" s="53"/>
      <c r="MRV60" s="53"/>
      <c r="MRW60" s="53"/>
      <c r="MRX60" s="53"/>
      <c r="MRY60" s="53"/>
      <c r="MRZ60" s="53"/>
      <c r="MSA60" s="53"/>
      <c r="MSB60" s="53"/>
      <c r="MSC60" s="53"/>
      <c r="MSD60" s="53"/>
      <c r="MSE60" s="53"/>
      <c r="MSF60" s="53"/>
      <c r="MSG60" s="53"/>
      <c r="MSH60" s="53"/>
      <c r="MSI60" s="53"/>
      <c r="MSJ60" s="53"/>
      <c r="MSK60" s="53"/>
      <c r="MSL60" s="53"/>
      <c r="MSM60" s="53"/>
      <c r="MSN60" s="53"/>
      <c r="MSO60" s="53"/>
      <c r="MSP60" s="53"/>
      <c r="MSQ60" s="53"/>
      <c r="MSR60" s="53"/>
      <c r="MSS60" s="53"/>
      <c r="MST60" s="53"/>
      <c r="MSU60" s="53"/>
      <c r="MSV60" s="53"/>
      <c r="MSW60" s="53"/>
      <c r="MSX60" s="53"/>
      <c r="MSY60" s="53"/>
      <c r="MSZ60" s="53"/>
      <c r="MTA60" s="53"/>
      <c r="MTB60" s="53"/>
      <c r="MTC60" s="53"/>
      <c r="MTD60" s="53"/>
      <c r="MTE60" s="53"/>
      <c r="MTF60" s="53"/>
      <c r="MTG60" s="53"/>
      <c r="MTH60" s="53"/>
      <c r="MTI60" s="53"/>
      <c r="MTJ60" s="53"/>
      <c r="MTK60" s="53"/>
      <c r="MTL60" s="53"/>
      <c r="MTM60" s="53"/>
      <c r="MTN60" s="53"/>
      <c r="MTO60" s="53"/>
      <c r="MTP60" s="53"/>
      <c r="MTQ60" s="53"/>
      <c r="MTR60" s="53"/>
      <c r="MTS60" s="53"/>
      <c r="MTT60" s="53"/>
      <c r="MTU60" s="53"/>
      <c r="MTV60" s="53"/>
      <c r="MTW60" s="53"/>
      <c r="MTX60" s="53"/>
      <c r="MTY60" s="53"/>
      <c r="MTZ60" s="53"/>
      <c r="MUA60" s="53"/>
      <c r="MUB60" s="53"/>
      <c r="MUC60" s="53"/>
      <c r="MUD60" s="53"/>
      <c r="MUE60" s="53"/>
      <c r="MUF60" s="53"/>
      <c r="MUG60" s="53"/>
      <c r="MUH60" s="53"/>
      <c r="MUI60" s="53"/>
      <c r="MUJ60" s="53"/>
      <c r="MUK60" s="53"/>
      <c r="MUL60" s="53"/>
      <c r="MUM60" s="53"/>
      <c r="MUN60" s="53"/>
      <c r="MUO60" s="53"/>
      <c r="MUP60" s="53"/>
      <c r="MUQ60" s="53"/>
      <c r="MUR60" s="53"/>
      <c r="MUS60" s="53"/>
      <c r="MUT60" s="53"/>
      <c r="MUU60" s="53"/>
      <c r="MUV60" s="53"/>
      <c r="MUW60" s="53"/>
      <c r="MUX60" s="53"/>
      <c r="MUY60" s="53"/>
      <c r="MUZ60" s="53"/>
      <c r="MVA60" s="53"/>
      <c r="MVB60" s="53"/>
      <c r="MVC60" s="53"/>
      <c r="MVD60" s="53"/>
      <c r="MVE60" s="53"/>
      <c r="MVF60" s="53"/>
      <c r="MVG60" s="53"/>
      <c r="MVH60" s="53"/>
      <c r="MVI60" s="53"/>
      <c r="MVJ60" s="53"/>
      <c r="MVK60" s="53"/>
      <c r="MVL60" s="53"/>
      <c r="MVM60" s="53"/>
      <c r="MVN60" s="53"/>
      <c r="MVO60" s="53"/>
      <c r="MVP60" s="53"/>
      <c r="MVQ60" s="53"/>
      <c r="MVR60" s="53"/>
      <c r="MVS60" s="53"/>
      <c r="MVT60" s="53"/>
      <c r="MVU60" s="53"/>
      <c r="MVV60" s="53"/>
      <c r="MVW60" s="53"/>
      <c r="MVX60" s="53"/>
      <c r="MVY60" s="53"/>
      <c r="MVZ60" s="53"/>
      <c r="MWA60" s="53"/>
      <c r="MWB60" s="53"/>
      <c r="MWC60" s="53"/>
      <c r="MWD60" s="53"/>
      <c r="MWE60" s="53"/>
      <c r="MWF60" s="53"/>
      <c r="MWG60" s="53"/>
      <c r="MWH60" s="53"/>
      <c r="MWI60" s="53"/>
      <c r="MWJ60" s="53"/>
      <c r="MWK60" s="53"/>
      <c r="MWL60" s="53"/>
      <c r="MWM60" s="53"/>
      <c r="MWN60" s="53"/>
      <c r="MWO60" s="53"/>
      <c r="MWP60" s="53"/>
      <c r="MWQ60" s="53"/>
      <c r="MWR60" s="53"/>
      <c r="MWS60" s="53"/>
      <c r="MWT60" s="53"/>
      <c r="MWU60" s="53"/>
      <c r="MWV60" s="53"/>
      <c r="MWW60" s="53"/>
      <c r="MWX60" s="53"/>
      <c r="MWY60" s="53"/>
      <c r="MWZ60" s="53"/>
      <c r="MXA60" s="53"/>
      <c r="MXB60" s="53"/>
      <c r="MXC60" s="53"/>
      <c r="MXD60" s="53"/>
      <c r="MXE60" s="53"/>
      <c r="MXF60" s="53"/>
      <c r="MXG60" s="53"/>
      <c r="MXH60" s="53"/>
      <c r="MXI60" s="53"/>
      <c r="MXJ60" s="53"/>
      <c r="MXK60" s="53"/>
      <c r="MXL60" s="53"/>
      <c r="MXM60" s="53"/>
      <c r="MXN60" s="53"/>
      <c r="MXO60" s="53"/>
      <c r="MXP60" s="53"/>
      <c r="MXQ60" s="53"/>
      <c r="MXR60" s="53"/>
      <c r="MXS60" s="53"/>
      <c r="MXT60" s="53"/>
      <c r="MXU60" s="53"/>
      <c r="MXV60" s="53"/>
      <c r="MXW60" s="53"/>
      <c r="MXX60" s="53"/>
      <c r="MXY60" s="53"/>
      <c r="MXZ60" s="53"/>
      <c r="MYA60" s="53"/>
      <c r="MYB60" s="53"/>
      <c r="MYC60" s="53"/>
      <c r="MYD60" s="53"/>
      <c r="MYE60" s="53"/>
      <c r="MYF60" s="53"/>
      <c r="MYG60" s="53"/>
      <c r="MYH60" s="53"/>
      <c r="MYI60" s="53"/>
      <c r="MYJ60" s="53"/>
      <c r="MYK60" s="53"/>
      <c r="MYL60" s="53"/>
      <c r="MYM60" s="53"/>
      <c r="MYN60" s="53"/>
      <c r="MYO60" s="53"/>
      <c r="MYP60" s="53"/>
      <c r="MYQ60" s="53"/>
      <c r="MYR60" s="53"/>
      <c r="MYS60" s="53"/>
      <c r="MYT60" s="53"/>
      <c r="MYU60" s="53"/>
      <c r="MYV60" s="53"/>
      <c r="MYW60" s="53"/>
      <c r="MYX60" s="53"/>
      <c r="MYY60" s="53"/>
      <c r="MYZ60" s="53"/>
      <c r="MZA60" s="53"/>
      <c r="MZB60" s="53"/>
      <c r="MZC60" s="53"/>
      <c r="MZD60" s="53"/>
      <c r="MZE60" s="53"/>
      <c r="MZF60" s="53"/>
      <c r="MZG60" s="53"/>
      <c r="MZH60" s="53"/>
      <c r="MZI60" s="53"/>
      <c r="MZJ60" s="53"/>
      <c r="MZK60" s="53"/>
      <c r="MZL60" s="53"/>
      <c r="MZM60" s="53"/>
      <c r="MZN60" s="53"/>
      <c r="MZO60" s="53"/>
      <c r="MZP60" s="53"/>
      <c r="MZQ60" s="53"/>
      <c r="MZR60" s="53"/>
      <c r="MZS60" s="53"/>
      <c r="MZT60" s="53"/>
      <c r="MZU60" s="53"/>
      <c r="MZV60" s="53"/>
      <c r="MZW60" s="53"/>
      <c r="MZX60" s="53"/>
      <c r="MZY60" s="53"/>
      <c r="MZZ60" s="53"/>
      <c r="NAA60" s="53"/>
      <c r="NAB60" s="53"/>
      <c r="NAC60" s="53"/>
      <c r="NAD60" s="53"/>
      <c r="NAE60" s="53"/>
      <c r="NAF60" s="53"/>
      <c r="NAG60" s="53"/>
      <c r="NAH60" s="53"/>
      <c r="NAI60" s="53"/>
      <c r="NAJ60" s="53"/>
      <c r="NAK60" s="53"/>
      <c r="NAL60" s="53"/>
      <c r="NAM60" s="53"/>
      <c r="NAN60" s="53"/>
      <c r="NAO60" s="53"/>
      <c r="NAP60" s="53"/>
      <c r="NAQ60" s="53"/>
      <c r="NAR60" s="53"/>
      <c r="NAS60" s="53"/>
      <c r="NAT60" s="53"/>
      <c r="NAU60" s="53"/>
      <c r="NAV60" s="53"/>
      <c r="NAW60" s="53"/>
      <c r="NAX60" s="53"/>
      <c r="NAY60" s="53"/>
      <c r="NAZ60" s="53"/>
      <c r="NBA60" s="53"/>
      <c r="NBB60" s="53"/>
      <c r="NBC60" s="53"/>
      <c r="NBD60" s="53"/>
      <c r="NBE60" s="53"/>
      <c r="NBF60" s="53"/>
      <c r="NBG60" s="53"/>
      <c r="NBH60" s="53"/>
      <c r="NBI60" s="53"/>
      <c r="NBJ60" s="53"/>
      <c r="NBK60" s="53"/>
      <c r="NBL60" s="53"/>
      <c r="NBM60" s="53"/>
      <c r="NBN60" s="53"/>
      <c r="NBO60" s="53"/>
      <c r="NBP60" s="53"/>
      <c r="NBQ60" s="53"/>
      <c r="NBR60" s="53"/>
      <c r="NBS60" s="53"/>
      <c r="NBT60" s="53"/>
      <c r="NBU60" s="53"/>
      <c r="NBV60" s="53"/>
      <c r="NBW60" s="53"/>
      <c r="NBX60" s="53"/>
      <c r="NBY60" s="53"/>
      <c r="NBZ60" s="53"/>
      <c r="NCA60" s="53"/>
      <c r="NCB60" s="53"/>
      <c r="NCC60" s="53"/>
      <c r="NCD60" s="53"/>
      <c r="NCE60" s="53"/>
      <c r="NCF60" s="53"/>
      <c r="NCG60" s="53"/>
      <c r="NCH60" s="53"/>
      <c r="NCI60" s="53"/>
      <c r="NCJ60" s="53"/>
      <c r="NCK60" s="53"/>
      <c r="NCL60" s="53"/>
      <c r="NCM60" s="53"/>
      <c r="NCN60" s="53"/>
      <c r="NCO60" s="53"/>
      <c r="NCP60" s="53"/>
      <c r="NCQ60" s="53"/>
      <c r="NCR60" s="53"/>
      <c r="NCS60" s="53"/>
      <c r="NCT60" s="53"/>
      <c r="NCU60" s="53"/>
      <c r="NCV60" s="53"/>
      <c r="NCW60" s="53"/>
      <c r="NCX60" s="53"/>
      <c r="NCY60" s="53"/>
      <c r="NCZ60" s="53"/>
      <c r="NDA60" s="53"/>
      <c r="NDB60" s="53"/>
      <c r="NDC60" s="53"/>
      <c r="NDD60" s="53"/>
      <c r="NDE60" s="53"/>
      <c r="NDF60" s="53"/>
      <c r="NDG60" s="53"/>
      <c r="NDH60" s="53"/>
      <c r="NDI60" s="53"/>
      <c r="NDJ60" s="53"/>
      <c r="NDK60" s="53"/>
      <c r="NDL60" s="53"/>
      <c r="NDM60" s="53"/>
      <c r="NDN60" s="53"/>
      <c r="NDO60" s="53"/>
      <c r="NDP60" s="53"/>
      <c r="NDQ60" s="53"/>
      <c r="NDR60" s="53"/>
      <c r="NDS60" s="53"/>
      <c r="NDT60" s="53"/>
      <c r="NDU60" s="53"/>
      <c r="NDV60" s="53"/>
      <c r="NDW60" s="53"/>
      <c r="NDX60" s="53"/>
      <c r="NDY60" s="53"/>
      <c r="NDZ60" s="53"/>
      <c r="NEA60" s="53"/>
      <c r="NEB60" s="53"/>
      <c r="NEC60" s="53"/>
      <c r="NED60" s="53"/>
      <c r="NEE60" s="53"/>
      <c r="NEF60" s="53"/>
      <c r="NEG60" s="53"/>
      <c r="NEH60" s="53"/>
      <c r="NEI60" s="53"/>
      <c r="NEJ60" s="53"/>
      <c r="NEK60" s="53"/>
      <c r="NEL60" s="53"/>
      <c r="NEM60" s="53"/>
      <c r="NEN60" s="53"/>
      <c r="NEO60" s="53"/>
      <c r="NEP60" s="53"/>
      <c r="NEQ60" s="53"/>
      <c r="NER60" s="53"/>
      <c r="NES60" s="53"/>
      <c r="NET60" s="53"/>
      <c r="NEU60" s="53"/>
      <c r="NEV60" s="53"/>
      <c r="NEW60" s="53"/>
      <c r="NEX60" s="53"/>
      <c r="NEY60" s="53"/>
      <c r="NEZ60" s="53"/>
      <c r="NFA60" s="53"/>
      <c r="NFB60" s="53"/>
      <c r="NFC60" s="53"/>
      <c r="NFD60" s="53"/>
      <c r="NFE60" s="53"/>
      <c r="NFF60" s="53"/>
      <c r="NFG60" s="53"/>
      <c r="NFH60" s="53"/>
      <c r="NFI60" s="53"/>
      <c r="NFJ60" s="53"/>
      <c r="NFK60" s="53"/>
      <c r="NFL60" s="53"/>
      <c r="NFM60" s="53"/>
      <c r="NFN60" s="53"/>
      <c r="NFO60" s="53"/>
      <c r="NFP60" s="53"/>
      <c r="NFQ60" s="53"/>
      <c r="NFR60" s="53"/>
      <c r="NFS60" s="53"/>
      <c r="NFT60" s="53"/>
      <c r="NFU60" s="53"/>
      <c r="NFV60" s="53"/>
      <c r="NFW60" s="53"/>
      <c r="NFX60" s="53"/>
      <c r="NFY60" s="53"/>
      <c r="NFZ60" s="53"/>
      <c r="NGA60" s="53"/>
      <c r="NGB60" s="53"/>
      <c r="NGC60" s="53"/>
      <c r="NGD60" s="53"/>
      <c r="NGE60" s="53"/>
      <c r="NGF60" s="53"/>
      <c r="NGG60" s="53"/>
      <c r="NGH60" s="53"/>
      <c r="NGI60" s="53"/>
      <c r="NGJ60" s="53"/>
      <c r="NGK60" s="53"/>
      <c r="NGL60" s="53"/>
      <c r="NGM60" s="53"/>
      <c r="NGN60" s="53"/>
      <c r="NGO60" s="53"/>
      <c r="NGP60" s="53"/>
      <c r="NGQ60" s="53"/>
      <c r="NGR60" s="53"/>
      <c r="NGS60" s="53"/>
      <c r="NGT60" s="53"/>
      <c r="NGU60" s="53"/>
      <c r="NGV60" s="53"/>
      <c r="NGW60" s="53"/>
      <c r="NGX60" s="53"/>
      <c r="NGY60" s="53"/>
      <c r="NGZ60" s="53"/>
      <c r="NHA60" s="53"/>
      <c r="NHB60" s="53"/>
      <c r="NHC60" s="53"/>
      <c r="NHD60" s="53"/>
      <c r="NHE60" s="53"/>
      <c r="NHF60" s="53"/>
      <c r="NHG60" s="53"/>
      <c r="NHH60" s="53"/>
      <c r="NHI60" s="53"/>
      <c r="NHJ60" s="53"/>
      <c r="NHK60" s="53"/>
      <c r="NHL60" s="53"/>
      <c r="NHM60" s="53"/>
      <c r="NHN60" s="53"/>
      <c r="NHO60" s="53"/>
      <c r="NHP60" s="53"/>
      <c r="NHQ60" s="53"/>
      <c r="NHR60" s="53"/>
      <c r="NHS60" s="53"/>
      <c r="NHT60" s="53"/>
      <c r="NHU60" s="53"/>
      <c r="NHV60" s="53"/>
      <c r="NHW60" s="53"/>
      <c r="NHX60" s="53"/>
      <c r="NHY60" s="53"/>
      <c r="NHZ60" s="53"/>
      <c r="NIA60" s="53"/>
      <c r="NIB60" s="53"/>
      <c r="NIC60" s="53"/>
      <c r="NID60" s="53"/>
      <c r="NIE60" s="53"/>
      <c r="NIF60" s="53"/>
      <c r="NIG60" s="53"/>
      <c r="NIH60" s="53"/>
      <c r="NII60" s="53"/>
      <c r="NIJ60" s="53"/>
      <c r="NIK60" s="53"/>
      <c r="NIL60" s="53"/>
      <c r="NIM60" s="53"/>
      <c r="NIN60" s="53"/>
      <c r="NIO60" s="53"/>
      <c r="NIP60" s="53"/>
      <c r="NIQ60" s="53"/>
      <c r="NIR60" s="53"/>
      <c r="NIS60" s="53"/>
      <c r="NIT60" s="53"/>
      <c r="NIU60" s="53"/>
      <c r="NIV60" s="53"/>
      <c r="NIW60" s="53"/>
      <c r="NIX60" s="53"/>
      <c r="NIY60" s="53"/>
      <c r="NIZ60" s="53"/>
      <c r="NJA60" s="53"/>
      <c r="NJB60" s="53"/>
      <c r="NJC60" s="53"/>
      <c r="NJD60" s="53"/>
      <c r="NJE60" s="53"/>
      <c r="NJF60" s="53"/>
      <c r="NJG60" s="53"/>
      <c r="NJH60" s="53"/>
      <c r="NJI60" s="53"/>
      <c r="NJJ60" s="53"/>
      <c r="NJK60" s="53"/>
      <c r="NJL60" s="53"/>
      <c r="NJM60" s="53"/>
      <c r="NJN60" s="53"/>
      <c r="NJO60" s="53"/>
      <c r="NJP60" s="53"/>
      <c r="NJQ60" s="53"/>
      <c r="NJR60" s="53"/>
      <c r="NJS60" s="53"/>
      <c r="NJT60" s="53"/>
      <c r="NJU60" s="53"/>
      <c r="NJV60" s="53"/>
      <c r="NJW60" s="53"/>
      <c r="NJX60" s="53"/>
      <c r="NJY60" s="53"/>
      <c r="NJZ60" s="53"/>
      <c r="NKA60" s="53"/>
      <c r="NKB60" s="53"/>
      <c r="NKC60" s="53"/>
      <c r="NKD60" s="53"/>
      <c r="NKE60" s="53"/>
      <c r="NKF60" s="53"/>
      <c r="NKG60" s="53"/>
      <c r="NKH60" s="53"/>
      <c r="NKI60" s="53"/>
      <c r="NKJ60" s="53"/>
      <c r="NKK60" s="53"/>
      <c r="NKL60" s="53"/>
      <c r="NKM60" s="53"/>
      <c r="NKN60" s="53"/>
      <c r="NKO60" s="53"/>
      <c r="NKP60" s="53"/>
      <c r="NKQ60" s="53"/>
      <c r="NKR60" s="53"/>
      <c r="NKS60" s="53"/>
      <c r="NKT60" s="53"/>
      <c r="NKU60" s="53"/>
      <c r="NKV60" s="53"/>
      <c r="NKW60" s="53"/>
      <c r="NKX60" s="53"/>
      <c r="NKY60" s="53"/>
      <c r="NKZ60" s="53"/>
      <c r="NLA60" s="53"/>
      <c r="NLB60" s="53"/>
      <c r="NLC60" s="53"/>
      <c r="NLD60" s="53"/>
      <c r="NLE60" s="53"/>
      <c r="NLF60" s="53"/>
      <c r="NLG60" s="53"/>
      <c r="NLH60" s="53"/>
      <c r="NLI60" s="53"/>
      <c r="NLJ60" s="53"/>
      <c r="NLK60" s="53"/>
      <c r="NLL60" s="53"/>
      <c r="NLM60" s="53"/>
      <c r="NLN60" s="53"/>
      <c r="NLO60" s="53"/>
      <c r="NLP60" s="53"/>
      <c r="NLQ60" s="53"/>
      <c r="NLR60" s="53"/>
      <c r="NLS60" s="53"/>
      <c r="NLT60" s="53"/>
      <c r="NLU60" s="53"/>
      <c r="NLV60" s="53"/>
      <c r="NLW60" s="53"/>
      <c r="NLX60" s="53"/>
      <c r="NLY60" s="53"/>
      <c r="NLZ60" s="53"/>
      <c r="NMA60" s="53"/>
      <c r="NMB60" s="53"/>
      <c r="NMC60" s="53"/>
      <c r="NMD60" s="53"/>
      <c r="NME60" s="53"/>
      <c r="NMF60" s="53"/>
      <c r="NMG60" s="53"/>
      <c r="NMH60" s="53"/>
      <c r="NMI60" s="53"/>
      <c r="NMJ60" s="53"/>
      <c r="NMK60" s="53"/>
      <c r="NML60" s="53"/>
      <c r="NMM60" s="53"/>
      <c r="NMN60" s="53"/>
      <c r="NMO60" s="53"/>
      <c r="NMP60" s="53"/>
      <c r="NMQ60" s="53"/>
      <c r="NMR60" s="53"/>
      <c r="NMS60" s="53"/>
      <c r="NMT60" s="53"/>
      <c r="NMU60" s="53"/>
      <c r="NMV60" s="53"/>
      <c r="NMW60" s="53"/>
      <c r="NMX60" s="53"/>
      <c r="NMY60" s="53"/>
      <c r="NMZ60" s="53"/>
      <c r="NNA60" s="53"/>
      <c r="NNB60" s="53"/>
      <c r="NNC60" s="53"/>
      <c r="NND60" s="53"/>
      <c r="NNE60" s="53"/>
      <c r="NNF60" s="53"/>
      <c r="NNG60" s="53"/>
      <c r="NNH60" s="53"/>
      <c r="NNI60" s="53"/>
      <c r="NNJ60" s="53"/>
      <c r="NNK60" s="53"/>
      <c r="NNL60" s="53"/>
      <c r="NNM60" s="53"/>
      <c r="NNN60" s="53"/>
      <c r="NNO60" s="53"/>
      <c r="NNP60" s="53"/>
      <c r="NNQ60" s="53"/>
      <c r="NNR60" s="53"/>
      <c r="NNS60" s="53"/>
      <c r="NNT60" s="53"/>
      <c r="NNU60" s="53"/>
      <c r="NNV60" s="53"/>
      <c r="NNW60" s="53"/>
      <c r="NNX60" s="53"/>
      <c r="NNY60" s="53"/>
      <c r="NNZ60" s="53"/>
      <c r="NOA60" s="53"/>
      <c r="NOB60" s="53"/>
      <c r="NOC60" s="53"/>
      <c r="NOD60" s="53"/>
      <c r="NOE60" s="53"/>
      <c r="NOF60" s="53"/>
      <c r="NOG60" s="53"/>
      <c r="NOH60" s="53"/>
      <c r="NOI60" s="53"/>
      <c r="NOJ60" s="53"/>
      <c r="NOK60" s="53"/>
      <c r="NOL60" s="53"/>
      <c r="NOM60" s="53"/>
      <c r="NON60" s="53"/>
      <c r="NOO60" s="53"/>
      <c r="NOP60" s="53"/>
      <c r="NOQ60" s="53"/>
      <c r="NOR60" s="53"/>
      <c r="NOS60" s="53"/>
      <c r="NOT60" s="53"/>
      <c r="NOU60" s="53"/>
      <c r="NOV60" s="53"/>
      <c r="NOW60" s="53"/>
      <c r="NOX60" s="53"/>
      <c r="NOY60" s="53"/>
      <c r="NOZ60" s="53"/>
      <c r="NPA60" s="53"/>
      <c r="NPB60" s="53"/>
      <c r="NPC60" s="53"/>
      <c r="NPD60" s="53"/>
      <c r="NPE60" s="53"/>
      <c r="NPF60" s="53"/>
      <c r="NPG60" s="53"/>
      <c r="NPH60" s="53"/>
      <c r="NPI60" s="53"/>
      <c r="NPJ60" s="53"/>
      <c r="NPK60" s="53"/>
      <c r="NPL60" s="53"/>
      <c r="NPM60" s="53"/>
      <c r="NPN60" s="53"/>
      <c r="NPO60" s="53"/>
      <c r="NPP60" s="53"/>
      <c r="NPQ60" s="53"/>
      <c r="NPR60" s="53"/>
      <c r="NPS60" s="53"/>
      <c r="NPT60" s="53"/>
      <c r="NPU60" s="53"/>
      <c r="NPV60" s="53"/>
      <c r="NPW60" s="53"/>
      <c r="NPX60" s="53"/>
      <c r="NPY60" s="53"/>
      <c r="NPZ60" s="53"/>
      <c r="NQA60" s="53"/>
      <c r="NQB60" s="53"/>
      <c r="NQC60" s="53"/>
      <c r="NQD60" s="53"/>
      <c r="NQE60" s="53"/>
      <c r="NQF60" s="53"/>
      <c r="NQG60" s="53"/>
      <c r="NQH60" s="53"/>
      <c r="NQI60" s="53"/>
      <c r="NQJ60" s="53"/>
      <c r="NQK60" s="53"/>
      <c r="NQL60" s="53"/>
      <c r="NQM60" s="53"/>
      <c r="NQN60" s="53"/>
      <c r="NQO60" s="53"/>
      <c r="NQP60" s="53"/>
      <c r="NQQ60" s="53"/>
      <c r="NQR60" s="53"/>
      <c r="NQS60" s="53"/>
      <c r="NQT60" s="53"/>
      <c r="NQU60" s="53"/>
      <c r="NQV60" s="53"/>
      <c r="NQW60" s="53"/>
      <c r="NQX60" s="53"/>
      <c r="NQY60" s="53"/>
      <c r="NQZ60" s="53"/>
      <c r="NRA60" s="53"/>
      <c r="NRB60" s="53"/>
      <c r="NRC60" s="53"/>
      <c r="NRD60" s="53"/>
      <c r="NRE60" s="53"/>
      <c r="NRF60" s="53"/>
      <c r="NRG60" s="53"/>
      <c r="NRH60" s="53"/>
      <c r="NRI60" s="53"/>
      <c r="NRJ60" s="53"/>
      <c r="NRK60" s="53"/>
      <c r="NRL60" s="53"/>
      <c r="NRM60" s="53"/>
      <c r="NRN60" s="53"/>
      <c r="NRO60" s="53"/>
      <c r="NRP60" s="53"/>
      <c r="NRQ60" s="53"/>
      <c r="NRR60" s="53"/>
      <c r="NRS60" s="53"/>
      <c r="NRT60" s="53"/>
      <c r="NRU60" s="53"/>
      <c r="NRV60" s="53"/>
      <c r="NRW60" s="53"/>
      <c r="NRX60" s="53"/>
      <c r="NRY60" s="53"/>
      <c r="NRZ60" s="53"/>
      <c r="NSA60" s="53"/>
      <c r="NSB60" s="53"/>
      <c r="NSC60" s="53"/>
      <c r="NSD60" s="53"/>
      <c r="NSE60" s="53"/>
      <c r="NSF60" s="53"/>
      <c r="NSG60" s="53"/>
      <c r="NSH60" s="53"/>
      <c r="NSI60" s="53"/>
      <c r="NSJ60" s="53"/>
      <c r="NSK60" s="53"/>
      <c r="NSL60" s="53"/>
      <c r="NSM60" s="53"/>
      <c r="NSN60" s="53"/>
      <c r="NSO60" s="53"/>
      <c r="NSP60" s="53"/>
      <c r="NSQ60" s="53"/>
      <c r="NSR60" s="53"/>
      <c r="NSS60" s="53"/>
      <c r="NST60" s="53"/>
      <c r="NSU60" s="53"/>
      <c r="NSV60" s="53"/>
      <c r="NSW60" s="53"/>
      <c r="NSX60" s="53"/>
      <c r="NSY60" s="53"/>
      <c r="NSZ60" s="53"/>
      <c r="NTA60" s="53"/>
      <c r="NTB60" s="53"/>
      <c r="NTC60" s="53"/>
      <c r="NTD60" s="53"/>
      <c r="NTE60" s="53"/>
      <c r="NTF60" s="53"/>
      <c r="NTG60" s="53"/>
      <c r="NTH60" s="53"/>
      <c r="NTI60" s="53"/>
      <c r="NTJ60" s="53"/>
      <c r="NTK60" s="53"/>
      <c r="NTL60" s="53"/>
      <c r="NTM60" s="53"/>
      <c r="NTN60" s="53"/>
      <c r="NTO60" s="53"/>
      <c r="NTP60" s="53"/>
      <c r="NTQ60" s="53"/>
      <c r="NTR60" s="53"/>
      <c r="NTS60" s="53"/>
      <c r="NTT60" s="53"/>
      <c r="NTU60" s="53"/>
      <c r="NTV60" s="53"/>
      <c r="NTW60" s="53"/>
      <c r="NTX60" s="53"/>
      <c r="NTY60" s="53"/>
      <c r="NTZ60" s="53"/>
      <c r="NUA60" s="53"/>
      <c r="NUB60" s="53"/>
      <c r="NUC60" s="53"/>
      <c r="NUD60" s="53"/>
      <c r="NUE60" s="53"/>
      <c r="NUF60" s="53"/>
      <c r="NUG60" s="53"/>
      <c r="NUH60" s="53"/>
      <c r="NUI60" s="53"/>
      <c r="NUJ60" s="53"/>
      <c r="NUK60" s="53"/>
      <c r="NUL60" s="53"/>
      <c r="NUM60" s="53"/>
      <c r="NUN60" s="53"/>
      <c r="NUO60" s="53"/>
      <c r="NUP60" s="53"/>
      <c r="NUQ60" s="53"/>
      <c r="NUR60" s="53"/>
      <c r="NUS60" s="53"/>
      <c r="NUT60" s="53"/>
      <c r="NUU60" s="53"/>
      <c r="NUV60" s="53"/>
      <c r="NUW60" s="53"/>
      <c r="NUX60" s="53"/>
      <c r="NUY60" s="53"/>
      <c r="NUZ60" s="53"/>
      <c r="NVA60" s="53"/>
      <c r="NVB60" s="53"/>
      <c r="NVC60" s="53"/>
      <c r="NVD60" s="53"/>
      <c r="NVE60" s="53"/>
      <c r="NVF60" s="53"/>
      <c r="NVG60" s="53"/>
      <c r="NVH60" s="53"/>
      <c r="NVI60" s="53"/>
      <c r="NVJ60" s="53"/>
      <c r="NVK60" s="53"/>
      <c r="NVL60" s="53"/>
      <c r="NVM60" s="53"/>
      <c r="NVN60" s="53"/>
      <c r="NVO60" s="53"/>
      <c r="NVP60" s="53"/>
      <c r="NVQ60" s="53"/>
      <c r="NVR60" s="53"/>
      <c r="NVS60" s="53"/>
      <c r="NVT60" s="53"/>
      <c r="NVU60" s="53"/>
      <c r="NVV60" s="53"/>
      <c r="NVW60" s="53"/>
      <c r="NVX60" s="53"/>
      <c r="NVY60" s="53"/>
      <c r="NVZ60" s="53"/>
      <c r="NWA60" s="53"/>
      <c r="NWB60" s="53"/>
      <c r="NWC60" s="53"/>
      <c r="NWD60" s="53"/>
      <c r="NWE60" s="53"/>
      <c r="NWF60" s="53"/>
      <c r="NWG60" s="53"/>
      <c r="NWH60" s="53"/>
      <c r="NWI60" s="53"/>
      <c r="NWJ60" s="53"/>
      <c r="NWK60" s="53"/>
      <c r="NWL60" s="53"/>
      <c r="NWM60" s="53"/>
      <c r="NWN60" s="53"/>
      <c r="NWO60" s="53"/>
      <c r="NWP60" s="53"/>
      <c r="NWQ60" s="53"/>
      <c r="NWR60" s="53"/>
      <c r="NWS60" s="53"/>
      <c r="NWT60" s="53"/>
      <c r="NWU60" s="53"/>
      <c r="NWV60" s="53"/>
      <c r="NWW60" s="53"/>
      <c r="NWX60" s="53"/>
      <c r="NWY60" s="53"/>
      <c r="NWZ60" s="53"/>
      <c r="NXA60" s="53"/>
      <c r="NXB60" s="53"/>
      <c r="NXC60" s="53"/>
      <c r="NXD60" s="53"/>
      <c r="NXE60" s="53"/>
      <c r="NXF60" s="53"/>
      <c r="NXG60" s="53"/>
      <c r="NXH60" s="53"/>
      <c r="NXI60" s="53"/>
      <c r="NXJ60" s="53"/>
      <c r="NXK60" s="53"/>
      <c r="NXL60" s="53"/>
      <c r="NXM60" s="53"/>
      <c r="NXN60" s="53"/>
      <c r="NXO60" s="53"/>
      <c r="NXP60" s="53"/>
      <c r="NXQ60" s="53"/>
      <c r="NXR60" s="53"/>
      <c r="NXS60" s="53"/>
      <c r="NXT60" s="53"/>
      <c r="NXU60" s="53"/>
      <c r="NXV60" s="53"/>
      <c r="NXW60" s="53"/>
      <c r="NXX60" s="53"/>
      <c r="NXY60" s="53"/>
      <c r="NXZ60" s="53"/>
      <c r="NYA60" s="53"/>
      <c r="NYB60" s="53"/>
      <c r="NYC60" s="53"/>
      <c r="NYD60" s="53"/>
      <c r="NYE60" s="53"/>
      <c r="NYF60" s="53"/>
      <c r="NYG60" s="53"/>
      <c r="NYH60" s="53"/>
      <c r="NYI60" s="53"/>
      <c r="NYJ60" s="53"/>
      <c r="NYK60" s="53"/>
      <c r="NYL60" s="53"/>
      <c r="NYM60" s="53"/>
      <c r="NYN60" s="53"/>
      <c r="NYO60" s="53"/>
      <c r="NYP60" s="53"/>
      <c r="NYQ60" s="53"/>
      <c r="NYR60" s="53"/>
      <c r="NYS60" s="53"/>
      <c r="NYT60" s="53"/>
      <c r="NYU60" s="53"/>
      <c r="NYV60" s="53"/>
      <c r="NYW60" s="53"/>
      <c r="NYX60" s="53"/>
      <c r="NYY60" s="53"/>
      <c r="NYZ60" s="53"/>
      <c r="NZA60" s="53"/>
      <c r="NZB60" s="53"/>
      <c r="NZC60" s="53"/>
      <c r="NZD60" s="53"/>
      <c r="NZE60" s="53"/>
      <c r="NZF60" s="53"/>
      <c r="NZG60" s="53"/>
      <c r="NZH60" s="53"/>
      <c r="NZI60" s="53"/>
      <c r="NZJ60" s="53"/>
      <c r="NZK60" s="53"/>
      <c r="NZL60" s="53"/>
      <c r="NZM60" s="53"/>
      <c r="NZN60" s="53"/>
      <c r="NZO60" s="53"/>
      <c r="NZP60" s="53"/>
      <c r="NZQ60" s="53"/>
      <c r="NZR60" s="53"/>
      <c r="NZS60" s="53"/>
      <c r="NZT60" s="53"/>
      <c r="NZU60" s="53"/>
      <c r="NZV60" s="53"/>
      <c r="NZW60" s="53"/>
      <c r="NZX60" s="53"/>
      <c r="NZY60" s="53"/>
      <c r="NZZ60" s="53"/>
      <c r="OAA60" s="53"/>
      <c r="OAB60" s="53"/>
      <c r="OAC60" s="53"/>
      <c r="OAD60" s="53"/>
      <c r="OAE60" s="53"/>
      <c r="OAF60" s="53"/>
      <c r="OAG60" s="53"/>
      <c r="OAH60" s="53"/>
      <c r="OAI60" s="53"/>
      <c r="OAJ60" s="53"/>
      <c r="OAK60" s="53"/>
      <c r="OAL60" s="53"/>
      <c r="OAM60" s="53"/>
      <c r="OAN60" s="53"/>
      <c r="OAO60" s="53"/>
      <c r="OAP60" s="53"/>
      <c r="OAQ60" s="53"/>
      <c r="OAR60" s="53"/>
      <c r="OAS60" s="53"/>
      <c r="OAT60" s="53"/>
      <c r="OAU60" s="53"/>
      <c r="OAV60" s="53"/>
      <c r="OAW60" s="53"/>
      <c r="OAX60" s="53"/>
      <c r="OAY60" s="53"/>
      <c r="OAZ60" s="53"/>
      <c r="OBA60" s="53"/>
      <c r="OBB60" s="53"/>
      <c r="OBC60" s="53"/>
      <c r="OBD60" s="53"/>
      <c r="OBE60" s="53"/>
      <c r="OBF60" s="53"/>
      <c r="OBG60" s="53"/>
      <c r="OBH60" s="53"/>
      <c r="OBI60" s="53"/>
      <c r="OBJ60" s="53"/>
      <c r="OBK60" s="53"/>
      <c r="OBL60" s="53"/>
      <c r="OBM60" s="53"/>
      <c r="OBN60" s="53"/>
      <c r="OBO60" s="53"/>
      <c r="OBP60" s="53"/>
      <c r="OBQ60" s="53"/>
      <c r="OBR60" s="53"/>
      <c r="OBS60" s="53"/>
      <c r="OBT60" s="53"/>
      <c r="OBU60" s="53"/>
      <c r="OBV60" s="53"/>
      <c r="OBW60" s="53"/>
      <c r="OBX60" s="53"/>
      <c r="OBY60" s="53"/>
      <c r="OBZ60" s="53"/>
      <c r="OCA60" s="53"/>
      <c r="OCB60" s="53"/>
      <c r="OCC60" s="53"/>
      <c r="OCD60" s="53"/>
      <c r="OCE60" s="53"/>
      <c r="OCF60" s="53"/>
      <c r="OCG60" s="53"/>
      <c r="OCH60" s="53"/>
      <c r="OCI60" s="53"/>
      <c r="OCJ60" s="53"/>
      <c r="OCK60" s="53"/>
      <c r="OCL60" s="53"/>
      <c r="OCM60" s="53"/>
      <c r="OCN60" s="53"/>
      <c r="OCO60" s="53"/>
      <c r="OCP60" s="53"/>
      <c r="OCQ60" s="53"/>
      <c r="OCR60" s="53"/>
      <c r="OCS60" s="53"/>
      <c r="OCT60" s="53"/>
      <c r="OCU60" s="53"/>
      <c r="OCV60" s="53"/>
      <c r="OCW60" s="53"/>
      <c r="OCX60" s="53"/>
      <c r="OCY60" s="53"/>
      <c r="OCZ60" s="53"/>
      <c r="ODA60" s="53"/>
      <c r="ODB60" s="53"/>
      <c r="ODC60" s="53"/>
      <c r="ODD60" s="53"/>
      <c r="ODE60" s="53"/>
      <c r="ODF60" s="53"/>
      <c r="ODG60" s="53"/>
      <c r="ODH60" s="53"/>
      <c r="ODI60" s="53"/>
      <c r="ODJ60" s="53"/>
      <c r="ODK60" s="53"/>
      <c r="ODL60" s="53"/>
      <c r="ODM60" s="53"/>
      <c r="ODN60" s="53"/>
      <c r="ODO60" s="53"/>
      <c r="ODP60" s="53"/>
      <c r="ODQ60" s="53"/>
      <c r="ODR60" s="53"/>
      <c r="ODS60" s="53"/>
      <c r="ODT60" s="53"/>
      <c r="ODU60" s="53"/>
      <c r="ODV60" s="53"/>
      <c r="ODW60" s="53"/>
      <c r="ODX60" s="53"/>
      <c r="ODY60" s="53"/>
      <c r="ODZ60" s="53"/>
      <c r="OEA60" s="53"/>
      <c r="OEB60" s="53"/>
      <c r="OEC60" s="53"/>
      <c r="OED60" s="53"/>
      <c r="OEE60" s="53"/>
      <c r="OEF60" s="53"/>
      <c r="OEG60" s="53"/>
      <c r="OEH60" s="53"/>
      <c r="OEI60" s="53"/>
      <c r="OEJ60" s="53"/>
      <c r="OEK60" s="53"/>
      <c r="OEL60" s="53"/>
      <c r="OEM60" s="53"/>
      <c r="OEN60" s="53"/>
      <c r="OEO60" s="53"/>
      <c r="OEP60" s="53"/>
      <c r="OEQ60" s="53"/>
      <c r="OER60" s="53"/>
      <c r="OES60" s="53"/>
      <c r="OET60" s="53"/>
      <c r="OEU60" s="53"/>
      <c r="OEV60" s="53"/>
      <c r="OEW60" s="53"/>
      <c r="OEX60" s="53"/>
      <c r="OEY60" s="53"/>
      <c r="OEZ60" s="53"/>
      <c r="OFA60" s="53"/>
      <c r="OFB60" s="53"/>
      <c r="OFC60" s="53"/>
      <c r="OFD60" s="53"/>
      <c r="OFE60" s="53"/>
      <c r="OFF60" s="53"/>
      <c r="OFG60" s="53"/>
      <c r="OFH60" s="53"/>
      <c r="OFI60" s="53"/>
      <c r="OFJ60" s="53"/>
      <c r="OFK60" s="53"/>
      <c r="OFL60" s="53"/>
      <c r="OFM60" s="53"/>
      <c r="OFN60" s="53"/>
      <c r="OFO60" s="53"/>
      <c r="OFP60" s="53"/>
      <c r="OFQ60" s="53"/>
      <c r="OFR60" s="53"/>
      <c r="OFS60" s="53"/>
      <c r="OFT60" s="53"/>
      <c r="OFU60" s="53"/>
      <c r="OFV60" s="53"/>
      <c r="OFW60" s="53"/>
      <c r="OFX60" s="53"/>
      <c r="OFY60" s="53"/>
      <c r="OFZ60" s="53"/>
      <c r="OGA60" s="53"/>
      <c r="OGB60" s="53"/>
      <c r="OGC60" s="53"/>
      <c r="OGD60" s="53"/>
      <c r="OGE60" s="53"/>
      <c r="OGF60" s="53"/>
      <c r="OGG60" s="53"/>
      <c r="OGH60" s="53"/>
      <c r="OGI60" s="53"/>
      <c r="OGJ60" s="53"/>
      <c r="OGK60" s="53"/>
      <c r="OGL60" s="53"/>
      <c r="OGM60" s="53"/>
      <c r="OGN60" s="53"/>
      <c r="OGO60" s="53"/>
      <c r="OGP60" s="53"/>
      <c r="OGQ60" s="53"/>
      <c r="OGR60" s="53"/>
      <c r="OGS60" s="53"/>
      <c r="OGT60" s="53"/>
      <c r="OGU60" s="53"/>
      <c r="OGV60" s="53"/>
      <c r="OGW60" s="53"/>
      <c r="OGX60" s="53"/>
      <c r="OGY60" s="53"/>
      <c r="OGZ60" s="53"/>
      <c r="OHA60" s="53"/>
      <c r="OHB60" s="53"/>
      <c r="OHC60" s="53"/>
      <c r="OHD60" s="53"/>
      <c r="OHE60" s="53"/>
      <c r="OHF60" s="53"/>
      <c r="OHG60" s="53"/>
      <c r="OHH60" s="53"/>
      <c r="OHI60" s="53"/>
      <c r="OHJ60" s="53"/>
      <c r="OHK60" s="53"/>
      <c r="OHL60" s="53"/>
      <c r="OHM60" s="53"/>
      <c r="OHN60" s="53"/>
      <c r="OHO60" s="53"/>
      <c r="OHP60" s="53"/>
      <c r="OHQ60" s="53"/>
      <c r="OHR60" s="53"/>
      <c r="OHS60" s="53"/>
      <c r="OHT60" s="53"/>
      <c r="OHU60" s="53"/>
      <c r="OHV60" s="53"/>
      <c r="OHW60" s="53"/>
      <c r="OHX60" s="53"/>
      <c r="OHY60" s="53"/>
      <c r="OHZ60" s="53"/>
      <c r="OIA60" s="53"/>
      <c r="OIB60" s="53"/>
      <c r="OIC60" s="53"/>
      <c r="OID60" s="53"/>
      <c r="OIE60" s="53"/>
      <c r="OIF60" s="53"/>
      <c r="OIG60" s="53"/>
      <c r="OIH60" s="53"/>
      <c r="OII60" s="53"/>
      <c r="OIJ60" s="53"/>
      <c r="OIK60" s="53"/>
      <c r="OIL60" s="53"/>
      <c r="OIM60" s="53"/>
      <c r="OIN60" s="53"/>
      <c r="OIO60" s="53"/>
      <c r="OIP60" s="53"/>
      <c r="OIQ60" s="53"/>
      <c r="OIR60" s="53"/>
      <c r="OIS60" s="53"/>
      <c r="OIT60" s="53"/>
      <c r="OIU60" s="53"/>
      <c r="OIV60" s="53"/>
      <c r="OIW60" s="53"/>
      <c r="OIX60" s="53"/>
      <c r="OIY60" s="53"/>
      <c r="OIZ60" s="53"/>
      <c r="OJA60" s="53"/>
      <c r="OJB60" s="53"/>
      <c r="OJC60" s="53"/>
      <c r="OJD60" s="53"/>
      <c r="OJE60" s="53"/>
      <c r="OJF60" s="53"/>
      <c r="OJG60" s="53"/>
      <c r="OJH60" s="53"/>
      <c r="OJI60" s="53"/>
      <c r="OJJ60" s="53"/>
      <c r="OJK60" s="53"/>
      <c r="OJL60" s="53"/>
      <c r="OJM60" s="53"/>
      <c r="OJN60" s="53"/>
      <c r="OJO60" s="53"/>
      <c r="OJP60" s="53"/>
      <c r="OJQ60" s="53"/>
      <c r="OJR60" s="53"/>
      <c r="OJS60" s="53"/>
      <c r="OJT60" s="53"/>
      <c r="OJU60" s="53"/>
      <c r="OJV60" s="53"/>
      <c r="OJW60" s="53"/>
      <c r="OJX60" s="53"/>
      <c r="OJY60" s="53"/>
      <c r="OJZ60" s="53"/>
      <c r="OKA60" s="53"/>
      <c r="OKB60" s="53"/>
      <c r="OKC60" s="53"/>
      <c r="OKD60" s="53"/>
      <c r="OKE60" s="53"/>
      <c r="OKF60" s="53"/>
      <c r="OKG60" s="53"/>
      <c r="OKH60" s="53"/>
      <c r="OKI60" s="53"/>
      <c r="OKJ60" s="53"/>
      <c r="OKK60" s="53"/>
      <c r="OKL60" s="53"/>
      <c r="OKM60" s="53"/>
      <c r="OKN60" s="53"/>
      <c r="OKO60" s="53"/>
      <c r="OKP60" s="53"/>
      <c r="OKQ60" s="53"/>
      <c r="OKR60" s="53"/>
      <c r="OKS60" s="53"/>
      <c r="OKT60" s="53"/>
      <c r="OKU60" s="53"/>
      <c r="OKV60" s="53"/>
      <c r="OKW60" s="53"/>
      <c r="OKX60" s="53"/>
      <c r="OKY60" s="53"/>
      <c r="OKZ60" s="53"/>
      <c r="OLA60" s="53"/>
      <c r="OLB60" s="53"/>
      <c r="OLC60" s="53"/>
      <c r="OLD60" s="53"/>
      <c r="OLE60" s="53"/>
      <c r="OLF60" s="53"/>
      <c r="OLG60" s="53"/>
      <c r="OLH60" s="53"/>
      <c r="OLI60" s="53"/>
      <c r="OLJ60" s="53"/>
      <c r="OLK60" s="53"/>
      <c r="OLL60" s="53"/>
      <c r="OLM60" s="53"/>
      <c r="OLN60" s="53"/>
      <c r="OLO60" s="53"/>
      <c r="OLP60" s="53"/>
      <c r="OLQ60" s="53"/>
      <c r="OLR60" s="53"/>
      <c r="OLS60" s="53"/>
      <c r="OLT60" s="53"/>
      <c r="OLU60" s="53"/>
      <c r="OLV60" s="53"/>
      <c r="OLW60" s="53"/>
      <c r="OLX60" s="53"/>
      <c r="OLY60" s="53"/>
      <c r="OLZ60" s="53"/>
      <c r="OMA60" s="53"/>
      <c r="OMB60" s="53"/>
      <c r="OMC60" s="53"/>
      <c r="OMD60" s="53"/>
      <c r="OME60" s="53"/>
      <c r="OMF60" s="53"/>
      <c r="OMG60" s="53"/>
      <c r="OMH60" s="53"/>
      <c r="OMI60" s="53"/>
      <c r="OMJ60" s="53"/>
      <c r="OMK60" s="53"/>
      <c r="OML60" s="53"/>
      <c r="OMM60" s="53"/>
      <c r="OMN60" s="53"/>
      <c r="OMO60" s="53"/>
      <c r="OMP60" s="53"/>
      <c r="OMQ60" s="53"/>
      <c r="OMR60" s="53"/>
      <c r="OMS60" s="53"/>
      <c r="OMT60" s="53"/>
      <c r="OMU60" s="53"/>
      <c r="OMV60" s="53"/>
      <c r="OMW60" s="53"/>
      <c r="OMX60" s="53"/>
      <c r="OMY60" s="53"/>
      <c r="OMZ60" s="53"/>
      <c r="ONA60" s="53"/>
      <c r="ONB60" s="53"/>
      <c r="ONC60" s="53"/>
      <c r="OND60" s="53"/>
      <c r="ONE60" s="53"/>
      <c r="ONF60" s="53"/>
      <c r="ONG60" s="53"/>
      <c r="ONH60" s="53"/>
      <c r="ONI60" s="53"/>
      <c r="ONJ60" s="53"/>
      <c r="ONK60" s="53"/>
      <c r="ONL60" s="53"/>
      <c r="ONM60" s="53"/>
      <c r="ONN60" s="53"/>
      <c r="ONO60" s="53"/>
      <c r="ONP60" s="53"/>
      <c r="ONQ60" s="53"/>
      <c r="ONR60" s="53"/>
      <c r="ONS60" s="53"/>
      <c r="ONT60" s="53"/>
      <c r="ONU60" s="53"/>
      <c r="ONV60" s="53"/>
      <c r="ONW60" s="53"/>
      <c r="ONX60" s="53"/>
      <c r="ONY60" s="53"/>
      <c r="ONZ60" s="53"/>
      <c r="OOA60" s="53"/>
      <c r="OOB60" s="53"/>
      <c r="OOC60" s="53"/>
      <c r="OOD60" s="53"/>
      <c r="OOE60" s="53"/>
      <c r="OOF60" s="53"/>
      <c r="OOG60" s="53"/>
      <c r="OOH60" s="53"/>
      <c r="OOI60" s="53"/>
      <c r="OOJ60" s="53"/>
      <c r="OOK60" s="53"/>
      <c r="OOL60" s="53"/>
      <c r="OOM60" s="53"/>
      <c r="OON60" s="53"/>
      <c r="OOO60" s="53"/>
      <c r="OOP60" s="53"/>
      <c r="OOQ60" s="53"/>
      <c r="OOR60" s="53"/>
      <c r="OOS60" s="53"/>
      <c r="OOT60" s="53"/>
      <c r="OOU60" s="53"/>
      <c r="OOV60" s="53"/>
      <c r="OOW60" s="53"/>
      <c r="OOX60" s="53"/>
      <c r="OOY60" s="53"/>
      <c r="OOZ60" s="53"/>
      <c r="OPA60" s="53"/>
      <c r="OPB60" s="53"/>
      <c r="OPC60" s="53"/>
      <c r="OPD60" s="53"/>
      <c r="OPE60" s="53"/>
      <c r="OPF60" s="53"/>
      <c r="OPG60" s="53"/>
      <c r="OPH60" s="53"/>
      <c r="OPI60" s="53"/>
      <c r="OPJ60" s="53"/>
      <c r="OPK60" s="53"/>
      <c r="OPL60" s="53"/>
      <c r="OPM60" s="53"/>
      <c r="OPN60" s="53"/>
      <c r="OPO60" s="53"/>
      <c r="OPP60" s="53"/>
      <c r="OPQ60" s="53"/>
      <c r="OPR60" s="53"/>
      <c r="OPS60" s="53"/>
      <c r="OPT60" s="53"/>
      <c r="OPU60" s="53"/>
      <c r="OPV60" s="53"/>
      <c r="OPW60" s="53"/>
      <c r="OPX60" s="53"/>
      <c r="OPY60" s="53"/>
      <c r="OPZ60" s="53"/>
      <c r="OQA60" s="53"/>
      <c r="OQB60" s="53"/>
      <c r="OQC60" s="53"/>
      <c r="OQD60" s="53"/>
      <c r="OQE60" s="53"/>
      <c r="OQF60" s="53"/>
      <c r="OQG60" s="53"/>
      <c r="OQH60" s="53"/>
      <c r="OQI60" s="53"/>
      <c r="OQJ60" s="53"/>
      <c r="OQK60" s="53"/>
      <c r="OQL60" s="53"/>
      <c r="OQM60" s="53"/>
      <c r="OQN60" s="53"/>
      <c r="OQO60" s="53"/>
      <c r="OQP60" s="53"/>
      <c r="OQQ60" s="53"/>
      <c r="OQR60" s="53"/>
      <c r="OQS60" s="53"/>
      <c r="OQT60" s="53"/>
      <c r="OQU60" s="53"/>
      <c r="OQV60" s="53"/>
      <c r="OQW60" s="53"/>
      <c r="OQX60" s="53"/>
      <c r="OQY60" s="53"/>
      <c r="OQZ60" s="53"/>
      <c r="ORA60" s="53"/>
      <c r="ORB60" s="53"/>
      <c r="ORC60" s="53"/>
      <c r="ORD60" s="53"/>
      <c r="ORE60" s="53"/>
      <c r="ORF60" s="53"/>
      <c r="ORG60" s="53"/>
      <c r="ORH60" s="53"/>
      <c r="ORI60" s="53"/>
      <c r="ORJ60" s="53"/>
      <c r="ORK60" s="53"/>
      <c r="ORL60" s="53"/>
      <c r="ORM60" s="53"/>
      <c r="ORN60" s="53"/>
      <c r="ORO60" s="53"/>
      <c r="ORP60" s="53"/>
      <c r="ORQ60" s="53"/>
      <c r="ORR60" s="53"/>
      <c r="ORS60" s="53"/>
      <c r="ORT60" s="53"/>
      <c r="ORU60" s="53"/>
      <c r="ORV60" s="53"/>
      <c r="ORW60" s="53"/>
      <c r="ORX60" s="53"/>
      <c r="ORY60" s="53"/>
      <c r="ORZ60" s="53"/>
      <c r="OSA60" s="53"/>
      <c r="OSB60" s="53"/>
      <c r="OSC60" s="53"/>
      <c r="OSD60" s="53"/>
      <c r="OSE60" s="53"/>
      <c r="OSF60" s="53"/>
      <c r="OSG60" s="53"/>
      <c r="OSH60" s="53"/>
      <c r="OSI60" s="53"/>
      <c r="OSJ60" s="53"/>
      <c r="OSK60" s="53"/>
      <c r="OSL60" s="53"/>
      <c r="OSM60" s="53"/>
      <c r="OSN60" s="53"/>
      <c r="OSO60" s="53"/>
      <c r="OSP60" s="53"/>
      <c r="OSQ60" s="53"/>
      <c r="OSR60" s="53"/>
      <c r="OSS60" s="53"/>
      <c r="OST60" s="53"/>
      <c r="OSU60" s="53"/>
      <c r="OSV60" s="53"/>
      <c r="OSW60" s="53"/>
      <c r="OSX60" s="53"/>
      <c r="OSY60" s="53"/>
      <c r="OSZ60" s="53"/>
      <c r="OTA60" s="53"/>
      <c r="OTB60" s="53"/>
      <c r="OTC60" s="53"/>
      <c r="OTD60" s="53"/>
      <c r="OTE60" s="53"/>
      <c r="OTF60" s="53"/>
      <c r="OTG60" s="53"/>
      <c r="OTH60" s="53"/>
      <c r="OTI60" s="53"/>
      <c r="OTJ60" s="53"/>
      <c r="OTK60" s="53"/>
      <c r="OTL60" s="53"/>
      <c r="OTM60" s="53"/>
      <c r="OTN60" s="53"/>
      <c r="OTO60" s="53"/>
      <c r="OTP60" s="53"/>
      <c r="OTQ60" s="53"/>
      <c r="OTR60" s="53"/>
      <c r="OTS60" s="53"/>
      <c r="OTT60" s="53"/>
      <c r="OTU60" s="53"/>
      <c r="OTV60" s="53"/>
      <c r="OTW60" s="53"/>
      <c r="OTX60" s="53"/>
      <c r="OTY60" s="53"/>
      <c r="OTZ60" s="53"/>
      <c r="OUA60" s="53"/>
      <c r="OUB60" s="53"/>
      <c r="OUC60" s="53"/>
      <c r="OUD60" s="53"/>
      <c r="OUE60" s="53"/>
      <c r="OUF60" s="53"/>
      <c r="OUG60" s="53"/>
      <c r="OUH60" s="53"/>
      <c r="OUI60" s="53"/>
      <c r="OUJ60" s="53"/>
      <c r="OUK60" s="53"/>
      <c r="OUL60" s="53"/>
      <c r="OUM60" s="53"/>
      <c r="OUN60" s="53"/>
      <c r="OUO60" s="53"/>
      <c r="OUP60" s="53"/>
      <c r="OUQ60" s="53"/>
      <c r="OUR60" s="53"/>
      <c r="OUS60" s="53"/>
      <c r="OUT60" s="53"/>
      <c r="OUU60" s="53"/>
      <c r="OUV60" s="53"/>
      <c r="OUW60" s="53"/>
      <c r="OUX60" s="53"/>
      <c r="OUY60" s="53"/>
      <c r="OUZ60" s="53"/>
      <c r="OVA60" s="53"/>
      <c r="OVB60" s="53"/>
      <c r="OVC60" s="53"/>
      <c r="OVD60" s="53"/>
      <c r="OVE60" s="53"/>
      <c r="OVF60" s="53"/>
      <c r="OVG60" s="53"/>
      <c r="OVH60" s="53"/>
      <c r="OVI60" s="53"/>
      <c r="OVJ60" s="53"/>
      <c r="OVK60" s="53"/>
      <c r="OVL60" s="53"/>
      <c r="OVM60" s="53"/>
      <c r="OVN60" s="53"/>
      <c r="OVO60" s="53"/>
      <c r="OVP60" s="53"/>
      <c r="OVQ60" s="53"/>
      <c r="OVR60" s="53"/>
      <c r="OVS60" s="53"/>
      <c r="OVT60" s="53"/>
      <c r="OVU60" s="53"/>
      <c r="OVV60" s="53"/>
      <c r="OVW60" s="53"/>
      <c r="OVX60" s="53"/>
      <c r="OVY60" s="53"/>
      <c r="OVZ60" s="53"/>
      <c r="OWA60" s="53"/>
      <c r="OWB60" s="53"/>
      <c r="OWC60" s="53"/>
      <c r="OWD60" s="53"/>
      <c r="OWE60" s="53"/>
      <c r="OWF60" s="53"/>
      <c r="OWG60" s="53"/>
      <c r="OWH60" s="53"/>
      <c r="OWI60" s="53"/>
      <c r="OWJ60" s="53"/>
      <c r="OWK60" s="53"/>
      <c r="OWL60" s="53"/>
      <c r="OWM60" s="53"/>
      <c r="OWN60" s="53"/>
      <c r="OWO60" s="53"/>
      <c r="OWP60" s="53"/>
      <c r="OWQ60" s="53"/>
      <c r="OWR60" s="53"/>
      <c r="OWS60" s="53"/>
      <c r="OWT60" s="53"/>
      <c r="OWU60" s="53"/>
      <c r="OWV60" s="53"/>
      <c r="OWW60" s="53"/>
      <c r="OWX60" s="53"/>
      <c r="OWY60" s="53"/>
      <c r="OWZ60" s="53"/>
      <c r="OXA60" s="53"/>
      <c r="OXB60" s="53"/>
      <c r="OXC60" s="53"/>
      <c r="OXD60" s="53"/>
      <c r="OXE60" s="53"/>
      <c r="OXF60" s="53"/>
      <c r="OXG60" s="53"/>
      <c r="OXH60" s="53"/>
      <c r="OXI60" s="53"/>
      <c r="OXJ60" s="53"/>
      <c r="OXK60" s="53"/>
      <c r="OXL60" s="53"/>
      <c r="OXM60" s="53"/>
      <c r="OXN60" s="53"/>
      <c r="OXO60" s="53"/>
      <c r="OXP60" s="53"/>
      <c r="OXQ60" s="53"/>
      <c r="OXR60" s="53"/>
      <c r="OXS60" s="53"/>
      <c r="OXT60" s="53"/>
      <c r="OXU60" s="53"/>
      <c r="OXV60" s="53"/>
      <c r="OXW60" s="53"/>
      <c r="OXX60" s="53"/>
      <c r="OXY60" s="53"/>
      <c r="OXZ60" s="53"/>
      <c r="OYA60" s="53"/>
      <c r="OYB60" s="53"/>
      <c r="OYC60" s="53"/>
      <c r="OYD60" s="53"/>
      <c r="OYE60" s="53"/>
      <c r="OYF60" s="53"/>
      <c r="OYG60" s="53"/>
      <c r="OYH60" s="53"/>
      <c r="OYI60" s="53"/>
      <c r="OYJ60" s="53"/>
      <c r="OYK60" s="53"/>
      <c r="OYL60" s="53"/>
      <c r="OYM60" s="53"/>
      <c r="OYN60" s="53"/>
      <c r="OYO60" s="53"/>
      <c r="OYP60" s="53"/>
      <c r="OYQ60" s="53"/>
      <c r="OYR60" s="53"/>
      <c r="OYS60" s="53"/>
      <c r="OYT60" s="53"/>
      <c r="OYU60" s="53"/>
      <c r="OYV60" s="53"/>
      <c r="OYW60" s="53"/>
      <c r="OYX60" s="53"/>
      <c r="OYY60" s="53"/>
      <c r="OYZ60" s="53"/>
      <c r="OZA60" s="53"/>
      <c r="OZB60" s="53"/>
      <c r="OZC60" s="53"/>
      <c r="OZD60" s="53"/>
      <c r="OZE60" s="53"/>
      <c r="OZF60" s="53"/>
      <c r="OZG60" s="53"/>
      <c r="OZH60" s="53"/>
      <c r="OZI60" s="53"/>
      <c r="OZJ60" s="53"/>
      <c r="OZK60" s="53"/>
      <c r="OZL60" s="53"/>
      <c r="OZM60" s="53"/>
      <c r="OZN60" s="53"/>
      <c r="OZO60" s="53"/>
      <c r="OZP60" s="53"/>
      <c r="OZQ60" s="53"/>
      <c r="OZR60" s="53"/>
      <c r="OZS60" s="53"/>
      <c r="OZT60" s="53"/>
      <c r="OZU60" s="53"/>
      <c r="OZV60" s="53"/>
      <c r="OZW60" s="53"/>
      <c r="OZX60" s="53"/>
      <c r="OZY60" s="53"/>
      <c r="OZZ60" s="53"/>
      <c r="PAA60" s="53"/>
      <c r="PAB60" s="53"/>
      <c r="PAC60" s="53"/>
      <c r="PAD60" s="53"/>
      <c r="PAE60" s="53"/>
      <c r="PAF60" s="53"/>
      <c r="PAG60" s="53"/>
      <c r="PAH60" s="53"/>
      <c r="PAI60" s="53"/>
      <c r="PAJ60" s="53"/>
      <c r="PAK60" s="53"/>
      <c r="PAL60" s="53"/>
      <c r="PAM60" s="53"/>
      <c r="PAN60" s="53"/>
      <c r="PAO60" s="53"/>
      <c r="PAP60" s="53"/>
      <c r="PAQ60" s="53"/>
      <c r="PAR60" s="53"/>
      <c r="PAS60" s="53"/>
      <c r="PAT60" s="53"/>
      <c r="PAU60" s="53"/>
      <c r="PAV60" s="53"/>
      <c r="PAW60" s="53"/>
      <c r="PAX60" s="53"/>
      <c r="PAY60" s="53"/>
      <c r="PAZ60" s="53"/>
      <c r="PBA60" s="53"/>
      <c r="PBB60" s="53"/>
      <c r="PBC60" s="53"/>
      <c r="PBD60" s="53"/>
      <c r="PBE60" s="53"/>
      <c r="PBF60" s="53"/>
      <c r="PBG60" s="53"/>
      <c r="PBH60" s="53"/>
      <c r="PBI60" s="53"/>
      <c r="PBJ60" s="53"/>
      <c r="PBK60" s="53"/>
      <c r="PBL60" s="53"/>
      <c r="PBM60" s="53"/>
      <c r="PBN60" s="53"/>
      <c r="PBO60" s="53"/>
      <c r="PBP60" s="53"/>
      <c r="PBQ60" s="53"/>
      <c r="PBR60" s="53"/>
      <c r="PBS60" s="53"/>
      <c r="PBT60" s="53"/>
      <c r="PBU60" s="53"/>
      <c r="PBV60" s="53"/>
      <c r="PBW60" s="53"/>
      <c r="PBX60" s="53"/>
      <c r="PBY60" s="53"/>
      <c r="PBZ60" s="53"/>
      <c r="PCA60" s="53"/>
      <c r="PCB60" s="53"/>
      <c r="PCC60" s="53"/>
      <c r="PCD60" s="53"/>
      <c r="PCE60" s="53"/>
      <c r="PCF60" s="53"/>
      <c r="PCG60" s="53"/>
      <c r="PCH60" s="53"/>
      <c r="PCI60" s="53"/>
      <c r="PCJ60" s="53"/>
      <c r="PCK60" s="53"/>
      <c r="PCL60" s="53"/>
      <c r="PCM60" s="53"/>
      <c r="PCN60" s="53"/>
      <c r="PCO60" s="53"/>
      <c r="PCP60" s="53"/>
      <c r="PCQ60" s="53"/>
      <c r="PCR60" s="53"/>
      <c r="PCS60" s="53"/>
      <c r="PCT60" s="53"/>
      <c r="PCU60" s="53"/>
      <c r="PCV60" s="53"/>
      <c r="PCW60" s="53"/>
      <c r="PCX60" s="53"/>
      <c r="PCY60" s="53"/>
      <c r="PCZ60" s="53"/>
      <c r="PDA60" s="53"/>
      <c r="PDB60" s="53"/>
      <c r="PDC60" s="53"/>
      <c r="PDD60" s="53"/>
      <c r="PDE60" s="53"/>
      <c r="PDF60" s="53"/>
      <c r="PDG60" s="53"/>
      <c r="PDH60" s="53"/>
      <c r="PDI60" s="53"/>
      <c r="PDJ60" s="53"/>
      <c r="PDK60" s="53"/>
      <c r="PDL60" s="53"/>
      <c r="PDM60" s="53"/>
      <c r="PDN60" s="53"/>
      <c r="PDO60" s="53"/>
      <c r="PDP60" s="53"/>
      <c r="PDQ60" s="53"/>
      <c r="PDR60" s="53"/>
      <c r="PDS60" s="53"/>
      <c r="PDT60" s="53"/>
      <c r="PDU60" s="53"/>
      <c r="PDV60" s="53"/>
      <c r="PDW60" s="53"/>
      <c r="PDX60" s="53"/>
      <c r="PDY60" s="53"/>
      <c r="PDZ60" s="53"/>
      <c r="PEA60" s="53"/>
      <c r="PEB60" s="53"/>
      <c r="PEC60" s="53"/>
      <c r="PED60" s="53"/>
      <c r="PEE60" s="53"/>
      <c r="PEF60" s="53"/>
      <c r="PEG60" s="53"/>
      <c r="PEH60" s="53"/>
      <c r="PEI60" s="53"/>
      <c r="PEJ60" s="53"/>
      <c r="PEK60" s="53"/>
      <c r="PEL60" s="53"/>
      <c r="PEM60" s="53"/>
      <c r="PEN60" s="53"/>
      <c r="PEO60" s="53"/>
      <c r="PEP60" s="53"/>
      <c r="PEQ60" s="53"/>
      <c r="PER60" s="53"/>
      <c r="PES60" s="53"/>
      <c r="PET60" s="53"/>
      <c r="PEU60" s="53"/>
      <c r="PEV60" s="53"/>
      <c r="PEW60" s="53"/>
      <c r="PEX60" s="53"/>
      <c r="PEY60" s="53"/>
      <c r="PEZ60" s="53"/>
      <c r="PFA60" s="53"/>
      <c r="PFB60" s="53"/>
      <c r="PFC60" s="53"/>
      <c r="PFD60" s="53"/>
      <c r="PFE60" s="53"/>
      <c r="PFF60" s="53"/>
      <c r="PFG60" s="53"/>
      <c r="PFH60" s="53"/>
      <c r="PFI60" s="53"/>
      <c r="PFJ60" s="53"/>
      <c r="PFK60" s="53"/>
      <c r="PFL60" s="53"/>
      <c r="PFM60" s="53"/>
      <c r="PFN60" s="53"/>
      <c r="PFO60" s="53"/>
      <c r="PFP60" s="53"/>
      <c r="PFQ60" s="53"/>
      <c r="PFR60" s="53"/>
      <c r="PFS60" s="53"/>
      <c r="PFT60" s="53"/>
      <c r="PFU60" s="53"/>
      <c r="PFV60" s="53"/>
      <c r="PFW60" s="53"/>
      <c r="PFX60" s="53"/>
      <c r="PFY60" s="53"/>
      <c r="PFZ60" s="53"/>
      <c r="PGA60" s="53"/>
      <c r="PGB60" s="53"/>
      <c r="PGC60" s="53"/>
      <c r="PGD60" s="53"/>
      <c r="PGE60" s="53"/>
      <c r="PGF60" s="53"/>
      <c r="PGG60" s="53"/>
      <c r="PGH60" s="53"/>
      <c r="PGI60" s="53"/>
      <c r="PGJ60" s="53"/>
      <c r="PGK60" s="53"/>
      <c r="PGL60" s="53"/>
      <c r="PGM60" s="53"/>
      <c r="PGN60" s="53"/>
      <c r="PGO60" s="53"/>
      <c r="PGP60" s="53"/>
      <c r="PGQ60" s="53"/>
      <c r="PGR60" s="53"/>
      <c r="PGS60" s="53"/>
      <c r="PGT60" s="53"/>
      <c r="PGU60" s="53"/>
      <c r="PGV60" s="53"/>
      <c r="PGW60" s="53"/>
      <c r="PGX60" s="53"/>
      <c r="PGY60" s="53"/>
      <c r="PGZ60" s="53"/>
      <c r="PHA60" s="53"/>
      <c r="PHB60" s="53"/>
      <c r="PHC60" s="53"/>
      <c r="PHD60" s="53"/>
      <c r="PHE60" s="53"/>
      <c r="PHF60" s="53"/>
      <c r="PHG60" s="53"/>
      <c r="PHH60" s="53"/>
      <c r="PHI60" s="53"/>
      <c r="PHJ60" s="53"/>
      <c r="PHK60" s="53"/>
      <c r="PHL60" s="53"/>
      <c r="PHM60" s="53"/>
      <c r="PHN60" s="53"/>
      <c r="PHO60" s="53"/>
      <c r="PHP60" s="53"/>
      <c r="PHQ60" s="53"/>
      <c r="PHR60" s="53"/>
      <c r="PHS60" s="53"/>
      <c r="PHT60" s="53"/>
      <c r="PHU60" s="53"/>
      <c r="PHV60" s="53"/>
      <c r="PHW60" s="53"/>
      <c r="PHX60" s="53"/>
      <c r="PHY60" s="53"/>
      <c r="PHZ60" s="53"/>
      <c r="PIA60" s="53"/>
      <c r="PIB60" s="53"/>
      <c r="PIC60" s="53"/>
      <c r="PID60" s="53"/>
      <c r="PIE60" s="53"/>
      <c r="PIF60" s="53"/>
      <c r="PIG60" s="53"/>
      <c r="PIH60" s="53"/>
      <c r="PII60" s="53"/>
      <c r="PIJ60" s="53"/>
      <c r="PIK60" s="53"/>
      <c r="PIL60" s="53"/>
      <c r="PIM60" s="53"/>
      <c r="PIN60" s="53"/>
      <c r="PIO60" s="53"/>
      <c r="PIP60" s="53"/>
      <c r="PIQ60" s="53"/>
      <c r="PIR60" s="53"/>
      <c r="PIS60" s="53"/>
      <c r="PIT60" s="53"/>
      <c r="PIU60" s="53"/>
      <c r="PIV60" s="53"/>
      <c r="PIW60" s="53"/>
      <c r="PIX60" s="53"/>
      <c r="PIY60" s="53"/>
      <c r="PIZ60" s="53"/>
      <c r="PJA60" s="53"/>
      <c r="PJB60" s="53"/>
      <c r="PJC60" s="53"/>
      <c r="PJD60" s="53"/>
      <c r="PJE60" s="53"/>
      <c r="PJF60" s="53"/>
      <c r="PJG60" s="53"/>
      <c r="PJH60" s="53"/>
      <c r="PJI60" s="53"/>
      <c r="PJJ60" s="53"/>
      <c r="PJK60" s="53"/>
      <c r="PJL60" s="53"/>
      <c r="PJM60" s="53"/>
      <c r="PJN60" s="53"/>
      <c r="PJO60" s="53"/>
      <c r="PJP60" s="53"/>
      <c r="PJQ60" s="53"/>
      <c r="PJR60" s="53"/>
      <c r="PJS60" s="53"/>
      <c r="PJT60" s="53"/>
      <c r="PJU60" s="53"/>
      <c r="PJV60" s="53"/>
      <c r="PJW60" s="53"/>
      <c r="PJX60" s="53"/>
      <c r="PJY60" s="53"/>
      <c r="PJZ60" s="53"/>
      <c r="PKA60" s="53"/>
      <c r="PKB60" s="53"/>
      <c r="PKC60" s="53"/>
      <c r="PKD60" s="53"/>
      <c r="PKE60" s="53"/>
      <c r="PKF60" s="53"/>
      <c r="PKG60" s="53"/>
      <c r="PKH60" s="53"/>
      <c r="PKI60" s="53"/>
      <c r="PKJ60" s="53"/>
      <c r="PKK60" s="53"/>
      <c r="PKL60" s="53"/>
      <c r="PKM60" s="53"/>
      <c r="PKN60" s="53"/>
      <c r="PKO60" s="53"/>
      <c r="PKP60" s="53"/>
      <c r="PKQ60" s="53"/>
      <c r="PKR60" s="53"/>
      <c r="PKS60" s="53"/>
      <c r="PKT60" s="53"/>
      <c r="PKU60" s="53"/>
      <c r="PKV60" s="53"/>
      <c r="PKW60" s="53"/>
      <c r="PKX60" s="53"/>
      <c r="PKY60" s="53"/>
      <c r="PKZ60" s="53"/>
      <c r="PLA60" s="53"/>
      <c r="PLB60" s="53"/>
      <c r="PLC60" s="53"/>
      <c r="PLD60" s="53"/>
      <c r="PLE60" s="53"/>
      <c r="PLF60" s="53"/>
      <c r="PLG60" s="53"/>
      <c r="PLH60" s="53"/>
      <c r="PLI60" s="53"/>
      <c r="PLJ60" s="53"/>
      <c r="PLK60" s="53"/>
      <c r="PLL60" s="53"/>
      <c r="PLM60" s="53"/>
      <c r="PLN60" s="53"/>
      <c r="PLO60" s="53"/>
      <c r="PLP60" s="53"/>
      <c r="PLQ60" s="53"/>
      <c r="PLR60" s="53"/>
      <c r="PLS60" s="53"/>
      <c r="PLT60" s="53"/>
      <c r="PLU60" s="53"/>
      <c r="PLV60" s="53"/>
      <c r="PLW60" s="53"/>
      <c r="PLX60" s="53"/>
      <c r="PLY60" s="53"/>
      <c r="PLZ60" s="53"/>
      <c r="PMA60" s="53"/>
      <c r="PMB60" s="53"/>
      <c r="PMC60" s="53"/>
      <c r="PMD60" s="53"/>
      <c r="PME60" s="53"/>
      <c r="PMF60" s="53"/>
      <c r="PMG60" s="53"/>
      <c r="PMH60" s="53"/>
      <c r="PMI60" s="53"/>
      <c r="PMJ60" s="53"/>
      <c r="PMK60" s="53"/>
      <c r="PML60" s="53"/>
      <c r="PMM60" s="53"/>
      <c r="PMN60" s="53"/>
      <c r="PMO60" s="53"/>
      <c r="PMP60" s="53"/>
      <c r="PMQ60" s="53"/>
      <c r="PMR60" s="53"/>
      <c r="PMS60" s="53"/>
      <c r="PMT60" s="53"/>
      <c r="PMU60" s="53"/>
      <c r="PMV60" s="53"/>
      <c r="PMW60" s="53"/>
      <c r="PMX60" s="53"/>
      <c r="PMY60" s="53"/>
      <c r="PMZ60" s="53"/>
      <c r="PNA60" s="53"/>
      <c r="PNB60" s="53"/>
      <c r="PNC60" s="53"/>
      <c r="PND60" s="53"/>
      <c r="PNE60" s="53"/>
      <c r="PNF60" s="53"/>
      <c r="PNG60" s="53"/>
      <c r="PNH60" s="53"/>
      <c r="PNI60" s="53"/>
      <c r="PNJ60" s="53"/>
      <c r="PNK60" s="53"/>
      <c r="PNL60" s="53"/>
      <c r="PNM60" s="53"/>
      <c r="PNN60" s="53"/>
      <c r="PNO60" s="53"/>
      <c r="PNP60" s="53"/>
      <c r="PNQ60" s="53"/>
      <c r="PNR60" s="53"/>
      <c r="PNS60" s="53"/>
      <c r="PNT60" s="53"/>
      <c r="PNU60" s="53"/>
      <c r="PNV60" s="53"/>
      <c r="PNW60" s="53"/>
      <c r="PNX60" s="53"/>
      <c r="PNY60" s="53"/>
      <c r="PNZ60" s="53"/>
      <c r="POA60" s="53"/>
      <c r="POB60" s="53"/>
      <c r="POC60" s="53"/>
      <c r="POD60" s="53"/>
      <c r="POE60" s="53"/>
      <c r="POF60" s="53"/>
      <c r="POG60" s="53"/>
      <c r="POH60" s="53"/>
      <c r="POI60" s="53"/>
      <c r="POJ60" s="53"/>
      <c r="POK60" s="53"/>
      <c r="POL60" s="53"/>
      <c r="POM60" s="53"/>
      <c r="PON60" s="53"/>
      <c r="POO60" s="53"/>
      <c r="POP60" s="53"/>
      <c r="POQ60" s="53"/>
      <c r="POR60" s="53"/>
      <c r="POS60" s="53"/>
      <c r="POT60" s="53"/>
      <c r="POU60" s="53"/>
      <c r="POV60" s="53"/>
      <c r="POW60" s="53"/>
      <c r="POX60" s="53"/>
      <c r="POY60" s="53"/>
      <c r="POZ60" s="53"/>
      <c r="PPA60" s="53"/>
      <c r="PPB60" s="53"/>
      <c r="PPC60" s="53"/>
      <c r="PPD60" s="53"/>
      <c r="PPE60" s="53"/>
      <c r="PPF60" s="53"/>
      <c r="PPG60" s="53"/>
      <c r="PPH60" s="53"/>
      <c r="PPI60" s="53"/>
      <c r="PPJ60" s="53"/>
      <c r="PPK60" s="53"/>
      <c r="PPL60" s="53"/>
      <c r="PPM60" s="53"/>
      <c r="PPN60" s="53"/>
      <c r="PPO60" s="53"/>
      <c r="PPP60" s="53"/>
      <c r="PPQ60" s="53"/>
      <c r="PPR60" s="53"/>
      <c r="PPS60" s="53"/>
      <c r="PPT60" s="53"/>
      <c r="PPU60" s="53"/>
      <c r="PPV60" s="53"/>
      <c r="PPW60" s="53"/>
      <c r="PPX60" s="53"/>
      <c r="PPY60" s="53"/>
      <c r="PPZ60" s="53"/>
      <c r="PQA60" s="53"/>
      <c r="PQB60" s="53"/>
      <c r="PQC60" s="53"/>
      <c r="PQD60" s="53"/>
      <c r="PQE60" s="53"/>
      <c r="PQF60" s="53"/>
      <c r="PQG60" s="53"/>
      <c r="PQH60" s="53"/>
      <c r="PQI60" s="53"/>
      <c r="PQJ60" s="53"/>
      <c r="PQK60" s="53"/>
      <c r="PQL60" s="53"/>
      <c r="PQM60" s="53"/>
      <c r="PQN60" s="53"/>
      <c r="PQO60" s="53"/>
      <c r="PQP60" s="53"/>
      <c r="PQQ60" s="53"/>
      <c r="PQR60" s="53"/>
      <c r="PQS60" s="53"/>
      <c r="PQT60" s="53"/>
      <c r="PQU60" s="53"/>
      <c r="PQV60" s="53"/>
      <c r="PQW60" s="53"/>
      <c r="PQX60" s="53"/>
      <c r="PQY60" s="53"/>
      <c r="PQZ60" s="53"/>
      <c r="PRA60" s="53"/>
      <c r="PRB60" s="53"/>
      <c r="PRC60" s="53"/>
      <c r="PRD60" s="53"/>
      <c r="PRE60" s="53"/>
      <c r="PRF60" s="53"/>
      <c r="PRG60" s="53"/>
      <c r="PRH60" s="53"/>
      <c r="PRI60" s="53"/>
      <c r="PRJ60" s="53"/>
      <c r="PRK60" s="53"/>
      <c r="PRL60" s="53"/>
      <c r="PRM60" s="53"/>
      <c r="PRN60" s="53"/>
      <c r="PRO60" s="53"/>
      <c r="PRP60" s="53"/>
      <c r="PRQ60" s="53"/>
      <c r="PRR60" s="53"/>
      <c r="PRS60" s="53"/>
      <c r="PRT60" s="53"/>
      <c r="PRU60" s="53"/>
      <c r="PRV60" s="53"/>
      <c r="PRW60" s="53"/>
      <c r="PRX60" s="53"/>
      <c r="PRY60" s="53"/>
      <c r="PRZ60" s="53"/>
      <c r="PSA60" s="53"/>
      <c r="PSB60" s="53"/>
      <c r="PSC60" s="53"/>
      <c r="PSD60" s="53"/>
      <c r="PSE60" s="53"/>
      <c r="PSF60" s="53"/>
      <c r="PSG60" s="53"/>
      <c r="PSH60" s="53"/>
      <c r="PSI60" s="53"/>
      <c r="PSJ60" s="53"/>
      <c r="PSK60" s="53"/>
      <c r="PSL60" s="53"/>
      <c r="PSM60" s="53"/>
      <c r="PSN60" s="53"/>
      <c r="PSO60" s="53"/>
      <c r="PSP60" s="53"/>
      <c r="PSQ60" s="53"/>
      <c r="PSR60" s="53"/>
      <c r="PSS60" s="53"/>
      <c r="PST60" s="53"/>
      <c r="PSU60" s="53"/>
      <c r="PSV60" s="53"/>
      <c r="PSW60" s="53"/>
      <c r="PSX60" s="53"/>
      <c r="PSY60" s="53"/>
      <c r="PSZ60" s="53"/>
      <c r="PTA60" s="53"/>
      <c r="PTB60" s="53"/>
      <c r="PTC60" s="53"/>
      <c r="PTD60" s="53"/>
      <c r="PTE60" s="53"/>
      <c r="PTF60" s="53"/>
      <c r="PTG60" s="53"/>
      <c r="PTH60" s="53"/>
      <c r="PTI60" s="53"/>
      <c r="PTJ60" s="53"/>
      <c r="PTK60" s="53"/>
      <c r="PTL60" s="53"/>
      <c r="PTM60" s="53"/>
      <c r="PTN60" s="53"/>
      <c r="PTO60" s="53"/>
      <c r="PTP60" s="53"/>
      <c r="PTQ60" s="53"/>
      <c r="PTR60" s="53"/>
      <c r="PTS60" s="53"/>
      <c r="PTT60" s="53"/>
      <c r="PTU60" s="53"/>
      <c r="PTV60" s="53"/>
      <c r="PTW60" s="53"/>
      <c r="PTX60" s="53"/>
      <c r="PTY60" s="53"/>
      <c r="PTZ60" s="53"/>
      <c r="PUA60" s="53"/>
      <c r="PUB60" s="53"/>
      <c r="PUC60" s="53"/>
      <c r="PUD60" s="53"/>
      <c r="PUE60" s="53"/>
      <c r="PUF60" s="53"/>
      <c r="PUG60" s="53"/>
      <c r="PUH60" s="53"/>
      <c r="PUI60" s="53"/>
      <c r="PUJ60" s="53"/>
      <c r="PUK60" s="53"/>
      <c r="PUL60" s="53"/>
      <c r="PUM60" s="53"/>
      <c r="PUN60" s="53"/>
      <c r="PUO60" s="53"/>
      <c r="PUP60" s="53"/>
      <c r="PUQ60" s="53"/>
      <c r="PUR60" s="53"/>
      <c r="PUS60" s="53"/>
      <c r="PUT60" s="53"/>
      <c r="PUU60" s="53"/>
      <c r="PUV60" s="53"/>
      <c r="PUW60" s="53"/>
      <c r="PUX60" s="53"/>
      <c r="PUY60" s="53"/>
      <c r="PUZ60" s="53"/>
      <c r="PVA60" s="53"/>
      <c r="PVB60" s="53"/>
      <c r="PVC60" s="53"/>
      <c r="PVD60" s="53"/>
      <c r="PVE60" s="53"/>
      <c r="PVF60" s="53"/>
      <c r="PVG60" s="53"/>
      <c r="PVH60" s="53"/>
      <c r="PVI60" s="53"/>
      <c r="PVJ60" s="53"/>
      <c r="PVK60" s="53"/>
      <c r="PVL60" s="53"/>
      <c r="PVM60" s="53"/>
      <c r="PVN60" s="53"/>
      <c r="PVO60" s="53"/>
      <c r="PVP60" s="53"/>
      <c r="PVQ60" s="53"/>
      <c r="PVR60" s="53"/>
      <c r="PVS60" s="53"/>
      <c r="PVT60" s="53"/>
      <c r="PVU60" s="53"/>
      <c r="PVV60" s="53"/>
      <c r="PVW60" s="53"/>
      <c r="PVX60" s="53"/>
      <c r="PVY60" s="53"/>
      <c r="PVZ60" s="53"/>
      <c r="PWA60" s="53"/>
      <c r="PWB60" s="53"/>
      <c r="PWC60" s="53"/>
      <c r="PWD60" s="53"/>
      <c r="PWE60" s="53"/>
      <c r="PWF60" s="53"/>
      <c r="PWG60" s="53"/>
      <c r="PWH60" s="53"/>
      <c r="PWI60" s="53"/>
      <c r="PWJ60" s="53"/>
      <c r="PWK60" s="53"/>
      <c r="PWL60" s="53"/>
      <c r="PWM60" s="53"/>
      <c r="PWN60" s="53"/>
      <c r="PWO60" s="53"/>
      <c r="PWP60" s="53"/>
      <c r="PWQ60" s="53"/>
      <c r="PWR60" s="53"/>
      <c r="PWS60" s="53"/>
      <c r="PWT60" s="53"/>
      <c r="PWU60" s="53"/>
      <c r="PWV60" s="53"/>
      <c r="PWW60" s="53"/>
      <c r="PWX60" s="53"/>
      <c r="PWY60" s="53"/>
      <c r="PWZ60" s="53"/>
      <c r="PXA60" s="53"/>
      <c r="PXB60" s="53"/>
      <c r="PXC60" s="53"/>
      <c r="PXD60" s="53"/>
      <c r="PXE60" s="53"/>
      <c r="PXF60" s="53"/>
      <c r="PXG60" s="53"/>
      <c r="PXH60" s="53"/>
      <c r="PXI60" s="53"/>
      <c r="PXJ60" s="53"/>
      <c r="PXK60" s="53"/>
      <c r="PXL60" s="53"/>
      <c r="PXM60" s="53"/>
      <c r="PXN60" s="53"/>
      <c r="PXO60" s="53"/>
      <c r="PXP60" s="53"/>
      <c r="PXQ60" s="53"/>
      <c r="PXR60" s="53"/>
      <c r="PXS60" s="53"/>
      <c r="PXT60" s="53"/>
      <c r="PXU60" s="53"/>
      <c r="PXV60" s="53"/>
      <c r="PXW60" s="53"/>
      <c r="PXX60" s="53"/>
      <c r="PXY60" s="53"/>
      <c r="PXZ60" s="53"/>
      <c r="PYA60" s="53"/>
      <c r="PYB60" s="53"/>
      <c r="PYC60" s="53"/>
      <c r="PYD60" s="53"/>
      <c r="PYE60" s="53"/>
      <c r="PYF60" s="53"/>
      <c r="PYG60" s="53"/>
      <c r="PYH60" s="53"/>
      <c r="PYI60" s="53"/>
      <c r="PYJ60" s="53"/>
      <c r="PYK60" s="53"/>
      <c r="PYL60" s="53"/>
      <c r="PYM60" s="53"/>
      <c r="PYN60" s="53"/>
      <c r="PYO60" s="53"/>
      <c r="PYP60" s="53"/>
      <c r="PYQ60" s="53"/>
      <c r="PYR60" s="53"/>
      <c r="PYS60" s="53"/>
      <c r="PYT60" s="53"/>
      <c r="PYU60" s="53"/>
      <c r="PYV60" s="53"/>
      <c r="PYW60" s="53"/>
      <c r="PYX60" s="53"/>
      <c r="PYY60" s="53"/>
      <c r="PYZ60" s="53"/>
      <c r="PZA60" s="53"/>
      <c r="PZB60" s="53"/>
      <c r="PZC60" s="53"/>
      <c r="PZD60" s="53"/>
      <c r="PZE60" s="53"/>
      <c r="PZF60" s="53"/>
      <c r="PZG60" s="53"/>
      <c r="PZH60" s="53"/>
      <c r="PZI60" s="53"/>
      <c r="PZJ60" s="53"/>
      <c r="PZK60" s="53"/>
      <c r="PZL60" s="53"/>
      <c r="PZM60" s="53"/>
      <c r="PZN60" s="53"/>
      <c r="PZO60" s="53"/>
      <c r="PZP60" s="53"/>
      <c r="PZQ60" s="53"/>
      <c r="PZR60" s="53"/>
      <c r="PZS60" s="53"/>
      <c r="PZT60" s="53"/>
      <c r="PZU60" s="53"/>
      <c r="PZV60" s="53"/>
      <c r="PZW60" s="53"/>
      <c r="PZX60" s="53"/>
      <c r="PZY60" s="53"/>
      <c r="PZZ60" s="53"/>
      <c r="QAA60" s="53"/>
      <c r="QAB60" s="53"/>
      <c r="QAC60" s="53"/>
      <c r="QAD60" s="53"/>
      <c r="QAE60" s="53"/>
      <c r="QAF60" s="53"/>
      <c r="QAG60" s="53"/>
      <c r="QAH60" s="53"/>
      <c r="QAI60" s="53"/>
      <c r="QAJ60" s="53"/>
      <c r="QAK60" s="53"/>
      <c r="QAL60" s="53"/>
      <c r="QAM60" s="53"/>
      <c r="QAN60" s="53"/>
      <c r="QAO60" s="53"/>
      <c r="QAP60" s="53"/>
      <c r="QAQ60" s="53"/>
      <c r="QAR60" s="53"/>
      <c r="QAS60" s="53"/>
      <c r="QAT60" s="53"/>
      <c r="QAU60" s="53"/>
      <c r="QAV60" s="53"/>
      <c r="QAW60" s="53"/>
      <c r="QAX60" s="53"/>
      <c r="QAY60" s="53"/>
      <c r="QAZ60" s="53"/>
      <c r="QBA60" s="53"/>
      <c r="QBB60" s="53"/>
      <c r="QBC60" s="53"/>
      <c r="QBD60" s="53"/>
      <c r="QBE60" s="53"/>
      <c r="QBF60" s="53"/>
      <c r="QBG60" s="53"/>
      <c r="QBH60" s="53"/>
      <c r="QBI60" s="53"/>
      <c r="QBJ60" s="53"/>
      <c r="QBK60" s="53"/>
      <c r="QBL60" s="53"/>
      <c r="QBM60" s="53"/>
      <c r="QBN60" s="53"/>
      <c r="QBO60" s="53"/>
      <c r="QBP60" s="53"/>
      <c r="QBQ60" s="53"/>
      <c r="QBR60" s="53"/>
      <c r="QBS60" s="53"/>
      <c r="QBT60" s="53"/>
      <c r="QBU60" s="53"/>
      <c r="QBV60" s="53"/>
      <c r="QBW60" s="53"/>
      <c r="QBX60" s="53"/>
      <c r="QBY60" s="53"/>
      <c r="QBZ60" s="53"/>
      <c r="QCA60" s="53"/>
      <c r="QCB60" s="53"/>
      <c r="QCC60" s="53"/>
      <c r="QCD60" s="53"/>
      <c r="QCE60" s="53"/>
      <c r="QCF60" s="53"/>
      <c r="QCG60" s="53"/>
      <c r="QCH60" s="53"/>
      <c r="QCI60" s="53"/>
      <c r="QCJ60" s="53"/>
      <c r="QCK60" s="53"/>
      <c r="QCL60" s="53"/>
      <c r="QCM60" s="53"/>
      <c r="QCN60" s="53"/>
      <c r="QCO60" s="53"/>
      <c r="QCP60" s="53"/>
      <c r="QCQ60" s="53"/>
      <c r="QCR60" s="53"/>
      <c r="QCS60" s="53"/>
      <c r="QCT60" s="53"/>
      <c r="QCU60" s="53"/>
      <c r="QCV60" s="53"/>
      <c r="QCW60" s="53"/>
      <c r="QCX60" s="53"/>
      <c r="QCY60" s="53"/>
      <c r="QCZ60" s="53"/>
      <c r="QDA60" s="53"/>
      <c r="QDB60" s="53"/>
      <c r="QDC60" s="53"/>
      <c r="QDD60" s="53"/>
      <c r="QDE60" s="53"/>
      <c r="QDF60" s="53"/>
      <c r="QDG60" s="53"/>
      <c r="QDH60" s="53"/>
      <c r="QDI60" s="53"/>
      <c r="QDJ60" s="53"/>
      <c r="QDK60" s="53"/>
      <c r="QDL60" s="53"/>
      <c r="QDM60" s="53"/>
      <c r="QDN60" s="53"/>
      <c r="QDO60" s="53"/>
      <c r="QDP60" s="53"/>
      <c r="QDQ60" s="53"/>
      <c r="QDR60" s="53"/>
      <c r="QDS60" s="53"/>
      <c r="QDT60" s="53"/>
      <c r="QDU60" s="53"/>
      <c r="QDV60" s="53"/>
      <c r="QDW60" s="53"/>
      <c r="QDX60" s="53"/>
      <c r="QDY60" s="53"/>
      <c r="QDZ60" s="53"/>
      <c r="QEA60" s="53"/>
      <c r="QEB60" s="53"/>
      <c r="QEC60" s="53"/>
      <c r="QED60" s="53"/>
      <c r="QEE60" s="53"/>
      <c r="QEF60" s="53"/>
      <c r="QEG60" s="53"/>
      <c r="QEH60" s="53"/>
      <c r="QEI60" s="53"/>
      <c r="QEJ60" s="53"/>
      <c r="QEK60" s="53"/>
      <c r="QEL60" s="53"/>
      <c r="QEM60" s="53"/>
      <c r="QEN60" s="53"/>
      <c r="QEO60" s="53"/>
      <c r="QEP60" s="53"/>
      <c r="QEQ60" s="53"/>
      <c r="QER60" s="53"/>
      <c r="QES60" s="53"/>
      <c r="QET60" s="53"/>
      <c r="QEU60" s="53"/>
      <c r="QEV60" s="53"/>
      <c r="QEW60" s="53"/>
      <c r="QEX60" s="53"/>
      <c r="QEY60" s="53"/>
      <c r="QEZ60" s="53"/>
      <c r="QFA60" s="53"/>
      <c r="QFB60" s="53"/>
      <c r="QFC60" s="53"/>
      <c r="QFD60" s="53"/>
      <c r="QFE60" s="53"/>
      <c r="QFF60" s="53"/>
      <c r="QFG60" s="53"/>
      <c r="QFH60" s="53"/>
      <c r="QFI60" s="53"/>
      <c r="QFJ60" s="53"/>
      <c r="QFK60" s="53"/>
      <c r="QFL60" s="53"/>
      <c r="QFM60" s="53"/>
      <c r="QFN60" s="53"/>
      <c r="QFO60" s="53"/>
      <c r="QFP60" s="53"/>
      <c r="QFQ60" s="53"/>
      <c r="QFR60" s="53"/>
      <c r="QFS60" s="53"/>
      <c r="QFT60" s="53"/>
      <c r="QFU60" s="53"/>
      <c r="QFV60" s="53"/>
      <c r="QFW60" s="53"/>
      <c r="QFX60" s="53"/>
      <c r="QFY60" s="53"/>
      <c r="QFZ60" s="53"/>
      <c r="QGA60" s="53"/>
      <c r="QGB60" s="53"/>
      <c r="QGC60" s="53"/>
      <c r="QGD60" s="53"/>
      <c r="QGE60" s="53"/>
      <c r="QGF60" s="53"/>
      <c r="QGG60" s="53"/>
      <c r="QGH60" s="53"/>
      <c r="QGI60" s="53"/>
      <c r="QGJ60" s="53"/>
      <c r="QGK60" s="53"/>
      <c r="QGL60" s="53"/>
      <c r="QGM60" s="53"/>
      <c r="QGN60" s="53"/>
      <c r="QGO60" s="53"/>
      <c r="QGP60" s="53"/>
      <c r="QGQ60" s="53"/>
      <c r="QGR60" s="53"/>
      <c r="QGS60" s="53"/>
      <c r="QGT60" s="53"/>
      <c r="QGU60" s="53"/>
      <c r="QGV60" s="53"/>
      <c r="QGW60" s="53"/>
      <c r="QGX60" s="53"/>
      <c r="QGY60" s="53"/>
      <c r="QGZ60" s="53"/>
      <c r="QHA60" s="53"/>
      <c r="QHB60" s="53"/>
      <c r="QHC60" s="53"/>
      <c r="QHD60" s="53"/>
      <c r="QHE60" s="53"/>
      <c r="QHF60" s="53"/>
      <c r="QHG60" s="53"/>
      <c r="QHH60" s="53"/>
      <c r="QHI60" s="53"/>
      <c r="QHJ60" s="53"/>
      <c r="QHK60" s="53"/>
      <c r="QHL60" s="53"/>
      <c r="QHM60" s="53"/>
      <c r="QHN60" s="53"/>
      <c r="QHO60" s="53"/>
      <c r="QHP60" s="53"/>
      <c r="QHQ60" s="53"/>
      <c r="QHR60" s="53"/>
      <c r="QHS60" s="53"/>
      <c r="QHT60" s="53"/>
      <c r="QHU60" s="53"/>
      <c r="QHV60" s="53"/>
      <c r="QHW60" s="53"/>
      <c r="QHX60" s="53"/>
      <c r="QHY60" s="53"/>
      <c r="QHZ60" s="53"/>
      <c r="QIA60" s="53"/>
      <c r="QIB60" s="53"/>
      <c r="QIC60" s="53"/>
      <c r="QID60" s="53"/>
      <c r="QIE60" s="53"/>
      <c r="QIF60" s="53"/>
      <c r="QIG60" s="53"/>
      <c r="QIH60" s="53"/>
      <c r="QII60" s="53"/>
      <c r="QIJ60" s="53"/>
      <c r="QIK60" s="53"/>
      <c r="QIL60" s="53"/>
      <c r="QIM60" s="53"/>
      <c r="QIN60" s="53"/>
      <c r="QIO60" s="53"/>
      <c r="QIP60" s="53"/>
      <c r="QIQ60" s="53"/>
      <c r="QIR60" s="53"/>
      <c r="QIS60" s="53"/>
      <c r="QIT60" s="53"/>
      <c r="QIU60" s="53"/>
      <c r="QIV60" s="53"/>
      <c r="QIW60" s="53"/>
      <c r="QIX60" s="53"/>
      <c r="QIY60" s="53"/>
      <c r="QIZ60" s="53"/>
      <c r="QJA60" s="53"/>
      <c r="QJB60" s="53"/>
      <c r="QJC60" s="53"/>
      <c r="QJD60" s="53"/>
      <c r="QJE60" s="53"/>
      <c r="QJF60" s="53"/>
      <c r="QJG60" s="53"/>
      <c r="QJH60" s="53"/>
      <c r="QJI60" s="53"/>
      <c r="QJJ60" s="53"/>
      <c r="QJK60" s="53"/>
      <c r="QJL60" s="53"/>
      <c r="QJM60" s="53"/>
      <c r="QJN60" s="53"/>
      <c r="QJO60" s="53"/>
      <c r="QJP60" s="53"/>
      <c r="QJQ60" s="53"/>
      <c r="QJR60" s="53"/>
      <c r="QJS60" s="53"/>
      <c r="QJT60" s="53"/>
      <c r="QJU60" s="53"/>
      <c r="QJV60" s="53"/>
      <c r="QJW60" s="53"/>
      <c r="QJX60" s="53"/>
      <c r="QJY60" s="53"/>
      <c r="QJZ60" s="53"/>
      <c r="QKA60" s="53"/>
      <c r="QKB60" s="53"/>
      <c r="QKC60" s="53"/>
      <c r="QKD60" s="53"/>
      <c r="QKE60" s="53"/>
      <c r="QKF60" s="53"/>
      <c r="QKG60" s="53"/>
      <c r="QKH60" s="53"/>
      <c r="QKI60" s="53"/>
      <c r="QKJ60" s="53"/>
      <c r="QKK60" s="53"/>
      <c r="QKL60" s="53"/>
      <c r="QKM60" s="53"/>
      <c r="QKN60" s="53"/>
      <c r="QKO60" s="53"/>
      <c r="QKP60" s="53"/>
      <c r="QKQ60" s="53"/>
      <c r="QKR60" s="53"/>
      <c r="QKS60" s="53"/>
      <c r="QKT60" s="53"/>
      <c r="QKU60" s="53"/>
      <c r="QKV60" s="53"/>
      <c r="QKW60" s="53"/>
      <c r="QKX60" s="53"/>
      <c r="QKY60" s="53"/>
      <c r="QKZ60" s="53"/>
      <c r="QLA60" s="53"/>
      <c r="QLB60" s="53"/>
      <c r="QLC60" s="53"/>
      <c r="QLD60" s="53"/>
      <c r="QLE60" s="53"/>
      <c r="QLF60" s="53"/>
      <c r="QLG60" s="53"/>
      <c r="QLH60" s="53"/>
      <c r="QLI60" s="53"/>
      <c r="QLJ60" s="53"/>
      <c r="QLK60" s="53"/>
      <c r="QLL60" s="53"/>
      <c r="QLM60" s="53"/>
      <c r="QLN60" s="53"/>
      <c r="QLO60" s="53"/>
      <c r="QLP60" s="53"/>
      <c r="QLQ60" s="53"/>
      <c r="QLR60" s="53"/>
      <c r="QLS60" s="53"/>
      <c r="QLT60" s="53"/>
      <c r="QLU60" s="53"/>
      <c r="QLV60" s="53"/>
      <c r="QLW60" s="53"/>
      <c r="QLX60" s="53"/>
      <c r="QLY60" s="53"/>
      <c r="QLZ60" s="53"/>
      <c r="QMA60" s="53"/>
      <c r="QMB60" s="53"/>
      <c r="QMC60" s="53"/>
      <c r="QMD60" s="53"/>
      <c r="QME60" s="53"/>
      <c r="QMF60" s="53"/>
      <c r="QMG60" s="53"/>
      <c r="QMH60" s="53"/>
      <c r="QMI60" s="53"/>
      <c r="QMJ60" s="53"/>
      <c r="QMK60" s="53"/>
      <c r="QML60" s="53"/>
      <c r="QMM60" s="53"/>
      <c r="QMN60" s="53"/>
      <c r="QMO60" s="53"/>
      <c r="QMP60" s="53"/>
      <c r="QMQ60" s="53"/>
      <c r="QMR60" s="53"/>
      <c r="QMS60" s="53"/>
      <c r="QMT60" s="53"/>
      <c r="QMU60" s="53"/>
      <c r="QMV60" s="53"/>
      <c r="QMW60" s="53"/>
      <c r="QMX60" s="53"/>
      <c r="QMY60" s="53"/>
      <c r="QMZ60" s="53"/>
      <c r="QNA60" s="53"/>
      <c r="QNB60" s="53"/>
      <c r="QNC60" s="53"/>
      <c r="QND60" s="53"/>
      <c r="QNE60" s="53"/>
      <c r="QNF60" s="53"/>
      <c r="QNG60" s="53"/>
      <c r="QNH60" s="53"/>
      <c r="QNI60" s="53"/>
      <c r="QNJ60" s="53"/>
      <c r="QNK60" s="53"/>
      <c r="QNL60" s="53"/>
      <c r="QNM60" s="53"/>
      <c r="QNN60" s="53"/>
      <c r="QNO60" s="53"/>
      <c r="QNP60" s="53"/>
      <c r="QNQ60" s="53"/>
      <c r="QNR60" s="53"/>
      <c r="QNS60" s="53"/>
      <c r="QNT60" s="53"/>
      <c r="QNU60" s="53"/>
      <c r="QNV60" s="53"/>
      <c r="QNW60" s="53"/>
      <c r="QNX60" s="53"/>
      <c r="QNY60" s="53"/>
      <c r="QNZ60" s="53"/>
      <c r="QOA60" s="53"/>
      <c r="QOB60" s="53"/>
      <c r="QOC60" s="53"/>
      <c r="QOD60" s="53"/>
      <c r="QOE60" s="53"/>
      <c r="QOF60" s="53"/>
      <c r="QOG60" s="53"/>
      <c r="QOH60" s="53"/>
      <c r="QOI60" s="53"/>
      <c r="QOJ60" s="53"/>
      <c r="QOK60" s="53"/>
      <c r="QOL60" s="53"/>
      <c r="QOM60" s="53"/>
      <c r="QON60" s="53"/>
      <c r="QOO60" s="53"/>
      <c r="QOP60" s="53"/>
      <c r="QOQ60" s="53"/>
      <c r="QOR60" s="53"/>
      <c r="QOS60" s="53"/>
      <c r="QOT60" s="53"/>
      <c r="QOU60" s="53"/>
      <c r="QOV60" s="53"/>
      <c r="QOW60" s="53"/>
      <c r="QOX60" s="53"/>
      <c r="QOY60" s="53"/>
      <c r="QOZ60" s="53"/>
      <c r="QPA60" s="53"/>
      <c r="QPB60" s="53"/>
      <c r="QPC60" s="53"/>
      <c r="QPD60" s="53"/>
      <c r="QPE60" s="53"/>
      <c r="QPF60" s="53"/>
      <c r="QPG60" s="53"/>
      <c r="QPH60" s="53"/>
      <c r="QPI60" s="53"/>
      <c r="QPJ60" s="53"/>
      <c r="QPK60" s="53"/>
      <c r="QPL60" s="53"/>
      <c r="QPM60" s="53"/>
      <c r="QPN60" s="53"/>
      <c r="QPO60" s="53"/>
      <c r="QPP60" s="53"/>
      <c r="QPQ60" s="53"/>
      <c r="QPR60" s="53"/>
      <c r="QPS60" s="53"/>
      <c r="QPT60" s="53"/>
      <c r="QPU60" s="53"/>
      <c r="QPV60" s="53"/>
      <c r="QPW60" s="53"/>
      <c r="QPX60" s="53"/>
      <c r="QPY60" s="53"/>
      <c r="QPZ60" s="53"/>
      <c r="QQA60" s="53"/>
      <c r="QQB60" s="53"/>
      <c r="QQC60" s="53"/>
      <c r="QQD60" s="53"/>
      <c r="QQE60" s="53"/>
      <c r="QQF60" s="53"/>
      <c r="QQG60" s="53"/>
      <c r="QQH60" s="53"/>
      <c r="QQI60" s="53"/>
      <c r="QQJ60" s="53"/>
      <c r="QQK60" s="53"/>
      <c r="QQL60" s="53"/>
      <c r="QQM60" s="53"/>
      <c r="QQN60" s="53"/>
      <c r="QQO60" s="53"/>
      <c r="QQP60" s="53"/>
      <c r="QQQ60" s="53"/>
      <c r="QQR60" s="53"/>
      <c r="QQS60" s="53"/>
      <c r="QQT60" s="53"/>
      <c r="QQU60" s="53"/>
      <c r="QQV60" s="53"/>
      <c r="QQW60" s="53"/>
      <c r="QQX60" s="53"/>
      <c r="QQY60" s="53"/>
      <c r="QQZ60" s="53"/>
      <c r="QRA60" s="53"/>
      <c r="QRB60" s="53"/>
      <c r="QRC60" s="53"/>
      <c r="QRD60" s="53"/>
      <c r="QRE60" s="53"/>
      <c r="QRF60" s="53"/>
      <c r="QRG60" s="53"/>
      <c r="QRH60" s="53"/>
      <c r="QRI60" s="53"/>
      <c r="QRJ60" s="53"/>
      <c r="QRK60" s="53"/>
      <c r="QRL60" s="53"/>
      <c r="QRM60" s="53"/>
      <c r="QRN60" s="53"/>
      <c r="QRO60" s="53"/>
      <c r="QRP60" s="53"/>
      <c r="QRQ60" s="53"/>
      <c r="QRR60" s="53"/>
      <c r="QRS60" s="53"/>
      <c r="QRT60" s="53"/>
      <c r="QRU60" s="53"/>
      <c r="QRV60" s="53"/>
      <c r="QRW60" s="53"/>
      <c r="QRX60" s="53"/>
      <c r="QRY60" s="53"/>
      <c r="QRZ60" s="53"/>
      <c r="QSA60" s="53"/>
      <c r="QSB60" s="53"/>
      <c r="QSC60" s="53"/>
      <c r="QSD60" s="53"/>
      <c r="QSE60" s="53"/>
      <c r="QSF60" s="53"/>
      <c r="QSG60" s="53"/>
      <c r="QSH60" s="53"/>
      <c r="QSI60" s="53"/>
      <c r="QSJ60" s="53"/>
      <c r="QSK60" s="53"/>
      <c r="QSL60" s="53"/>
      <c r="QSM60" s="53"/>
      <c r="QSN60" s="53"/>
      <c r="QSO60" s="53"/>
      <c r="QSP60" s="53"/>
      <c r="QSQ60" s="53"/>
      <c r="QSR60" s="53"/>
      <c r="QSS60" s="53"/>
      <c r="QST60" s="53"/>
      <c r="QSU60" s="53"/>
      <c r="QSV60" s="53"/>
      <c r="QSW60" s="53"/>
      <c r="QSX60" s="53"/>
      <c r="QSY60" s="53"/>
      <c r="QSZ60" s="53"/>
      <c r="QTA60" s="53"/>
      <c r="QTB60" s="53"/>
      <c r="QTC60" s="53"/>
      <c r="QTD60" s="53"/>
      <c r="QTE60" s="53"/>
      <c r="QTF60" s="53"/>
      <c r="QTG60" s="53"/>
      <c r="QTH60" s="53"/>
      <c r="QTI60" s="53"/>
      <c r="QTJ60" s="53"/>
      <c r="QTK60" s="53"/>
      <c r="QTL60" s="53"/>
      <c r="QTM60" s="53"/>
      <c r="QTN60" s="53"/>
      <c r="QTO60" s="53"/>
      <c r="QTP60" s="53"/>
      <c r="QTQ60" s="53"/>
      <c r="QTR60" s="53"/>
      <c r="QTS60" s="53"/>
      <c r="QTT60" s="53"/>
      <c r="QTU60" s="53"/>
      <c r="QTV60" s="53"/>
      <c r="QTW60" s="53"/>
      <c r="QTX60" s="53"/>
      <c r="QTY60" s="53"/>
      <c r="QTZ60" s="53"/>
      <c r="QUA60" s="53"/>
      <c r="QUB60" s="53"/>
      <c r="QUC60" s="53"/>
      <c r="QUD60" s="53"/>
      <c r="QUE60" s="53"/>
      <c r="QUF60" s="53"/>
      <c r="QUG60" s="53"/>
      <c r="QUH60" s="53"/>
      <c r="QUI60" s="53"/>
      <c r="QUJ60" s="53"/>
      <c r="QUK60" s="53"/>
      <c r="QUL60" s="53"/>
      <c r="QUM60" s="53"/>
      <c r="QUN60" s="53"/>
      <c r="QUO60" s="53"/>
      <c r="QUP60" s="53"/>
      <c r="QUQ60" s="53"/>
      <c r="QUR60" s="53"/>
      <c r="QUS60" s="53"/>
      <c r="QUT60" s="53"/>
      <c r="QUU60" s="53"/>
      <c r="QUV60" s="53"/>
      <c r="QUW60" s="53"/>
      <c r="QUX60" s="53"/>
      <c r="QUY60" s="53"/>
      <c r="QUZ60" s="53"/>
      <c r="QVA60" s="53"/>
      <c r="QVB60" s="53"/>
      <c r="QVC60" s="53"/>
      <c r="QVD60" s="53"/>
      <c r="QVE60" s="53"/>
      <c r="QVF60" s="53"/>
      <c r="QVG60" s="53"/>
      <c r="QVH60" s="53"/>
      <c r="QVI60" s="53"/>
      <c r="QVJ60" s="53"/>
      <c r="QVK60" s="53"/>
      <c r="QVL60" s="53"/>
      <c r="QVM60" s="53"/>
      <c r="QVN60" s="53"/>
      <c r="QVO60" s="53"/>
      <c r="QVP60" s="53"/>
      <c r="QVQ60" s="53"/>
      <c r="QVR60" s="53"/>
      <c r="QVS60" s="53"/>
      <c r="QVT60" s="53"/>
      <c r="QVU60" s="53"/>
      <c r="QVV60" s="53"/>
      <c r="QVW60" s="53"/>
      <c r="QVX60" s="53"/>
      <c r="QVY60" s="53"/>
      <c r="QVZ60" s="53"/>
      <c r="QWA60" s="53"/>
      <c r="QWB60" s="53"/>
      <c r="QWC60" s="53"/>
      <c r="QWD60" s="53"/>
      <c r="QWE60" s="53"/>
      <c r="QWF60" s="53"/>
      <c r="QWG60" s="53"/>
      <c r="QWH60" s="53"/>
      <c r="QWI60" s="53"/>
      <c r="QWJ60" s="53"/>
      <c r="QWK60" s="53"/>
      <c r="QWL60" s="53"/>
      <c r="QWM60" s="53"/>
      <c r="QWN60" s="53"/>
      <c r="QWO60" s="53"/>
      <c r="QWP60" s="53"/>
      <c r="QWQ60" s="53"/>
      <c r="QWR60" s="53"/>
      <c r="QWS60" s="53"/>
      <c r="QWT60" s="53"/>
      <c r="QWU60" s="53"/>
      <c r="QWV60" s="53"/>
      <c r="QWW60" s="53"/>
      <c r="QWX60" s="53"/>
      <c r="QWY60" s="53"/>
      <c r="QWZ60" s="53"/>
      <c r="QXA60" s="53"/>
      <c r="QXB60" s="53"/>
      <c r="QXC60" s="53"/>
      <c r="QXD60" s="53"/>
      <c r="QXE60" s="53"/>
      <c r="QXF60" s="53"/>
      <c r="QXG60" s="53"/>
      <c r="QXH60" s="53"/>
      <c r="QXI60" s="53"/>
      <c r="QXJ60" s="53"/>
      <c r="QXK60" s="53"/>
      <c r="QXL60" s="53"/>
      <c r="QXM60" s="53"/>
      <c r="QXN60" s="53"/>
      <c r="QXO60" s="53"/>
      <c r="QXP60" s="53"/>
      <c r="QXQ60" s="53"/>
      <c r="QXR60" s="53"/>
      <c r="QXS60" s="53"/>
      <c r="QXT60" s="53"/>
      <c r="QXU60" s="53"/>
      <c r="QXV60" s="53"/>
      <c r="QXW60" s="53"/>
      <c r="QXX60" s="53"/>
      <c r="QXY60" s="53"/>
      <c r="QXZ60" s="53"/>
      <c r="QYA60" s="53"/>
      <c r="QYB60" s="53"/>
      <c r="QYC60" s="53"/>
      <c r="QYD60" s="53"/>
      <c r="QYE60" s="53"/>
      <c r="QYF60" s="53"/>
      <c r="QYG60" s="53"/>
      <c r="QYH60" s="53"/>
      <c r="QYI60" s="53"/>
      <c r="QYJ60" s="53"/>
      <c r="QYK60" s="53"/>
      <c r="QYL60" s="53"/>
      <c r="QYM60" s="53"/>
      <c r="QYN60" s="53"/>
      <c r="QYO60" s="53"/>
      <c r="QYP60" s="53"/>
      <c r="QYQ60" s="53"/>
      <c r="QYR60" s="53"/>
      <c r="QYS60" s="53"/>
      <c r="QYT60" s="53"/>
      <c r="QYU60" s="53"/>
      <c r="QYV60" s="53"/>
      <c r="QYW60" s="53"/>
      <c r="QYX60" s="53"/>
      <c r="QYY60" s="53"/>
      <c r="QYZ60" s="53"/>
      <c r="QZA60" s="53"/>
      <c r="QZB60" s="53"/>
      <c r="QZC60" s="53"/>
      <c r="QZD60" s="53"/>
      <c r="QZE60" s="53"/>
      <c r="QZF60" s="53"/>
      <c r="QZG60" s="53"/>
      <c r="QZH60" s="53"/>
      <c r="QZI60" s="53"/>
      <c r="QZJ60" s="53"/>
      <c r="QZK60" s="53"/>
      <c r="QZL60" s="53"/>
      <c r="QZM60" s="53"/>
      <c r="QZN60" s="53"/>
      <c r="QZO60" s="53"/>
      <c r="QZP60" s="53"/>
      <c r="QZQ60" s="53"/>
      <c r="QZR60" s="53"/>
      <c r="QZS60" s="53"/>
      <c r="QZT60" s="53"/>
      <c r="QZU60" s="53"/>
      <c r="QZV60" s="53"/>
      <c r="QZW60" s="53"/>
      <c r="QZX60" s="53"/>
      <c r="QZY60" s="53"/>
      <c r="QZZ60" s="53"/>
      <c r="RAA60" s="53"/>
      <c r="RAB60" s="53"/>
      <c r="RAC60" s="53"/>
      <c r="RAD60" s="53"/>
      <c r="RAE60" s="53"/>
      <c r="RAF60" s="53"/>
      <c r="RAG60" s="53"/>
      <c r="RAH60" s="53"/>
      <c r="RAI60" s="53"/>
      <c r="RAJ60" s="53"/>
      <c r="RAK60" s="53"/>
      <c r="RAL60" s="53"/>
      <c r="RAM60" s="53"/>
      <c r="RAN60" s="53"/>
      <c r="RAO60" s="53"/>
      <c r="RAP60" s="53"/>
      <c r="RAQ60" s="53"/>
      <c r="RAR60" s="53"/>
      <c r="RAS60" s="53"/>
      <c r="RAT60" s="53"/>
      <c r="RAU60" s="53"/>
      <c r="RAV60" s="53"/>
      <c r="RAW60" s="53"/>
      <c r="RAX60" s="53"/>
      <c r="RAY60" s="53"/>
      <c r="RAZ60" s="53"/>
      <c r="RBA60" s="53"/>
      <c r="RBB60" s="53"/>
      <c r="RBC60" s="53"/>
      <c r="RBD60" s="53"/>
      <c r="RBE60" s="53"/>
      <c r="RBF60" s="53"/>
      <c r="RBG60" s="53"/>
      <c r="RBH60" s="53"/>
      <c r="RBI60" s="53"/>
      <c r="RBJ60" s="53"/>
      <c r="RBK60" s="53"/>
      <c r="RBL60" s="53"/>
      <c r="RBM60" s="53"/>
      <c r="RBN60" s="53"/>
      <c r="RBO60" s="53"/>
      <c r="RBP60" s="53"/>
      <c r="RBQ60" s="53"/>
      <c r="RBR60" s="53"/>
      <c r="RBS60" s="53"/>
      <c r="RBT60" s="53"/>
      <c r="RBU60" s="53"/>
      <c r="RBV60" s="53"/>
      <c r="RBW60" s="53"/>
      <c r="RBX60" s="53"/>
      <c r="RBY60" s="53"/>
      <c r="RBZ60" s="53"/>
      <c r="RCA60" s="53"/>
      <c r="RCB60" s="53"/>
      <c r="RCC60" s="53"/>
      <c r="RCD60" s="53"/>
      <c r="RCE60" s="53"/>
      <c r="RCF60" s="53"/>
      <c r="RCG60" s="53"/>
      <c r="RCH60" s="53"/>
      <c r="RCI60" s="53"/>
      <c r="RCJ60" s="53"/>
      <c r="RCK60" s="53"/>
      <c r="RCL60" s="53"/>
      <c r="RCM60" s="53"/>
      <c r="RCN60" s="53"/>
      <c r="RCO60" s="53"/>
      <c r="RCP60" s="53"/>
      <c r="RCQ60" s="53"/>
      <c r="RCR60" s="53"/>
      <c r="RCS60" s="53"/>
      <c r="RCT60" s="53"/>
      <c r="RCU60" s="53"/>
      <c r="RCV60" s="53"/>
      <c r="RCW60" s="53"/>
      <c r="RCX60" s="53"/>
      <c r="RCY60" s="53"/>
      <c r="RCZ60" s="53"/>
      <c r="RDA60" s="53"/>
      <c r="RDB60" s="53"/>
      <c r="RDC60" s="53"/>
      <c r="RDD60" s="53"/>
      <c r="RDE60" s="53"/>
      <c r="RDF60" s="53"/>
      <c r="RDG60" s="53"/>
      <c r="RDH60" s="53"/>
      <c r="RDI60" s="53"/>
      <c r="RDJ60" s="53"/>
      <c r="RDK60" s="53"/>
      <c r="RDL60" s="53"/>
      <c r="RDM60" s="53"/>
      <c r="RDN60" s="53"/>
      <c r="RDO60" s="53"/>
      <c r="RDP60" s="53"/>
      <c r="RDQ60" s="53"/>
      <c r="RDR60" s="53"/>
      <c r="RDS60" s="53"/>
      <c r="RDT60" s="53"/>
      <c r="RDU60" s="53"/>
      <c r="RDV60" s="53"/>
      <c r="RDW60" s="53"/>
      <c r="RDX60" s="53"/>
      <c r="RDY60" s="53"/>
      <c r="RDZ60" s="53"/>
      <c r="REA60" s="53"/>
      <c r="REB60" s="53"/>
      <c r="REC60" s="53"/>
      <c r="RED60" s="53"/>
      <c r="REE60" s="53"/>
      <c r="REF60" s="53"/>
      <c r="REG60" s="53"/>
      <c r="REH60" s="53"/>
      <c r="REI60" s="53"/>
      <c r="REJ60" s="53"/>
      <c r="REK60" s="53"/>
      <c r="REL60" s="53"/>
      <c r="REM60" s="53"/>
      <c r="REN60" s="53"/>
      <c r="REO60" s="53"/>
      <c r="REP60" s="53"/>
      <c r="REQ60" s="53"/>
      <c r="RER60" s="53"/>
      <c r="RES60" s="53"/>
      <c r="RET60" s="53"/>
      <c r="REU60" s="53"/>
      <c r="REV60" s="53"/>
      <c r="REW60" s="53"/>
      <c r="REX60" s="53"/>
      <c r="REY60" s="53"/>
      <c r="REZ60" s="53"/>
      <c r="RFA60" s="53"/>
      <c r="RFB60" s="53"/>
      <c r="RFC60" s="53"/>
      <c r="RFD60" s="53"/>
      <c r="RFE60" s="53"/>
      <c r="RFF60" s="53"/>
      <c r="RFG60" s="53"/>
      <c r="RFH60" s="53"/>
      <c r="RFI60" s="53"/>
      <c r="RFJ60" s="53"/>
      <c r="RFK60" s="53"/>
      <c r="RFL60" s="53"/>
      <c r="RFM60" s="53"/>
      <c r="RFN60" s="53"/>
      <c r="RFO60" s="53"/>
      <c r="RFP60" s="53"/>
      <c r="RFQ60" s="53"/>
      <c r="RFR60" s="53"/>
      <c r="RFS60" s="53"/>
      <c r="RFT60" s="53"/>
      <c r="RFU60" s="53"/>
      <c r="RFV60" s="53"/>
      <c r="RFW60" s="53"/>
      <c r="RFX60" s="53"/>
      <c r="RFY60" s="53"/>
      <c r="RFZ60" s="53"/>
      <c r="RGA60" s="53"/>
      <c r="RGB60" s="53"/>
      <c r="RGC60" s="53"/>
      <c r="RGD60" s="53"/>
      <c r="RGE60" s="53"/>
      <c r="RGF60" s="53"/>
      <c r="RGG60" s="53"/>
      <c r="RGH60" s="53"/>
      <c r="RGI60" s="53"/>
      <c r="RGJ60" s="53"/>
      <c r="RGK60" s="53"/>
      <c r="RGL60" s="53"/>
      <c r="RGM60" s="53"/>
      <c r="RGN60" s="53"/>
      <c r="RGO60" s="53"/>
      <c r="RGP60" s="53"/>
      <c r="RGQ60" s="53"/>
      <c r="RGR60" s="53"/>
      <c r="RGS60" s="53"/>
      <c r="RGT60" s="53"/>
      <c r="RGU60" s="53"/>
      <c r="RGV60" s="53"/>
      <c r="RGW60" s="53"/>
      <c r="RGX60" s="53"/>
      <c r="RGY60" s="53"/>
      <c r="RGZ60" s="53"/>
      <c r="RHA60" s="53"/>
      <c r="RHB60" s="53"/>
      <c r="RHC60" s="53"/>
      <c r="RHD60" s="53"/>
      <c r="RHE60" s="53"/>
      <c r="RHF60" s="53"/>
      <c r="RHG60" s="53"/>
      <c r="RHH60" s="53"/>
      <c r="RHI60" s="53"/>
      <c r="RHJ60" s="53"/>
      <c r="RHK60" s="53"/>
      <c r="RHL60" s="53"/>
      <c r="RHM60" s="53"/>
      <c r="RHN60" s="53"/>
      <c r="RHO60" s="53"/>
      <c r="RHP60" s="53"/>
      <c r="RHQ60" s="53"/>
      <c r="RHR60" s="53"/>
      <c r="RHS60" s="53"/>
      <c r="RHT60" s="53"/>
      <c r="RHU60" s="53"/>
      <c r="RHV60" s="53"/>
      <c r="RHW60" s="53"/>
      <c r="RHX60" s="53"/>
      <c r="RHY60" s="53"/>
      <c r="RHZ60" s="53"/>
      <c r="RIA60" s="53"/>
      <c r="RIB60" s="53"/>
      <c r="RIC60" s="53"/>
      <c r="RID60" s="53"/>
      <c r="RIE60" s="53"/>
      <c r="RIF60" s="53"/>
      <c r="RIG60" s="53"/>
      <c r="RIH60" s="53"/>
      <c r="RII60" s="53"/>
      <c r="RIJ60" s="53"/>
      <c r="RIK60" s="53"/>
      <c r="RIL60" s="53"/>
      <c r="RIM60" s="53"/>
      <c r="RIN60" s="53"/>
      <c r="RIO60" s="53"/>
      <c r="RIP60" s="53"/>
      <c r="RIQ60" s="53"/>
      <c r="RIR60" s="53"/>
      <c r="RIS60" s="53"/>
      <c r="RIT60" s="53"/>
      <c r="RIU60" s="53"/>
      <c r="RIV60" s="53"/>
      <c r="RIW60" s="53"/>
      <c r="RIX60" s="53"/>
      <c r="RIY60" s="53"/>
      <c r="RIZ60" s="53"/>
      <c r="RJA60" s="53"/>
      <c r="RJB60" s="53"/>
      <c r="RJC60" s="53"/>
      <c r="RJD60" s="53"/>
      <c r="RJE60" s="53"/>
      <c r="RJF60" s="53"/>
      <c r="RJG60" s="53"/>
      <c r="RJH60" s="53"/>
      <c r="RJI60" s="53"/>
      <c r="RJJ60" s="53"/>
      <c r="RJK60" s="53"/>
      <c r="RJL60" s="53"/>
      <c r="RJM60" s="53"/>
      <c r="RJN60" s="53"/>
      <c r="RJO60" s="53"/>
      <c r="RJP60" s="53"/>
      <c r="RJQ60" s="53"/>
      <c r="RJR60" s="53"/>
      <c r="RJS60" s="53"/>
      <c r="RJT60" s="53"/>
      <c r="RJU60" s="53"/>
      <c r="RJV60" s="53"/>
      <c r="RJW60" s="53"/>
      <c r="RJX60" s="53"/>
      <c r="RJY60" s="53"/>
      <c r="RJZ60" s="53"/>
      <c r="RKA60" s="53"/>
      <c r="RKB60" s="53"/>
      <c r="RKC60" s="53"/>
      <c r="RKD60" s="53"/>
      <c r="RKE60" s="53"/>
      <c r="RKF60" s="53"/>
      <c r="RKG60" s="53"/>
      <c r="RKH60" s="53"/>
      <c r="RKI60" s="53"/>
      <c r="RKJ60" s="53"/>
      <c r="RKK60" s="53"/>
      <c r="RKL60" s="53"/>
      <c r="RKM60" s="53"/>
      <c r="RKN60" s="53"/>
      <c r="RKO60" s="53"/>
      <c r="RKP60" s="53"/>
      <c r="RKQ60" s="53"/>
      <c r="RKR60" s="53"/>
      <c r="RKS60" s="53"/>
      <c r="RKT60" s="53"/>
      <c r="RKU60" s="53"/>
      <c r="RKV60" s="53"/>
      <c r="RKW60" s="53"/>
      <c r="RKX60" s="53"/>
      <c r="RKY60" s="53"/>
      <c r="RKZ60" s="53"/>
      <c r="RLA60" s="53"/>
      <c r="RLB60" s="53"/>
      <c r="RLC60" s="53"/>
      <c r="RLD60" s="53"/>
      <c r="RLE60" s="53"/>
      <c r="RLF60" s="53"/>
      <c r="RLG60" s="53"/>
      <c r="RLH60" s="53"/>
      <c r="RLI60" s="53"/>
      <c r="RLJ60" s="53"/>
      <c r="RLK60" s="53"/>
      <c r="RLL60" s="53"/>
      <c r="RLM60" s="53"/>
      <c r="RLN60" s="53"/>
      <c r="RLO60" s="53"/>
      <c r="RLP60" s="53"/>
      <c r="RLQ60" s="53"/>
      <c r="RLR60" s="53"/>
      <c r="RLS60" s="53"/>
      <c r="RLT60" s="53"/>
      <c r="RLU60" s="53"/>
      <c r="RLV60" s="53"/>
      <c r="RLW60" s="53"/>
      <c r="RLX60" s="53"/>
      <c r="RLY60" s="53"/>
      <c r="RLZ60" s="53"/>
      <c r="RMA60" s="53"/>
      <c r="RMB60" s="53"/>
      <c r="RMC60" s="53"/>
      <c r="RMD60" s="53"/>
      <c r="RME60" s="53"/>
      <c r="RMF60" s="53"/>
      <c r="RMG60" s="53"/>
      <c r="RMH60" s="53"/>
      <c r="RMI60" s="53"/>
      <c r="RMJ60" s="53"/>
      <c r="RMK60" s="53"/>
      <c r="RML60" s="53"/>
      <c r="RMM60" s="53"/>
      <c r="RMN60" s="53"/>
      <c r="RMO60" s="53"/>
      <c r="RMP60" s="53"/>
      <c r="RMQ60" s="53"/>
      <c r="RMR60" s="53"/>
      <c r="RMS60" s="53"/>
      <c r="RMT60" s="53"/>
      <c r="RMU60" s="53"/>
      <c r="RMV60" s="53"/>
      <c r="RMW60" s="53"/>
      <c r="RMX60" s="53"/>
      <c r="RMY60" s="53"/>
      <c r="RMZ60" s="53"/>
      <c r="RNA60" s="53"/>
      <c r="RNB60" s="53"/>
      <c r="RNC60" s="53"/>
      <c r="RND60" s="53"/>
      <c r="RNE60" s="53"/>
      <c r="RNF60" s="53"/>
      <c r="RNG60" s="53"/>
      <c r="RNH60" s="53"/>
      <c r="RNI60" s="53"/>
      <c r="RNJ60" s="53"/>
      <c r="RNK60" s="53"/>
      <c r="RNL60" s="53"/>
      <c r="RNM60" s="53"/>
      <c r="RNN60" s="53"/>
      <c r="RNO60" s="53"/>
      <c r="RNP60" s="53"/>
      <c r="RNQ60" s="53"/>
      <c r="RNR60" s="53"/>
      <c r="RNS60" s="53"/>
      <c r="RNT60" s="53"/>
      <c r="RNU60" s="53"/>
      <c r="RNV60" s="53"/>
      <c r="RNW60" s="53"/>
      <c r="RNX60" s="53"/>
      <c r="RNY60" s="53"/>
      <c r="RNZ60" s="53"/>
      <c r="ROA60" s="53"/>
      <c r="ROB60" s="53"/>
      <c r="ROC60" s="53"/>
      <c r="ROD60" s="53"/>
      <c r="ROE60" s="53"/>
      <c r="ROF60" s="53"/>
      <c r="ROG60" s="53"/>
      <c r="ROH60" s="53"/>
      <c r="ROI60" s="53"/>
      <c r="ROJ60" s="53"/>
      <c r="ROK60" s="53"/>
      <c r="ROL60" s="53"/>
      <c r="ROM60" s="53"/>
      <c r="RON60" s="53"/>
      <c r="ROO60" s="53"/>
      <c r="ROP60" s="53"/>
      <c r="ROQ60" s="53"/>
      <c r="ROR60" s="53"/>
      <c r="ROS60" s="53"/>
      <c r="ROT60" s="53"/>
      <c r="ROU60" s="53"/>
      <c r="ROV60" s="53"/>
      <c r="ROW60" s="53"/>
      <c r="ROX60" s="53"/>
      <c r="ROY60" s="53"/>
      <c r="ROZ60" s="53"/>
      <c r="RPA60" s="53"/>
      <c r="RPB60" s="53"/>
      <c r="RPC60" s="53"/>
      <c r="RPD60" s="53"/>
      <c r="RPE60" s="53"/>
      <c r="RPF60" s="53"/>
      <c r="RPG60" s="53"/>
      <c r="RPH60" s="53"/>
      <c r="RPI60" s="53"/>
      <c r="RPJ60" s="53"/>
      <c r="RPK60" s="53"/>
      <c r="RPL60" s="53"/>
      <c r="RPM60" s="53"/>
      <c r="RPN60" s="53"/>
      <c r="RPO60" s="53"/>
      <c r="RPP60" s="53"/>
      <c r="RPQ60" s="53"/>
      <c r="RPR60" s="53"/>
      <c r="RPS60" s="53"/>
      <c r="RPT60" s="53"/>
      <c r="RPU60" s="53"/>
      <c r="RPV60" s="53"/>
      <c r="RPW60" s="53"/>
      <c r="RPX60" s="53"/>
      <c r="RPY60" s="53"/>
      <c r="RPZ60" s="53"/>
      <c r="RQA60" s="53"/>
      <c r="RQB60" s="53"/>
      <c r="RQC60" s="53"/>
      <c r="RQD60" s="53"/>
      <c r="RQE60" s="53"/>
      <c r="RQF60" s="53"/>
      <c r="RQG60" s="53"/>
      <c r="RQH60" s="53"/>
      <c r="RQI60" s="53"/>
      <c r="RQJ60" s="53"/>
      <c r="RQK60" s="53"/>
      <c r="RQL60" s="53"/>
      <c r="RQM60" s="53"/>
      <c r="RQN60" s="53"/>
      <c r="RQO60" s="53"/>
      <c r="RQP60" s="53"/>
      <c r="RQQ60" s="53"/>
      <c r="RQR60" s="53"/>
      <c r="RQS60" s="53"/>
      <c r="RQT60" s="53"/>
      <c r="RQU60" s="53"/>
      <c r="RQV60" s="53"/>
      <c r="RQW60" s="53"/>
      <c r="RQX60" s="53"/>
      <c r="RQY60" s="53"/>
      <c r="RQZ60" s="53"/>
      <c r="RRA60" s="53"/>
      <c r="RRB60" s="53"/>
      <c r="RRC60" s="53"/>
      <c r="RRD60" s="53"/>
      <c r="RRE60" s="53"/>
      <c r="RRF60" s="53"/>
      <c r="RRG60" s="53"/>
      <c r="RRH60" s="53"/>
      <c r="RRI60" s="53"/>
      <c r="RRJ60" s="53"/>
      <c r="RRK60" s="53"/>
      <c r="RRL60" s="53"/>
      <c r="RRM60" s="53"/>
      <c r="RRN60" s="53"/>
      <c r="RRO60" s="53"/>
      <c r="RRP60" s="53"/>
      <c r="RRQ60" s="53"/>
      <c r="RRR60" s="53"/>
      <c r="RRS60" s="53"/>
      <c r="RRT60" s="53"/>
      <c r="RRU60" s="53"/>
      <c r="RRV60" s="53"/>
      <c r="RRW60" s="53"/>
      <c r="RRX60" s="53"/>
      <c r="RRY60" s="53"/>
      <c r="RRZ60" s="53"/>
      <c r="RSA60" s="53"/>
      <c r="RSB60" s="53"/>
      <c r="RSC60" s="53"/>
      <c r="RSD60" s="53"/>
      <c r="RSE60" s="53"/>
      <c r="RSF60" s="53"/>
      <c r="RSG60" s="53"/>
      <c r="RSH60" s="53"/>
      <c r="RSI60" s="53"/>
      <c r="RSJ60" s="53"/>
      <c r="RSK60" s="53"/>
      <c r="RSL60" s="53"/>
      <c r="RSM60" s="53"/>
      <c r="RSN60" s="53"/>
      <c r="RSO60" s="53"/>
      <c r="RSP60" s="53"/>
      <c r="RSQ60" s="53"/>
      <c r="RSR60" s="53"/>
      <c r="RSS60" s="53"/>
      <c r="RST60" s="53"/>
      <c r="RSU60" s="53"/>
      <c r="RSV60" s="53"/>
      <c r="RSW60" s="53"/>
      <c r="RSX60" s="53"/>
      <c r="RSY60" s="53"/>
      <c r="RSZ60" s="53"/>
      <c r="RTA60" s="53"/>
      <c r="RTB60" s="53"/>
      <c r="RTC60" s="53"/>
      <c r="RTD60" s="53"/>
      <c r="RTE60" s="53"/>
      <c r="RTF60" s="53"/>
      <c r="RTG60" s="53"/>
      <c r="RTH60" s="53"/>
      <c r="RTI60" s="53"/>
      <c r="RTJ60" s="53"/>
      <c r="RTK60" s="53"/>
      <c r="RTL60" s="53"/>
      <c r="RTM60" s="53"/>
      <c r="RTN60" s="53"/>
      <c r="RTO60" s="53"/>
      <c r="RTP60" s="53"/>
      <c r="RTQ60" s="53"/>
      <c r="RTR60" s="53"/>
      <c r="RTS60" s="53"/>
      <c r="RTT60" s="53"/>
      <c r="RTU60" s="53"/>
      <c r="RTV60" s="53"/>
      <c r="RTW60" s="53"/>
      <c r="RTX60" s="53"/>
      <c r="RTY60" s="53"/>
      <c r="RTZ60" s="53"/>
      <c r="RUA60" s="53"/>
      <c r="RUB60" s="53"/>
      <c r="RUC60" s="53"/>
      <c r="RUD60" s="53"/>
      <c r="RUE60" s="53"/>
      <c r="RUF60" s="53"/>
      <c r="RUG60" s="53"/>
      <c r="RUH60" s="53"/>
      <c r="RUI60" s="53"/>
      <c r="RUJ60" s="53"/>
      <c r="RUK60" s="53"/>
      <c r="RUL60" s="53"/>
      <c r="RUM60" s="53"/>
      <c r="RUN60" s="53"/>
      <c r="RUO60" s="53"/>
      <c r="RUP60" s="53"/>
      <c r="RUQ60" s="53"/>
      <c r="RUR60" s="53"/>
      <c r="RUS60" s="53"/>
      <c r="RUT60" s="53"/>
      <c r="RUU60" s="53"/>
      <c r="RUV60" s="53"/>
      <c r="RUW60" s="53"/>
      <c r="RUX60" s="53"/>
      <c r="RUY60" s="53"/>
      <c r="RUZ60" s="53"/>
      <c r="RVA60" s="53"/>
      <c r="RVB60" s="53"/>
      <c r="RVC60" s="53"/>
      <c r="RVD60" s="53"/>
      <c r="RVE60" s="53"/>
      <c r="RVF60" s="53"/>
      <c r="RVG60" s="53"/>
      <c r="RVH60" s="53"/>
      <c r="RVI60" s="53"/>
      <c r="RVJ60" s="53"/>
      <c r="RVK60" s="53"/>
      <c r="RVL60" s="53"/>
      <c r="RVM60" s="53"/>
      <c r="RVN60" s="53"/>
      <c r="RVO60" s="53"/>
      <c r="RVP60" s="53"/>
      <c r="RVQ60" s="53"/>
      <c r="RVR60" s="53"/>
      <c r="RVS60" s="53"/>
      <c r="RVT60" s="53"/>
      <c r="RVU60" s="53"/>
      <c r="RVV60" s="53"/>
      <c r="RVW60" s="53"/>
      <c r="RVX60" s="53"/>
      <c r="RVY60" s="53"/>
      <c r="RVZ60" s="53"/>
      <c r="RWA60" s="53"/>
      <c r="RWB60" s="53"/>
      <c r="RWC60" s="53"/>
      <c r="RWD60" s="53"/>
      <c r="RWE60" s="53"/>
      <c r="RWF60" s="53"/>
      <c r="RWG60" s="53"/>
      <c r="RWH60" s="53"/>
      <c r="RWI60" s="53"/>
      <c r="RWJ60" s="53"/>
      <c r="RWK60" s="53"/>
      <c r="RWL60" s="53"/>
      <c r="RWM60" s="53"/>
      <c r="RWN60" s="53"/>
      <c r="RWO60" s="53"/>
      <c r="RWP60" s="53"/>
      <c r="RWQ60" s="53"/>
      <c r="RWR60" s="53"/>
      <c r="RWS60" s="53"/>
      <c r="RWT60" s="53"/>
      <c r="RWU60" s="53"/>
      <c r="RWV60" s="53"/>
      <c r="RWW60" s="53"/>
      <c r="RWX60" s="53"/>
      <c r="RWY60" s="53"/>
      <c r="RWZ60" s="53"/>
      <c r="RXA60" s="53"/>
      <c r="RXB60" s="53"/>
      <c r="RXC60" s="53"/>
      <c r="RXD60" s="53"/>
      <c r="RXE60" s="53"/>
      <c r="RXF60" s="53"/>
      <c r="RXG60" s="53"/>
      <c r="RXH60" s="53"/>
      <c r="RXI60" s="53"/>
      <c r="RXJ60" s="53"/>
      <c r="RXK60" s="53"/>
      <c r="RXL60" s="53"/>
      <c r="RXM60" s="53"/>
      <c r="RXN60" s="53"/>
      <c r="RXO60" s="53"/>
      <c r="RXP60" s="53"/>
      <c r="RXQ60" s="53"/>
      <c r="RXR60" s="53"/>
      <c r="RXS60" s="53"/>
      <c r="RXT60" s="53"/>
      <c r="RXU60" s="53"/>
      <c r="RXV60" s="53"/>
      <c r="RXW60" s="53"/>
      <c r="RXX60" s="53"/>
      <c r="RXY60" s="53"/>
      <c r="RXZ60" s="53"/>
      <c r="RYA60" s="53"/>
      <c r="RYB60" s="53"/>
      <c r="RYC60" s="53"/>
      <c r="RYD60" s="53"/>
      <c r="RYE60" s="53"/>
      <c r="RYF60" s="53"/>
      <c r="RYG60" s="53"/>
      <c r="RYH60" s="53"/>
      <c r="RYI60" s="53"/>
      <c r="RYJ60" s="53"/>
      <c r="RYK60" s="53"/>
      <c r="RYL60" s="53"/>
      <c r="RYM60" s="53"/>
      <c r="RYN60" s="53"/>
      <c r="RYO60" s="53"/>
      <c r="RYP60" s="53"/>
      <c r="RYQ60" s="53"/>
      <c r="RYR60" s="53"/>
      <c r="RYS60" s="53"/>
      <c r="RYT60" s="53"/>
      <c r="RYU60" s="53"/>
      <c r="RYV60" s="53"/>
      <c r="RYW60" s="53"/>
      <c r="RYX60" s="53"/>
      <c r="RYY60" s="53"/>
      <c r="RYZ60" s="53"/>
      <c r="RZA60" s="53"/>
      <c r="RZB60" s="53"/>
      <c r="RZC60" s="53"/>
      <c r="RZD60" s="53"/>
      <c r="RZE60" s="53"/>
      <c r="RZF60" s="53"/>
      <c r="RZG60" s="53"/>
      <c r="RZH60" s="53"/>
      <c r="RZI60" s="53"/>
      <c r="RZJ60" s="53"/>
      <c r="RZK60" s="53"/>
      <c r="RZL60" s="53"/>
      <c r="RZM60" s="53"/>
      <c r="RZN60" s="53"/>
      <c r="RZO60" s="53"/>
      <c r="RZP60" s="53"/>
      <c r="RZQ60" s="53"/>
      <c r="RZR60" s="53"/>
      <c r="RZS60" s="53"/>
      <c r="RZT60" s="53"/>
      <c r="RZU60" s="53"/>
      <c r="RZV60" s="53"/>
      <c r="RZW60" s="53"/>
      <c r="RZX60" s="53"/>
      <c r="RZY60" s="53"/>
      <c r="RZZ60" s="53"/>
      <c r="SAA60" s="53"/>
      <c r="SAB60" s="53"/>
      <c r="SAC60" s="53"/>
      <c r="SAD60" s="53"/>
      <c r="SAE60" s="53"/>
      <c r="SAF60" s="53"/>
      <c r="SAG60" s="53"/>
      <c r="SAH60" s="53"/>
      <c r="SAI60" s="53"/>
      <c r="SAJ60" s="53"/>
      <c r="SAK60" s="53"/>
      <c r="SAL60" s="53"/>
      <c r="SAM60" s="53"/>
      <c r="SAN60" s="53"/>
      <c r="SAO60" s="53"/>
      <c r="SAP60" s="53"/>
      <c r="SAQ60" s="53"/>
      <c r="SAR60" s="53"/>
      <c r="SAS60" s="53"/>
      <c r="SAT60" s="53"/>
      <c r="SAU60" s="53"/>
      <c r="SAV60" s="53"/>
      <c r="SAW60" s="53"/>
      <c r="SAX60" s="53"/>
      <c r="SAY60" s="53"/>
      <c r="SAZ60" s="53"/>
      <c r="SBA60" s="53"/>
      <c r="SBB60" s="53"/>
      <c r="SBC60" s="53"/>
      <c r="SBD60" s="53"/>
      <c r="SBE60" s="53"/>
      <c r="SBF60" s="53"/>
      <c r="SBG60" s="53"/>
      <c r="SBH60" s="53"/>
      <c r="SBI60" s="53"/>
      <c r="SBJ60" s="53"/>
      <c r="SBK60" s="53"/>
      <c r="SBL60" s="53"/>
      <c r="SBM60" s="53"/>
      <c r="SBN60" s="53"/>
      <c r="SBO60" s="53"/>
      <c r="SBP60" s="53"/>
      <c r="SBQ60" s="53"/>
      <c r="SBR60" s="53"/>
      <c r="SBS60" s="53"/>
      <c r="SBT60" s="53"/>
      <c r="SBU60" s="53"/>
      <c r="SBV60" s="53"/>
      <c r="SBW60" s="53"/>
      <c r="SBX60" s="53"/>
      <c r="SBY60" s="53"/>
      <c r="SBZ60" s="53"/>
      <c r="SCA60" s="53"/>
      <c r="SCB60" s="53"/>
      <c r="SCC60" s="53"/>
      <c r="SCD60" s="53"/>
      <c r="SCE60" s="53"/>
      <c r="SCF60" s="53"/>
      <c r="SCG60" s="53"/>
      <c r="SCH60" s="53"/>
      <c r="SCI60" s="53"/>
      <c r="SCJ60" s="53"/>
      <c r="SCK60" s="53"/>
      <c r="SCL60" s="53"/>
      <c r="SCM60" s="53"/>
      <c r="SCN60" s="53"/>
      <c r="SCO60" s="53"/>
      <c r="SCP60" s="53"/>
      <c r="SCQ60" s="53"/>
      <c r="SCR60" s="53"/>
      <c r="SCS60" s="53"/>
      <c r="SCT60" s="53"/>
      <c r="SCU60" s="53"/>
      <c r="SCV60" s="53"/>
      <c r="SCW60" s="53"/>
      <c r="SCX60" s="53"/>
      <c r="SCY60" s="53"/>
      <c r="SCZ60" s="53"/>
      <c r="SDA60" s="53"/>
      <c r="SDB60" s="53"/>
      <c r="SDC60" s="53"/>
      <c r="SDD60" s="53"/>
      <c r="SDE60" s="53"/>
      <c r="SDF60" s="53"/>
      <c r="SDG60" s="53"/>
      <c r="SDH60" s="53"/>
      <c r="SDI60" s="53"/>
      <c r="SDJ60" s="53"/>
      <c r="SDK60" s="53"/>
      <c r="SDL60" s="53"/>
      <c r="SDM60" s="53"/>
      <c r="SDN60" s="53"/>
      <c r="SDO60" s="53"/>
      <c r="SDP60" s="53"/>
      <c r="SDQ60" s="53"/>
      <c r="SDR60" s="53"/>
      <c r="SDS60" s="53"/>
      <c r="SDT60" s="53"/>
      <c r="SDU60" s="53"/>
      <c r="SDV60" s="53"/>
      <c r="SDW60" s="53"/>
      <c r="SDX60" s="53"/>
      <c r="SDY60" s="53"/>
      <c r="SDZ60" s="53"/>
      <c r="SEA60" s="53"/>
      <c r="SEB60" s="53"/>
      <c r="SEC60" s="53"/>
      <c r="SED60" s="53"/>
      <c r="SEE60" s="53"/>
      <c r="SEF60" s="53"/>
      <c r="SEG60" s="53"/>
      <c r="SEH60" s="53"/>
      <c r="SEI60" s="53"/>
      <c r="SEJ60" s="53"/>
      <c r="SEK60" s="53"/>
      <c r="SEL60" s="53"/>
      <c r="SEM60" s="53"/>
      <c r="SEN60" s="53"/>
      <c r="SEO60" s="53"/>
      <c r="SEP60" s="53"/>
      <c r="SEQ60" s="53"/>
      <c r="SER60" s="53"/>
      <c r="SES60" s="53"/>
      <c r="SET60" s="53"/>
      <c r="SEU60" s="53"/>
      <c r="SEV60" s="53"/>
      <c r="SEW60" s="53"/>
      <c r="SEX60" s="53"/>
      <c r="SEY60" s="53"/>
      <c r="SEZ60" s="53"/>
      <c r="SFA60" s="53"/>
      <c r="SFB60" s="53"/>
      <c r="SFC60" s="53"/>
      <c r="SFD60" s="53"/>
      <c r="SFE60" s="53"/>
      <c r="SFF60" s="53"/>
      <c r="SFG60" s="53"/>
      <c r="SFH60" s="53"/>
      <c r="SFI60" s="53"/>
      <c r="SFJ60" s="53"/>
      <c r="SFK60" s="53"/>
      <c r="SFL60" s="53"/>
      <c r="SFM60" s="53"/>
      <c r="SFN60" s="53"/>
      <c r="SFO60" s="53"/>
      <c r="SFP60" s="53"/>
      <c r="SFQ60" s="53"/>
      <c r="SFR60" s="53"/>
      <c r="SFS60" s="53"/>
      <c r="SFT60" s="53"/>
      <c r="SFU60" s="53"/>
      <c r="SFV60" s="53"/>
      <c r="SFW60" s="53"/>
      <c r="SFX60" s="53"/>
      <c r="SFY60" s="53"/>
      <c r="SFZ60" s="53"/>
      <c r="SGA60" s="53"/>
      <c r="SGB60" s="53"/>
      <c r="SGC60" s="53"/>
      <c r="SGD60" s="53"/>
      <c r="SGE60" s="53"/>
      <c r="SGF60" s="53"/>
      <c r="SGG60" s="53"/>
      <c r="SGH60" s="53"/>
      <c r="SGI60" s="53"/>
      <c r="SGJ60" s="53"/>
      <c r="SGK60" s="53"/>
      <c r="SGL60" s="53"/>
      <c r="SGM60" s="53"/>
      <c r="SGN60" s="53"/>
      <c r="SGO60" s="53"/>
      <c r="SGP60" s="53"/>
      <c r="SGQ60" s="53"/>
      <c r="SGR60" s="53"/>
      <c r="SGS60" s="53"/>
      <c r="SGT60" s="53"/>
      <c r="SGU60" s="53"/>
      <c r="SGV60" s="53"/>
      <c r="SGW60" s="53"/>
      <c r="SGX60" s="53"/>
      <c r="SGY60" s="53"/>
      <c r="SGZ60" s="53"/>
      <c r="SHA60" s="53"/>
      <c r="SHB60" s="53"/>
      <c r="SHC60" s="53"/>
      <c r="SHD60" s="53"/>
      <c r="SHE60" s="53"/>
      <c r="SHF60" s="53"/>
      <c r="SHG60" s="53"/>
      <c r="SHH60" s="53"/>
      <c r="SHI60" s="53"/>
      <c r="SHJ60" s="53"/>
      <c r="SHK60" s="53"/>
      <c r="SHL60" s="53"/>
      <c r="SHM60" s="53"/>
      <c r="SHN60" s="53"/>
      <c r="SHO60" s="53"/>
      <c r="SHP60" s="53"/>
      <c r="SHQ60" s="53"/>
      <c r="SHR60" s="53"/>
      <c r="SHS60" s="53"/>
      <c r="SHT60" s="53"/>
      <c r="SHU60" s="53"/>
      <c r="SHV60" s="53"/>
      <c r="SHW60" s="53"/>
      <c r="SHX60" s="53"/>
      <c r="SHY60" s="53"/>
      <c r="SHZ60" s="53"/>
      <c r="SIA60" s="53"/>
      <c r="SIB60" s="53"/>
      <c r="SIC60" s="53"/>
      <c r="SID60" s="53"/>
      <c r="SIE60" s="53"/>
      <c r="SIF60" s="53"/>
      <c r="SIG60" s="53"/>
      <c r="SIH60" s="53"/>
      <c r="SII60" s="53"/>
      <c r="SIJ60" s="53"/>
      <c r="SIK60" s="53"/>
      <c r="SIL60" s="53"/>
      <c r="SIM60" s="53"/>
      <c r="SIN60" s="53"/>
      <c r="SIO60" s="53"/>
      <c r="SIP60" s="53"/>
      <c r="SIQ60" s="53"/>
      <c r="SIR60" s="53"/>
      <c r="SIS60" s="53"/>
      <c r="SIT60" s="53"/>
      <c r="SIU60" s="53"/>
      <c r="SIV60" s="53"/>
      <c r="SIW60" s="53"/>
      <c r="SIX60" s="53"/>
      <c r="SIY60" s="53"/>
      <c r="SIZ60" s="53"/>
      <c r="SJA60" s="53"/>
      <c r="SJB60" s="53"/>
      <c r="SJC60" s="53"/>
      <c r="SJD60" s="53"/>
      <c r="SJE60" s="53"/>
      <c r="SJF60" s="53"/>
      <c r="SJG60" s="53"/>
      <c r="SJH60" s="53"/>
      <c r="SJI60" s="53"/>
      <c r="SJJ60" s="53"/>
      <c r="SJK60" s="53"/>
      <c r="SJL60" s="53"/>
      <c r="SJM60" s="53"/>
      <c r="SJN60" s="53"/>
      <c r="SJO60" s="53"/>
      <c r="SJP60" s="53"/>
      <c r="SJQ60" s="53"/>
      <c r="SJR60" s="53"/>
      <c r="SJS60" s="53"/>
      <c r="SJT60" s="53"/>
      <c r="SJU60" s="53"/>
      <c r="SJV60" s="53"/>
      <c r="SJW60" s="53"/>
      <c r="SJX60" s="53"/>
      <c r="SJY60" s="53"/>
      <c r="SJZ60" s="53"/>
      <c r="SKA60" s="53"/>
      <c r="SKB60" s="53"/>
      <c r="SKC60" s="53"/>
      <c r="SKD60" s="53"/>
      <c r="SKE60" s="53"/>
      <c r="SKF60" s="53"/>
      <c r="SKG60" s="53"/>
      <c r="SKH60" s="53"/>
      <c r="SKI60" s="53"/>
      <c r="SKJ60" s="53"/>
      <c r="SKK60" s="53"/>
      <c r="SKL60" s="53"/>
      <c r="SKM60" s="53"/>
      <c r="SKN60" s="53"/>
      <c r="SKO60" s="53"/>
      <c r="SKP60" s="53"/>
      <c r="SKQ60" s="53"/>
      <c r="SKR60" s="53"/>
      <c r="SKS60" s="53"/>
      <c r="SKT60" s="53"/>
      <c r="SKU60" s="53"/>
      <c r="SKV60" s="53"/>
      <c r="SKW60" s="53"/>
      <c r="SKX60" s="53"/>
      <c r="SKY60" s="53"/>
      <c r="SKZ60" s="53"/>
      <c r="SLA60" s="53"/>
      <c r="SLB60" s="53"/>
      <c r="SLC60" s="53"/>
      <c r="SLD60" s="53"/>
      <c r="SLE60" s="53"/>
      <c r="SLF60" s="53"/>
      <c r="SLG60" s="53"/>
      <c r="SLH60" s="53"/>
      <c r="SLI60" s="53"/>
      <c r="SLJ60" s="53"/>
      <c r="SLK60" s="53"/>
      <c r="SLL60" s="53"/>
      <c r="SLM60" s="53"/>
      <c r="SLN60" s="53"/>
      <c r="SLO60" s="53"/>
      <c r="SLP60" s="53"/>
      <c r="SLQ60" s="53"/>
      <c r="SLR60" s="53"/>
      <c r="SLS60" s="53"/>
      <c r="SLT60" s="53"/>
      <c r="SLU60" s="53"/>
      <c r="SLV60" s="53"/>
      <c r="SLW60" s="53"/>
      <c r="SLX60" s="53"/>
      <c r="SLY60" s="53"/>
      <c r="SLZ60" s="53"/>
      <c r="SMA60" s="53"/>
      <c r="SMB60" s="53"/>
      <c r="SMC60" s="53"/>
      <c r="SMD60" s="53"/>
      <c r="SME60" s="53"/>
      <c r="SMF60" s="53"/>
      <c r="SMG60" s="53"/>
      <c r="SMH60" s="53"/>
      <c r="SMI60" s="53"/>
      <c r="SMJ60" s="53"/>
      <c r="SMK60" s="53"/>
      <c r="SML60" s="53"/>
      <c r="SMM60" s="53"/>
      <c r="SMN60" s="53"/>
      <c r="SMO60" s="53"/>
      <c r="SMP60" s="53"/>
      <c r="SMQ60" s="53"/>
      <c r="SMR60" s="53"/>
      <c r="SMS60" s="53"/>
      <c r="SMT60" s="53"/>
      <c r="SMU60" s="53"/>
      <c r="SMV60" s="53"/>
      <c r="SMW60" s="53"/>
      <c r="SMX60" s="53"/>
      <c r="SMY60" s="53"/>
      <c r="SMZ60" s="53"/>
      <c r="SNA60" s="53"/>
      <c r="SNB60" s="53"/>
      <c r="SNC60" s="53"/>
      <c r="SND60" s="53"/>
      <c r="SNE60" s="53"/>
      <c r="SNF60" s="53"/>
      <c r="SNG60" s="53"/>
      <c r="SNH60" s="53"/>
      <c r="SNI60" s="53"/>
      <c r="SNJ60" s="53"/>
      <c r="SNK60" s="53"/>
      <c r="SNL60" s="53"/>
      <c r="SNM60" s="53"/>
      <c r="SNN60" s="53"/>
      <c r="SNO60" s="53"/>
      <c r="SNP60" s="53"/>
      <c r="SNQ60" s="53"/>
      <c r="SNR60" s="53"/>
      <c r="SNS60" s="53"/>
      <c r="SNT60" s="53"/>
      <c r="SNU60" s="53"/>
      <c r="SNV60" s="53"/>
      <c r="SNW60" s="53"/>
      <c r="SNX60" s="53"/>
      <c r="SNY60" s="53"/>
      <c r="SNZ60" s="53"/>
      <c r="SOA60" s="53"/>
      <c r="SOB60" s="53"/>
      <c r="SOC60" s="53"/>
      <c r="SOD60" s="53"/>
      <c r="SOE60" s="53"/>
      <c r="SOF60" s="53"/>
      <c r="SOG60" s="53"/>
      <c r="SOH60" s="53"/>
      <c r="SOI60" s="53"/>
      <c r="SOJ60" s="53"/>
      <c r="SOK60" s="53"/>
      <c r="SOL60" s="53"/>
      <c r="SOM60" s="53"/>
      <c r="SON60" s="53"/>
      <c r="SOO60" s="53"/>
      <c r="SOP60" s="53"/>
      <c r="SOQ60" s="53"/>
      <c r="SOR60" s="53"/>
      <c r="SOS60" s="53"/>
      <c r="SOT60" s="53"/>
      <c r="SOU60" s="53"/>
      <c r="SOV60" s="53"/>
      <c r="SOW60" s="53"/>
      <c r="SOX60" s="53"/>
      <c r="SOY60" s="53"/>
      <c r="SOZ60" s="53"/>
      <c r="SPA60" s="53"/>
      <c r="SPB60" s="53"/>
      <c r="SPC60" s="53"/>
      <c r="SPD60" s="53"/>
      <c r="SPE60" s="53"/>
      <c r="SPF60" s="53"/>
      <c r="SPG60" s="53"/>
      <c r="SPH60" s="53"/>
      <c r="SPI60" s="53"/>
      <c r="SPJ60" s="53"/>
      <c r="SPK60" s="53"/>
      <c r="SPL60" s="53"/>
      <c r="SPM60" s="53"/>
      <c r="SPN60" s="53"/>
      <c r="SPO60" s="53"/>
      <c r="SPP60" s="53"/>
      <c r="SPQ60" s="53"/>
      <c r="SPR60" s="53"/>
      <c r="SPS60" s="53"/>
      <c r="SPT60" s="53"/>
      <c r="SPU60" s="53"/>
      <c r="SPV60" s="53"/>
      <c r="SPW60" s="53"/>
      <c r="SPX60" s="53"/>
      <c r="SPY60" s="53"/>
      <c r="SPZ60" s="53"/>
      <c r="SQA60" s="53"/>
      <c r="SQB60" s="53"/>
      <c r="SQC60" s="53"/>
      <c r="SQD60" s="53"/>
      <c r="SQE60" s="53"/>
      <c r="SQF60" s="53"/>
      <c r="SQG60" s="53"/>
      <c r="SQH60" s="53"/>
      <c r="SQI60" s="53"/>
      <c r="SQJ60" s="53"/>
      <c r="SQK60" s="53"/>
      <c r="SQL60" s="53"/>
      <c r="SQM60" s="53"/>
      <c r="SQN60" s="53"/>
      <c r="SQO60" s="53"/>
      <c r="SQP60" s="53"/>
      <c r="SQQ60" s="53"/>
      <c r="SQR60" s="53"/>
      <c r="SQS60" s="53"/>
      <c r="SQT60" s="53"/>
      <c r="SQU60" s="53"/>
      <c r="SQV60" s="53"/>
      <c r="SQW60" s="53"/>
      <c r="SQX60" s="53"/>
      <c r="SQY60" s="53"/>
      <c r="SQZ60" s="53"/>
      <c r="SRA60" s="53"/>
      <c r="SRB60" s="53"/>
      <c r="SRC60" s="53"/>
      <c r="SRD60" s="53"/>
      <c r="SRE60" s="53"/>
      <c r="SRF60" s="53"/>
      <c r="SRG60" s="53"/>
      <c r="SRH60" s="53"/>
      <c r="SRI60" s="53"/>
      <c r="SRJ60" s="53"/>
      <c r="SRK60" s="53"/>
      <c r="SRL60" s="53"/>
      <c r="SRM60" s="53"/>
      <c r="SRN60" s="53"/>
      <c r="SRO60" s="53"/>
      <c r="SRP60" s="53"/>
      <c r="SRQ60" s="53"/>
      <c r="SRR60" s="53"/>
      <c r="SRS60" s="53"/>
      <c r="SRT60" s="53"/>
      <c r="SRU60" s="53"/>
      <c r="SRV60" s="53"/>
      <c r="SRW60" s="53"/>
      <c r="SRX60" s="53"/>
      <c r="SRY60" s="53"/>
      <c r="SRZ60" s="53"/>
      <c r="SSA60" s="53"/>
      <c r="SSB60" s="53"/>
      <c r="SSC60" s="53"/>
      <c r="SSD60" s="53"/>
      <c r="SSE60" s="53"/>
      <c r="SSF60" s="53"/>
      <c r="SSG60" s="53"/>
      <c r="SSH60" s="53"/>
      <c r="SSI60" s="53"/>
      <c r="SSJ60" s="53"/>
      <c r="SSK60" s="53"/>
      <c r="SSL60" s="53"/>
      <c r="SSM60" s="53"/>
      <c r="SSN60" s="53"/>
      <c r="SSO60" s="53"/>
      <c r="SSP60" s="53"/>
      <c r="SSQ60" s="53"/>
      <c r="SSR60" s="53"/>
      <c r="SSS60" s="53"/>
      <c r="SST60" s="53"/>
      <c r="SSU60" s="53"/>
      <c r="SSV60" s="53"/>
      <c r="SSW60" s="53"/>
      <c r="SSX60" s="53"/>
      <c r="SSY60" s="53"/>
      <c r="SSZ60" s="53"/>
      <c r="STA60" s="53"/>
      <c r="STB60" s="53"/>
      <c r="STC60" s="53"/>
      <c r="STD60" s="53"/>
      <c r="STE60" s="53"/>
      <c r="STF60" s="53"/>
      <c r="STG60" s="53"/>
      <c r="STH60" s="53"/>
      <c r="STI60" s="53"/>
      <c r="STJ60" s="53"/>
      <c r="STK60" s="53"/>
      <c r="STL60" s="53"/>
      <c r="STM60" s="53"/>
      <c r="STN60" s="53"/>
      <c r="STO60" s="53"/>
      <c r="STP60" s="53"/>
      <c r="STQ60" s="53"/>
      <c r="STR60" s="53"/>
      <c r="STS60" s="53"/>
      <c r="STT60" s="53"/>
      <c r="STU60" s="53"/>
      <c r="STV60" s="53"/>
      <c r="STW60" s="53"/>
      <c r="STX60" s="53"/>
      <c r="STY60" s="53"/>
      <c r="STZ60" s="53"/>
      <c r="SUA60" s="53"/>
      <c r="SUB60" s="53"/>
      <c r="SUC60" s="53"/>
      <c r="SUD60" s="53"/>
      <c r="SUE60" s="53"/>
      <c r="SUF60" s="53"/>
      <c r="SUG60" s="53"/>
      <c r="SUH60" s="53"/>
      <c r="SUI60" s="53"/>
      <c r="SUJ60" s="53"/>
      <c r="SUK60" s="53"/>
      <c r="SUL60" s="53"/>
      <c r="SUM60" s="53"/>
      <c r="SUN60" s="53"/>
      <c r="SUO60" s="53"/>
      <c r="SUP60" s="53"/>
      <c r="SUQ60" s="53"/>
      <c r="SUR60" s="53"/>
      <c r="SUS60" s="53"/>
      <c r="SUT60" s="53"/>
      <c r="SUU60" s="53"/>
      <c r="SUV60" s="53"/>
      <c r="SUW60" s="53"/>
      <c r="SUX60" s="53"/>
      <c r="SUY60" s="53"/>
      <c r="SUZ60" s="53"/>
      <c r="SVA60" s="53"/>
      <c r="SVB60" s="53"/>
      <c r="SVC60" s="53"/>
      <c r="SVD60" s="53"/>
      <c r="SVE60" s="53"/>
      <c r="SVF60" s="53"/>
      <c r="SVG60" s="53"/>
      <c r="SVH60" s="53"/>
      <c r="SVI60" s="53"/>
      <c r="SVJ60" s="53"/>
      <c r="SVK60" s="53"/>
      <c r="SVL60" s="53"/>
      <c r="SVM60" s="53"/>
      <c r="SVN60" s="53"/>
      <c r="SVO60" s="53"/>
      <c r="SVP60" s="53"/>
      <c r="SVQ60" s="53"/>
      <c r="SVR60" s="53"/>
      <c r="SVS60" s="53"/>
      <c r="SVT60" s="53"/>
      <c r="SVU60" s="53"/>
      <c r="SVV60" s="53"/>
      <c r="SVW60" s="53"/>
      <c r="SVX60" s="53"/>
      <c r="SVY60" s="53"/>
      <c r="SVZ60" s="53"/>
      <c r="SWA60" s="53"/>
      <c r="SWB60" s="53"/>
      <c r="SWC60" s="53"/>
      <c r="SWD60" s="53"/>
      <c r="SWE60" s="53"/>
      <c r="SWF60" s="53"/>
      <c r="SWG60" s="53"/>
      <c r="SWH60" s="53"/>
      <c r="SWI60" s="53"/>
      <c r="SWJ60" s="53"/>
      <c r="SWK60" s="53"/>
      <c r="SWL60" s="53"/>
      <c r="SWM60" s="53"/>
      <c r="SWN60" s="53"/>
      <c r="SWO60" s="53"/>
      <c r="SWP60" s="53"/>
      <c r="SWQ60" s="53"/>
      <c r="SWR60" s="53"/>
      <c r="SWS60" s="53"/>
      <c r="SWT60" s="53"/>
      <c r="SWU60" s="53"/>
      <c r="SWV60" s="53"/>
      <c r="SWW60" s="53"/>
      <c r="SWX60" s="53"/>
      <c r="SWY60" s="53"/>
      <c r="SWZ60" s="53"/>
      <c r="SXA60" s="53"/>
      <c r="SXB60" s="53"/>
      <c r="SXC60" s="53"/>
      <c r="SXD60" s="53"/>
      <c r="SXE60" s="53"/>
      <c r="SXF60" s="53"/>
      <c r="SXG60" s="53"/>
      <c r="SXH60" s="53"/>
      <c r="SXI60" s="53"/>
      <c r="SXJ60" s="53"/>
      <c r="SXK60" s="53"/>
      <c r="SXL60" s="53"/>
      <c r="SXM60" s="53"/>
      <c r="SXN60" s="53"/>
      <c r="SXO60" s="53"/>
      <c r="SXP60" s="53"/>
      <c r="SXQ60" s="53"/>
      <c r="SXR60" s="53"/>
      <c r="SXS60" s="53"/>
      <c r="SXT60" s="53"/>
      <c r="SXU60" s="53"/>
      <c r="SXV60" s="53"/>
      <c r="SXW60" s="53"/>
      <c r="SXX60" s="53"/>
      <c r="SXY60" s="53"/>
      <c r="SXZ60" s="53"/>
      <c r="SYA60" s="53"/>
      <c r="SYB60" s="53"/>
      <c r="SYC60" s="53"/>
      <c r="SYD60" s="53"/>
      <c r="SYE60" s="53"/>
      <c r="SYF60" s="53"/>
      <c r="SYG60" s="53"/>
      <c r="SYH60" s="53"/>
      <c r="SYI60" s="53"/>
      <c r="SYJ60" s="53"/>
      <c r="SYK60" s="53"/>
      <c r="SYL60" s="53"/>
      <c r="SYM60" s="53"/>
      <c r="SYN60" s="53"/>
      <c r="SYO60" s="53"/>
      <c r="SYP60" s="53"/>
      <c r="SYQ60" s="53"/>
      <c r="SYR60" s="53"/>
      <c r="SYS60" s="53"/>
      <c r="SYT60" s="53"/>
      <c r="SYU60" s="53"/>
      <c r="SYV60" s="53"/>
      <c r="SYW60" s="53"/>
      <c r="SYX60" s="53"/>
      <c r="SYY60" s="53"/>
      <c r="SYZ60" s="53"/>
      <c r="SZA60" s="53"/>
      <c r="SZB60" s="53"/>
      <c r="SZC60" s="53"/>
      <c r="SZD60" s="53"/>
      <c r="SZE60" s="53"/>
      <c r="SZF60" s="53"/>
      <c r="SZG60" s="53"/>
      <c r="SZH60" s="53"/>
      <c r="SZI60" s="53"/>
      <c r="SZJ60" s="53"/>
      <c r="SZK60" s="53"/>
      <c r="SZL60" s="53"/>
      <c r="SZM60" s="53"/>
      <c r="SZN60" s="53"/>
      <c r="SZO60" s="53"/>
      <c r="SZP60" s="53"/>
      <c r="SZQ60" s="53"/>
      <c r="SZR60" s="53"/>
      <c r="SZS60" s="53"/>
      <c r="SZT60" s="53"/>
      <c r="SZU60" s="53"/>
      <c r="SZV60" s="53"/>
      <c r="SZW60" s="53"/>
      <c r="SZX60" s="53"/>
      <c r="SZY60" s="53"/>
      <c r="SZZ60" s="53"/>
      <c r="TAA60" s="53"/>
      <c r="TAB60" s="53"/>
      <c r="TAC60" s="53"/>
      <c r="TAD60" s="53"/>
      <c r="TAE60" s="53"/>
      <c r="TAF60" s="53"/>
      <c r="TAG60" s="53"/>
      <c r="TAH60" s="53"/>
      <c r="TAI60" s="53"/>
      <c r="TAJ60" s="53"/>
      <c r="TAK60" s="53"/>
      <c r="TAL60" s="53"/>
      <c r="TAM60" s="53"/>
      <c r="TAN60" s="53"/>
      <c r="TAO60" s="53"/>
      <c r="TAP60" s="53"/>
      <c r="TAQ60" s="53"/>
      <c r="TAR60" s="53"/>
      <c r="TAS60" s="53"/>
      <c r="TAT60" s="53"/>
      <c r="TAU60" s="53"/>
      <c r="TAV60" s="53"/>
      <c r="TAW60" s="53"/>
      <c r="TAX60" s="53"/>
      <c r="TAY60" s="53"/>
      <c r="TAZ60" s="53"/>
      <c r="TBA60" s="53"/>
      <c r="TBB60" s="53"/>
      <c r="TBC60" s="53"/>
      <c r="TBD60" s="53"/>
      <c r="TBE60" s="53"/>
      <c r="TBF60" s="53"/>
      <c r="TBG60" s="53"/>
      <c r="TBH60" s="53"/>
      <c r="TBI60" s="53"/>
      <c r="TBJ60" s="53"/>
      <c r="TBK60" s="53"/>
      <c r="TBL60" s="53"/>
      <c r="TBM60" s="53"/>
      <c r="TBN60" s="53"/>
      <c r="TBO60" s="53"/>
      <c r="TBP60" s="53"/>
      <c r="TBQ60" s="53"/>
      <c r="TBR60" s="53"/>
      <c r="TBS60" s="53"/>
      <c r="TBT60" s="53"/>
      <c r="TBU60" s="53"/>
      <c r="TBV60" s="53"/>
      <c r="TBW60" s="53"/>
      <c r="TBX60" s="53"/>
      <c r="TBY60" s="53"/>
      <c r="TBZ60" s="53"/>
      <c r="TCA60" s="53"/>
      <c r="TCB60" s="53"/>
      <c r="TCC60" s="53"/>
      <c r="TCD60" s="53"/>
      <c r="TCE60" s="53"/>
      <c r="TCF60" s="53"/>
      <c r="TCG60" s="53"/>
      <c r="TCH60" s="53"/>
      <c r="TCI60" s="53"/>
      <c r="TCJ60" s="53"/>
      <c r="TCK60" s="53"/>
      <c r="TCL60" s="53"/>
      <c r="TCM60" s="53"/>
      <c r="TCN60" s="53"/>
      <c r="TCO60" s="53"/>
      <c r="TCP60" s="53"/>
      <c r="TCQ60" s="53"/>
      <c r="TCR60" s="53"/>
      <c r="TCS60" s="53"/>
      <c r="TCT60" s="53"/>
      <c r="TCU60" s="53"/>
      <c r="TCV60" s="53"/>
      <c r="TCW60" s="53"/>
      <c r="TCX60" s="53"/>
      <c r="TCY60" s="53"/>
      <c r="TCZ60" s="53"/>
      <c r="TDA60" s="53"/>
      <c r="TDB60" s="53"/>
      <c r="TDC60" s="53"/>
      <c r="TDD60" s="53"/>
      <c r="TDE60" s="53"/>
      <c r="TDF60" s="53"/>
      <c r="TDG60" s="53"/>
      <c r="TDH60" s="53"/>
      <c r="TDI60" s="53"/>
      <c r="TDJ60" s="53"/>
      <c r="TDK60" s="53"/>
      <c r="TDL60" s="53"/>
      <c r="TDM60" s="53"/>
      <c r="TDN60" s="53"/>
      <c r="TDO60" s="53"/>
      <c r="TDP60" s="53"/>
      <c r="TDQ60" s="53"/>
      <c r="TDR60" s="53"/>
      <c r="TDS60" s="53"/>
      <c r="TDT60" s="53"/>
      <c r="TDU60" s="53"/>
      <c r="TDV60" s="53"/>
      <c r="TDW60" s="53"/>
      <c r="TDX60" s="53"/>
      <c r="TDY60" s="53"/>
      <c r="TDZ60" s="53"/>
      <c r="TEA60" s="53"/>
      <c r="TEB60" s="53"/>
      <c r="TEC60" s="53"/>
      <c r="TED60" s="53"/>
      <c r="TEE60" s="53"/>
      <c r="TEF60" s="53"/>
      <c r="TEG60" s="53"/>
      <c r="TEH60" s="53"/>
      <c r="TEI60" s="53"/>
      <c r="TEJ60" s="53"/>
      <c r="TEK60" s="53"/>
      <c r="TEL60" s="53"/>
      <c r="TEM60" s="53"/>
      <c r="TEN60" s="53"/>
      <c r="TEO60" s="53"/>
      <c r="TEP60" s="53"/>
      <c r="TEQ60" s="53"/>
      <c r="TER60" s="53"/>
      <c r="TES60" s="53"/>
      <c r="TET60" s="53"/>
      <c r="TEU60" s="53"/>
      <c r="TEV60" s="53"/>
      <c r="TEW60" s="53"/>
      <c r="TEX60" s="53"/>
      <c r="TEY60" s="53"/>
      <c r="TEZ60" s="53"/>
      <c r="TFA60" s="53"/>
      <c r="TFB60" s="53"/>
      <c r="TFC60" s="53"/>
      <c r="TFD60" s="53"/>
      <c r="TFE60" s="53"/>
      <c r="TFF60" s="53"/>
      <c r="TFG60" s="53"/>
      <c r="TFH60" s="53"/>
      <c r="TFI60" s="53"/>
      <c r="TFJ60" s="53"/>
      <c r="TFK60" s="53"/>
      <c r="TFL60" s="53"/>
      <c r="TFM60" s="53"/>
      <c r="TFN60" s="53"/>
      <c r="TFO60" s="53"/>
      <c r="TFP60" s="53"/>
      <c r="TFQ60" s="53"/>
      <c r="TFR60" s="53"/>
      <c r="TFS60" s="53"/>
      <c r="TFT60" s="53"/>
      <c r="TFU60" s="53"/>
      <c r="TFV60" s="53"/>
      <c r="TFW60" s="53"/>
      <c r="TFX60" s="53"/>
      <c r="TFY60" s="53"/>
      <c r="TFZ60" s="53"/>
      <c r="TGA60" s="53"/>
      <c r="TGB60" s="53"/>
      <c r="TGC60" s="53"/>
      <c r="TGD60" s="53"/>
      <c r="TGE60" s="53"/>
      <c r="TGF60" s="53"/>
      <c r="TGG60" s="53"/>
      <c r="TGH60" s="53"/>
      <c r="TGI60" s="53"/>
      <c r="TGJ60" s="53"/>
      <c r="TGK60" s="53"/>
      <c r="TGL60" s="53"/>
      <c r="TGM60" s="53"/>
      <c r="TGN60" s="53"/>
      <c r="TGO60" s="53"/>
      <c r="TGP60" s="53"/>
      <c r="TGQ60" s="53"/>
      <c r="TGR60" s="53"/>
      <c r="TGS60" s="53"/>
      <c r="TGT60" s="53"/>
      <c r="TGU60" s="53"/>
      <c r="TGV60" s="53"/>
      <c r="TGW60" s="53"/>
      <c r="TGX60" s="53"/>
      <c r="TGY60" s="53"/>
      <c r="TGZ60" s="53"/>
      <c r="THA60" s="53"/>
      <c r="THB60" s="53"/>
      <c r="THC60" s="53"/>
      <c r="THD60" s="53"/>
      <c r="THE60" s="53"/>
      <c r="THF60" s="53"/>
      <c r="THG60" s="53"/>
      <c r="THH60" s="53"/>
      <c r="THI60" s="53"/>
      <c r="THJ60" s="53"/>
      <c r="THK60" s="53"/>
      <c r="THL60" s="53"/>
      <c r="THM60" s="53"/>
      <c r="THN60" s="53"/>
      <c r="THO60" s="53"/>
      <c r="THP60" s="53"/>
      <c r="THQ60" s="53"/>
      <c r="THR60" s="53"/>
      <c r="THS60" s="53"/>
      <c r="THT60" s="53"/>
      <c r="THU60" s="53"/>
      <c r="THV60" s="53"/>
      <c r="THW60" s="53"/>
      <c r="THX60" s="53"/>
      <c r="THY60" s="53"/>
      <c r="THZ60" s="53"/>
      <c r="TIA60" s="53"/>
      <c r="TIB60" s="53"/>
      <c r="TIC60" s="53"/>
      <c r="TID60" s="53"/>
      <c r="TIE60" s="53"/>
      <c r="TIF60" s="53"/>
      <c r="TIG60" s="53"/>
      <c r="TIH60" s="53"/>
      <c r="TII60" s="53"/>
      <c r="TIJ60" s="53"/>
      <c r="TIK60" s="53"/>
      <c r="TIL60" s="53"/>
      <c r="TIM60" s="53"/>
      <c r="TIN60" s="53"/>
      <c r="TIO60" s="53"/>
      <c r="TIP60" s="53"/>
      <c r="TIQ60" s="53"/>
      <c r="TIR60" s="53"/>
      <c r="TIS60" s="53"/>
      <c r="TIT60" s="53"/>
      <c r="TIU60" s="53"/>
      <c r="TIV60" s="53"/>
      <c r="TIW60" s="53"/>
      <c r="TIX60" s="53"/>
      <c r="TIY60" s="53"/>
      <c r="TIZ60" s="53"/>
      <c r="TJA60" s="53"/>
      <c r="TJB60" s="53"/>
      <c r="TJC60" s="53"/>
      <c r="TJD60" s="53"/>
      <c r="TJE60" s="53"/>
      <c r="TJF60" s="53"/>
      <c r="TJG60" s="53"/>
      <c r="TJH60" s="53"/>
      <c r="TJI60" s="53"/>
      <c r="TJJ60" s="53"/>
      <c r="TJK60" s="53"/>
      <c r="TJL60" s="53"/>
      <c r="TJM60" s="53"/>
      <c r="TJN60" s="53"/>
      <c r="TJO60" s="53"/>
      <c r="TJP60" s="53"/>
      <c r="TJQ60" s="53"/>
      <c r="TJR60" s="53"/>
      <c r="TJS60" s="53"/>
      <c r="TJT60" s="53"/>
      <c r="TJU60" s="53"/>
      <c r="TJV60" s="53"/>
      <c r="TJW60" s="53"/>
      <c r="TJX60" s="53"/>
      <c r="TJY60" s="53"/>
      <c r="TJZ60" s="53"/>
      <c r="TKA60" s="53"/>
      <c r="TKB60" s="53"/>
      <c r="TKC60" s="53"/>
      <c r="TKD60" s="53"/>
      <c r="TKE60" s="53"/>
      <c r="TKF60" s="53"/>
      <c r="TKG60" s="53"/>
      <c r="TKH60" s="53"/>
      <c r="TKI60" s="53"/>
      <c r="TKJ60" s="53"/>
      <c r="TKK60" s="53"/>
      <c r="TKL60" s="53"/>
      <c r="TKM60" s="53"/>
      <c r="TKN60" s="53"/>
      <c r="TKO60" s="53"/>
      <c r="TKP60" s="53"/>
      <c r="TKQ60" s="53"/>
      <c r="TKR60" s="53"/>
      <c r="TKS60" s="53"/>
      <c r="TKT60" s="53"/>
      <c r="TKU60" s="53"/>
      <c r="TKV60" s="53"/>
      <c r="TKW60" s="53"/>
      <c r="TKX60" s="53"/>
      <c r="TKY60" s="53"/>
      <c r="TKZ60" s="53"/>
      <c r="TLA60" s="53"/>
      <c r="TLB60" s="53"/>
      <c r="TLC60" s="53"/>
      <c r="TLD60" s="53"/>
      <c r="TLE60" s="53"/>
      <c r="TLF60" s="53"/>
      <c r="TLG60" s="53"/>
      <c r="TLH60" s="53"/>
      <c r="TLI60" s="53"/>
      <c r="TLJ60" s="53"/>
      <c r="TLK60" s="53"/>
      <c r="TLL60" s="53"/>
      <c r="TLM60" s="53"/>
      <c r="TLN60" s="53"/>
      <c r="TLO60" s="53"/>
      <c r="TLP60" s="53"/>
      <c r="TLQ60" s="53"/>
      <c r="TLR60" s="53"/>
      <c r="TLS60" s="53"/>
      <c r="TLT60" s="53"/>
      <c r="TLU60" s="53"/>
      <c r="TLV60" s="53"/>
      <c r="TLW60" s="53"/>
      <c r="TLX60" s="53"/>
      <c r="TLY60" s="53"/>
      <c r="TLZ60" s="53"/>
      <c r="TMA60" s="53"/>
      <c r="TMB60" s="53"/>
      <c r="TMC60" s="53"/>
      <c r="TMD60" s="53"/>
      <c r="TME60" s="53"/>
      <c r="TMF60" s="53"/>
      <c r="TMG60" s="53"/>
      <c r="TMH60" s="53"/>
      <c r="TMI60" s="53"/>
      <c r="TMJ60" s="53"/>
      <c r="TMK60" s="53"/>
      <c r="TML60" s="53"/>
      <c r="TMM60" s="53"/>
      <c r="TMN60" s="53"/>
      <c r="TMO60" s="53"/>
      <c r="TMP60" s="53"/>
      <c r="TMQ60" s="53"/>
      <c r="TMR60" s="53"/>
      <c r="TMS60" s="53"/>
      <c r="TMT60" s="53"/>
      <c r="TMU60" s="53"/>
      <c r="TMV60" s="53"/>
      <c r="TMW60" s="53"/>
      <c r="TMX60" s="53"/>
      <c r="TMY60" s="53"/>
      <c r="TMZ60" s="53"/>
      <c r="TNA60" s="53"/>
      <c r="TNB60" s="53"/>
      <c r="TNC60" s="53"/>
      <c r="TND60" s="53"/>
      <c r="TNE60" s="53"/>
      <c r="TNF60" s="53"/>
      <c r="TNG60" s="53"/>
      <c r="TNH60" s="53"/>
      <c r="TNI60" s="53"/>
      <c r="TNJ60" s="53"/>
      <c r="TNK60" s="53"/>
      <c r="TNL60" s="53"/>
      <c r="TNM60" s="53"/>
      <c r="TNN60" s="53"/>
      <c r="TNO60" s="53"/>
      <c r="TNP60" s="53"/>
      <c r="TNQ60" s="53"/>
      <c r="TNR60" s="53"/>
      <c r="TNS60" s="53"/>
      <c r="TNT60" s="53"/>
      <c r="TNU60" s="53"/>
      <c r="TNV60" s="53"/>
      <c r="TNW60" s="53"/>
      <c r="TNX60" s="53"/>
      <c r="TNY60" s="53"/>
      <c r="TNZ60" s="53"/>
      <c r="TOA60" s="53"/>
      <c r="TOB60" s="53"/>
      <c r="TOC60" s="53"/>
      <c r="TOD60" s="53"/>
      <c r="TOE60" s="53"/>
      <c r="TOF60" s="53"/>
      <c r="TOG60" s="53"/>
      <c r="TOH60" s="53"/>
      <c r="TOI60" s="53"/>
      <c r="TOJ60" s="53"/>
      <c r="TOK60" s="53"/>
      <c r="TOL60" s="53"/>
      <c r="TOM60" s="53"/>
      <c r="TON60" s="53"/>
      <c r="TOO60" s="53"/>
      <c r="TOP60" s="53"/>
      <c r="TOQ60" s="53"/>
      <c r="TOR60" s="53"/>
      <c r="TOS60" s="53"/>
      <c r="TOT60" s="53"/>
      <c r="TOU60" s="53"/>
      <c r="TOV60" s="53"/>
      <c r="TOW60" s="53"/>
      <c r="TOX60" s="53"/>
      <c r="TOY60" s="53"/>
      <c r="TOZ60" s="53"/>
      <c r="TPA60" s="53"/>
      <c r="TPB60" s="53"/>
      <c r="TPC60" s="53"/>
      <c r="TPD60" s="53"/>
      <c r="TPE60" s="53"/>
      <c r="TPF60" s="53"/>
      <c r="TPG60" s="53"/>
      <c r="TPH60" s="53"/>
      <c r="TPI60" s="53"/>
      <c r="TPJ60" s="53"/>
      <c r="TPK60" s="53"/>
      <c r="TPL60" s="53"/>
      <c r="TPM60" s="53"/>
      <c r="TPN60" s="53"/>
      <c r="TPO60" s="53"/>
      <c r="TPP60" s="53"/>
      <c r="TPQ60" s="53"/>
      <c r="TPR60" s="53"/>
      <c r="TPS60" s="53"/>
      <c r="TPT60" s="53"/>
      <c r="TPU60" s="53"/>
      <c r="TPV60" s="53"/>
      <c r="TPW60" s="53"/>
      <c r="TPX60" s="53"/>
      <c r="TPY60" s="53"/>
      <c r="TPZ60" s="53"/>
      <c r="TQA60" s="53"/>
      <c r="TQB60" s="53"/>
      <c r="TQC60" s="53"/>
      <c r="TQD60" s="53"/>
      <c r="TQE60" s="53"/>
      <c r="TQF60" s="53"/>
      <c r="TQG60" s="53"/>
      <c r="TQH60" s="53"/>
      <c r="TQI60" s="53"/>
      <c r="TQJ60" s="53"/>
      <c r="TQK60" s="53"/>
      <c r="TQL60" s="53"/>
      <c r="TQM60" s="53"/>
      <c r="TQN60" s="53"/>
      <c r="TQO60" s="53"/>
      <c r="TQP60" s="53"/>
      <c r="TQQ60" s="53"/>
      <c r="TQR60" s="53"/>
      <c r="TQS60" s="53"/>
      <c r="TQT60" s="53"/>
      <c r="TQU60" s="53"/>
      <c r="TQV60" s="53"/>
      <c r="TQW60" s="53"/>
      <c r="TQX60" s="53"/>
      <c r="TQY60" s="53"/>
      <c r="TQZ60" s="53"/>
      <c r="TRA60" s="53"/>
      <c r="TRB60" s="53"/>
      <c r="TRC60" s="53"/>
      <c r="TRD60" s="53"/>
      <c r="TRE60" s="53"/>
      <c r="TRF60" s="53"/>
      <c r="TRG60" s="53"/>
      <c r="TRH60" s="53"/>
      <c r="TRI60" s="53"/>
      <c r="TRJ60" s="53"/>
      <c r="TRK60" s="53"/>
      <c r="TRL60" s="53"/>
      <c r="TRM60" s="53"/>
      <c r="TRN60" s="53"/>
      <c r="TRO60" s="53"/>
      <c r="TRP60" s="53"/>
      <c r="TRQ60" s="53"/>
      <c r="TRR60" s="53"/>
      <c r="TRS60" s="53"/>
      <c r="TRT60" s="53"/>
      <c r="TRU60" s="53"/>
      <c r="TRV60" s="53"/>
      <c r="TRW60" s="53"/>
      <c r="TRX60" s="53"/>
      <c r="TRY60" s="53"/>
      <c r="TRZ60" s="53"/>
      <c r="TSA60" s="53"/>
      <c r="TSB60" s="53"/>
      <c r="TSC60" s="53"/>
      <c r="TSD60" s="53"/>
      <c r="TSE60" s="53"/>
      <c r="TSF60" s="53"/>
      <c r="TSG60" s="53"/>
      <c r="TSH60" s="53"/>
      <c r="TSI60" s="53"/>
      <c r="TSJ60" s="53"/>
      <c r="TSK60" s="53"/>
      <c r="TSL60" s="53"/>
      <c r="TSM60" s="53"/>
      <c r="TSN60" s="53"/>
      <c r="TSO60" s="53"/>
      <c r="TSP60" s="53"/>
      <c r="TSQ60" s="53"/>
      <c r="TSR60" s="53"/>
      <c r="TSS60" s="53"/>
      <c r="TST60" s="53"/>
      <c r="TSU60" s="53"/>
      <c r="TSV60" s="53"/>
      <c r="TSW60" s="53"/>
      <c r="TSX60" s="53"/>
      <c r="TSY60" s="53"/>
      <c r="TSZ60" s="53"/>
      <c r="TTA60" s="53"/>
      <c r="TTB60" s="53"/>
      <c r="TTC60" s="53"/>
      <c r="TTD60" s="53"/>
      <c r="TTE60" s="53"/>
      <c r="TTF60" s="53"/>
      <c r="TTG60" s="53"/>
      <c r="TTH60" s="53"/>
      <c r="TTI60" s="53"/>
      <c r="TTJ60" s="53"/>
      <c r="TTK60" s="53"/>
      <c r="TTL60" s="53"/>
      <c r="TTM60" s="53"/>
      <c r="TTN60" s="53"/>
      <c r="TTO60" s="53"/>
      <c r="TTP60" s="53"/>
      <c r="TTQ60" s="53"/>
      <c r="TTR60" s="53"/>
      <c r="TTS60" s="53"/>
      <c r="TTT60" s="53"/>
      <c r="TTU60" s="53"/>
      <c r="TTV60" s="53"/>
      <c r="TTW60" s="53"/>
      <c r="TTX60" s="53"/>
      <c r="TTY60" s="53"/>
      <c r="TTZ60" s="53"/>
      <c r="TUA60" s="53"/>
      <c r="TUB60" s="53"/>
      <c r="TUC60" s="53"/>
      <c r="TUD60" s="53"/>
      <c r="TUE60" s="53"/>
      <c r="TUF60" s="53"/>
      <c r="TUG60" s="53"/>
      <c r="TUH60" s="53"/>
      <c r="TUI60" s="53"/>
      <c r="TUJ60" s="53"/>
      <c r="TUK60" s="53"/>
      <c r="TUL60" s="53"/>
      <c r="TUM60" s="53"/>
      <c r="TUN60" s="53"/>
      <c r="TUO60" s="53"/>
      <c r="TUP60" s="53"/>
      <c r="TUQ60" s="53"/>
      <c r="TUR60" s="53"/>
      <c r="TUS60" s="53"/>
      <c r="TUT60" s="53"/>
      <c r="TUU60" s="53"/>
      <c r="TUV60" s="53"/>
      <c r="TUW60" s="53"/>
      <c r="TUX60" s="53"/>
      <c r="TUY60" s="53"/>
      <c r="TUZ60" s="53"/>
      <c r="TVA60" s="53"/>
      <c r="TVB60" s="53"/>
      <c r="TVC60" s="53"/>
      <c r="TVD60" s="53"/>
      <c r="TVE60" s="53"/>
      <c r="TVF60" s="53"/>
      <c r="TVG60" s="53"/>
      <c r="TVH60" s="53"/>
      <c r="TVI60" s="53"/>
      <c r="TVJ60" s="53"/>
      <c r="TVK60" s="53"/>
      <c r="TVL60" s="53"/>
      <c r="TVM60" s="53"/>
      <c r="TVN60" s="53"/>
      <c r="TVO60" s="53"/>
      <c r="TVP60" s="53"/>
      <c r="TVQ60" s="53"/>
      <c r="TVR60" s="53"/>
      <c r="TVS60" s="53"/>
      <c r="TVT60" s="53"/>
      <c r="TVU60" s="53"/>
      <c r="TVV60" s="53"/>
      <c r="TVW60" s="53"/>
      <c r="TVX60" s="53"/>
      <c r="TVY60" s="53"/>
      <c r="TVZ60" s="53"/>
      <c r="TWA60" s="53"/>
      <c r="TWB60" s="53"/>
      <c r="TWC60" s="53"/>
      <c r="TWD60" s="53"/>
      <c r="TWE60" s="53"/>
      <c r="TWF60" s="53"/>
      <c r="TWG60" s="53"/>
      <c r="TWH60" s="53"/>
      <c r="TWI60" s="53"/>
      <c r="TWJ60" s="53"/>
      <c r="TWK60" s="53"/>
      <c r="TWL60" s="53"/>
      <c r="TWM60" s="53"/>
      <c r="TWN60" s="53"/>
      <c r="TWO60" s="53"/>
      <c r="TWP60" s="53"/>
      <c r="TWQ60" s="53"/>
      <c r="TWR60" s="53"/>
      <c r="TWS60" s="53"/>
      <c r="TWT60" s="53"/>
      <c r="TWU60" s="53"/>
      <c r="TWV60" s="53"/>
      <c r="TWW60" s="53"/>
      <c r="TWX60" s="53"/>
      <c r="TWY60" s="53"/>
      <c r="TWZ60" s="53"/>
      <c r="TXA60" s="53"/>
      <c r="TXB60" s="53"/>
      <c r="TXC60" s="53"/>
      <c r="TXD60" s="53"/>
      <c r="TXE60" s="53"/>
      <c r="TXF60" s="53"/>
      <c r="TXG60" s="53"/>
      <c r="TXH60" s="53"/>
      <c r="TXI60" s="53"/>
      <c r="TXJ60" s="53"/>
      <c r="TXK60" s="53"/>
      <c r="TXL60" s="53"/>
      <c r="TXM60" s="53"/>
      <c r="TXN60" s="53"/>
      <c r="TXO60" s="53"/>
      <c r="TXP60" s="53"/>
      <c r="TXQ60" s="53"/>
      <c r="TXR60" s="53"/>
      <c r="TXS60" s="53"/>
      <c r="TXT60" s="53"/>
      <c r="TXU60" s="53"/>
      <c r="TXV60" s="53"/>
      <c r="TXW60" s="53"/>
      <c r="TXX60" s="53"/>
      <c r="TXY60" s="53"/>
      <c r="TXZ60" s="53"/>
      <c r="TYA60" s="53"/>
      <c r="TYB60" s="53"/>
      <c r="TYC60" s="53"/>
      <c r="TYD60" s="53"/>
      <c r="TYE60" s="53"/>
      <c r="TYF60" s="53"/>
      <c r="TYG60" s="53"/>
      <c r="TYH60" s="53"/>
      <c r="TYI60" s="53"/>
      <c r="TYJ60" s="53"/>
      <c r="TYK60" s="53"/>
      <c r="TYL60" s="53"/>
      <c r="TYM60" s="53"/>
      <c r="TYN60" s="53"/>
      <c r="TYO60" s="53"/>
      <c r="TYP60" s="53"/>
      <c r="TYQ60" s="53"/>
      <c r="TYR60" s="53"/>
      <c r="TYS60" s="53"/>
      <c r="TYT60" s="53"/>
      <c r="TYU60" s="53"/>
      <c r="TYV60" s="53"/>
      <c r="TYW60" s="53"/>
      <c r="TYX60" s="53"/>
      <c r="TYY60" s="53"/>
      <c r="TYZ60" s="53"/>
      <c r="TZA60" s="53"/>
      <c r="TZB60" s="53"/>
      <c r="TZC60" s="53"/>
      <c r="TZD60" s="53"/>
      <c r="TZE60" s="53"/>
      <c r="TZF60" s="53"/>
      <c r="TZG60" s="53"/>
      <c r="TZH60" s="53"/>
      <c r="TZI60" s="53"/>
      <c r="TZJ60" s="53"/>
      <c r="TZK60" s="53"/>
      <c r="TZL60" s="53"/>
      <c r="TZM60" s="53"/>
      <c r="TZN60" s="53"/>
      <c r="TZO60" s="53"/>
      <c r="TZP60" s="53"/>
      <c r="TZQ60" s="53"/>
      <c r="TZR60" s="53"/>
      <c r="TZS60" s="53"/>
      <c r="TZT60" s="53"/>
      <c r="TZU60" s="53"/>
      <c r="TZV60" s="53"/>
      <c r="TZW60" s="53"/>
      <c r="TZX60" s="53"/>
      <c r="TZY60" s="53"/>
      <c r="TZZ60" s="53"/>
      <c r="UAA60" s="53"/>
      <c r="UAB60" s="53"/>
      <c r="UAC60" s="53"/>
      <c r="UAD60" s="53"/>
      <c r="UAE60" s="53"/>
      <c r="UAF60" s="53"/>
      <c r="UAG60" s="53"/>
      <c r="UAH60" s="53"/>
      <c r="UAI60" s="53"/>
      <c r="UAJ60" s="53"/>
      <c r="UAK60" s="53"/>
      <c r="UAL60" s="53"/>
      <c r="UAM60" s="53"/>
      <c r="UAN60" s="53"/>
      <c r="UAO60" s="53"/>
      <c r="UAP60" s="53"/>
      <c r="UAQ60" s="53"/>
      <c r="UAR60" s="53"/>
      <c r="UAS60" s="53"/>
      <c r="UAT60" s="53"/>
      <c r="UAU60" s="53"/>
      <c r="UAV60" s="53"/>
      <c r="UAW60" s="53"/>
      <c r="UAX60" s="53"/>
      <c r="UAY60" s="53"/>
      <c r="UAZ60" s="53"/>
      <c r="UBA60" s="53"/>
      <c r="UBB60" s="53"/>
      <c r="UBC60" s="53"/>
      <c r="UBD60" s="53"/>
      <c r="UBE60" s="53"/>
      <c r="UBF60" s="53"/>
      <c r="UBG60" s="53"/>
      <c r="UBH60" s="53"/>
      <c r="UBI60" s="53"/>
      <c r="UBJ60" s="53"/>
      <c r="UBK60" s="53"/>
      <c r="UBL60" s="53"/>
      <c r="UBM60" s="53"/>
      <c r="UBN60" s="53"/>
      <c r="UBO60" s="53"/>
      <c r="UBP60" s="53"/>
      <c r="UBQ60" s="53"/>
      <c r="UBR60" s="53"/>
      <c r="UBS60" s="53"/>
      <c r="UBT60" s="53"/>
      <c r="UBU60" s="53"/>
      <c r="UBV60" s="53"/>
      <c r="UBW60" s="53"/>
      <c r="UBX60" s="53"/>
      <c r="UBY60" s="53"/>
      <c r="UBZ60" s="53"/>
      <c r="UCA60" s="53"/>
      <c r="UCB60" s="53"/>
      <c r="UCC60" s="53"/>
      <c r="UCD60" s="53"/>
      <c r="UCE60" s="53"/>
      <c r="UCF60" s="53"/>
      <c r="UCG60" s="53"/>
      <c r="UCH60" s="53"/>
      <c r="UCI60" s="53"/>
      <c r="UCJ60" s="53"/>
      <c r="UCK60" s="53"/>
      <c r="UCL60" s="53"/>
      <c r="UCM60" s="53"/>
      <c r="UCN60" s="53"/>
      <c r="UCO60" s="53"/>
      <c r="UCP60" s="53"/>
      <c r="UCQ60" s="53"/>
      <c r="UCR60" s="53"/>
      <c r="UCS60" s="53"/>
      <c r="UCT60" s="53"/>
      <c r="UCU60" s="53"/>
      <c r="UCV60" s="53"/>
      <c r="UCW60" s="53"/>
      <c r="UCX60" s="53"/>
      <c r="UCY60" s="53"/>
      <c r="UCZ60" s="53"/>
      <c r="UDA60" s="53"/>
      <c r="UDB60" s="53"/>
      <c r="UDC60" s="53"/>
      <c r="UDD60" s="53"/>
      <c r="UDE60" s="53"/>
      <c r="UDF60" s="53"/>
      <c r="UDG60" s="53"/>
      <c r="UDH60" s="53"/>
      <c r="UDI60" s="53"/>
      <c r="UDJ60" s="53"/>
      <c r="UDK60" s="53"/>
      <c r="UDL60" s="53"/>
      <c r="UDM60" s="53"/>
      <c r="UDN60" s="53"/>
      <c r="UDO60" s="53"/>
      <c r="UDP60" s="53"/>
      <c r="UDQ60" s="53"/>
      <c r="UDR60" s="53"/>
      <c r="UDS60" s="53"/>
      <c r="UDT60" s="53"/>
      <c r="UDU60" s="53"/>
      <c r="UDV60" s="53"/>
      <c r="UDW60" s="53"/>
      <c r="UDX60" s="53"/>
      <c r="UDY60" s="53"/>
      <c r="UDZ60" s="53"/>
      <c r="UEA60" s="53"/>
      <c r="UEB60" s="53"/>
      <c r="UEC60" s="53"/>
      <c r="UED60" s="53"/>
      <c r="UEE60" s="53"/>
      <c r="UEF60" s="53"/>
      <c r="UEG60" s="53"/>
      <c r="UEH60" s="53"/>
      <c r="UEI60" s="53"/>
      <c r="UEJ60" s="53"/>
      <c r="UEK60" s="53"/>
      <c r="UEL60" s="53"/>
      <c r="UEM60" s="53"/>
      <c r="UEN60" s="53"/>
      <c r="UEO60" s="53"/>
      <c r="UEP60" s="53"/>
      <c r="UEQ60" s="53"/>
      <c r="UER60" s="53"/>
      <c r="UES60" s="53"/>
      <c r="UET60" s="53"/>
      <c r="UEU60" s="53"/>
      <c r="UEV60" s="53"/>
      <c r="UEW60" s="53"/>
      <c r="UEX60" s="53"/>
      <c r="UEY60" s="53"/>
      <c r="UEZ60" s="53"/>
      <c r="UFA60" s="53"/>
      <c r="UFB60" s="53"/>
      <c r="UFC60" s="53"/>
      <c r="UFD60" s="53"/>
      <c r="UFE60" s="53"/>
      <c r="UFF60" s="53"/>
      <c r="UFG60" s="53"/>
      <c r="UFH60" s="53"/>
      <c r="UFI60" s="53"/>
      <c r="UFJ60" s="53"/>
      <c r="UFK60" s="53"/>
      <c r="UFL60" s="53"/>
      <c r="UFM60" s="53"/>
      <c r="UFN60" s="53"/>
      <c r="UFO60" s="53"/>
      <c r="UFP60" s="53"/>
      <c r="UFQ60" s="53"/>
      <c r="UFR60" s="53"/>
      <c r="UFS60" s="53"/>
      <c r="UFT60" s="53"/>
      <c r="UFU60" s="53"/>
      <c r="UFV60" s="53"/>
      <c r="UFW60" s="53"/>
      <c r="UFX60" s="53"/>
      <c r="UFY60" s="53"/>
      <c r="UFZ60" s="53"/>
      <c r="UGA60" s="53"/>
      <c r="UGB60" s="53"/>
      <c r="UGC60" s="53"/>
      <c r="UGD60" s="53"/>
      <c r="UGE60" s="53"/>
      <c r="UGF60" s="53"/>
      <c r="UGG60" s="53"/>
      <c r="UGH60" s="53"/>
      <c r="UGI60" s="53"/>
      <c r="UGJ60" s="53"/>
      <c r="UGK60" s="53"/>
      <c r="UGL60" s="53"/>
      <c r="UGM60" s="53"/>
      <c r="UGN60" s="53"/>
      <c r="UGO60" s="53"/>
      <c r="UGP60" s="53"/>
      <c r="UGQ60" s="53"/>
      <c r="UGR60" s="53"/>
      <c r="UGS60" s="53"/>
      <c r="UGT60" s="53"/>
      <c r="UGU60" s="53"/>
      <c r="UGV60" s="53"/>
      <c r="UGW60" s="53"/>
      <c r="UGX60" s="53"/>
      <c r="UGY60" s="53"/>
      <c r="UGZ60" s="53"/>
      <c r="UHA60" s="53"/>
      <c r="UHB60" s="53"/>
      <c r="UHC60" s="53"/>
      <c r="UHD60" s="53"/>
      <c r="UHE60" s="53"/>
      <c r="UHF60" s="53"/>
      <c r="UHG60" s="53"/>
      <c r="UHH60" s="53"/>
      <c r="UHI60" s="53"/>
      <c r="UHJ60" s="53"/>
      <c r="UHK60" s="53"/>
      <c r="UHL60" s="53"/>
      <c r="UHM60" s="53"/>
      <c r="UHN60" s="53"/>
      <c r="UHO60" s="53"/>
      <c r="UHP60" s="53"/>
      <c r="UHQ60" s="53"/>
      <c r="UHR60" s="53"/>
      <c r="UHS60" s="53"/>
      <c r="UHT60" s="53"/>
      <c r="UHU60" s="53"/>
      <c r="UHV60" s="53"/>
      <c r="UHW60" s="53"/>
      <c r="UHX60" s="53"/>
      <c r="UHY60" s="53"/>
      <c r="UHZ60" s="53"/>
      <c r="UIA60" s="53"/>
      <c r="UIB60" s="53"/>
      <c r="UIC60" s="53"/>
      <c r="UID60" s="53"/>
      <c r="UIE60" s="53"/>
      <c r="UIF60" s="53"/>
      <c r="UIG60" s="53"/>
      <c r="UIH60" s="53"/>
      <c r="UII60" s="53"/>
      <c r="UIJ60" s="53"/>
      <c r="UIK60" s="53"/>
      <c r="UIL60" s="53"/>
      <c r="UIM60" s="53"/>
      <c r="UIN60" s="53"/>
      <c r="UIO60" s="53"/>
      <c r="UIP60" s="53"/>
      <c r="UIQ60" s="53"/>
      <c r="UIR60" s="53"/>
      <c r="UIS60" s="53"/>
      <c r="UIT60" s="53"/>
      <c r="UIU60" s="53"/>
      <c r="UIV60" s="53"/>
      <c r="UIW60" s="53"/>
      <c r="UIX60" s="53"/>
      <c r="UIY60" s="53"/>
      <c r="UIZ60" s="53"/>
      <c r="UJA60" s="53"/>
      <c r="UJB60" s="53"/>
      <c r="UJC60" s="53"/>
      <c r="UJD60" s="53"/>
      <c r="UJE60" s="53"/>
      <c r="UJF60" s="53"/>
      <c r="UJG60" s="53"/>
      <c r="UJH60" s="53"/>
      <c r="UJI60" s="53"/>
      <c r="UJJ60" s="53"/>
      <c r="UJK60" s="53"/>
      <c r="UJL60" s="53"/>
      <c r="UJM60" s="53"/>
      <c r="UJN60" s="53"/>
      <c r="UJO60" s="53"/>
      <c r="UJP60" s="53"/>
      <c r="UJQ60" s="53"/>
      <c r="UJR60" s="53"/>
      <c r="UJS60" s="53"/>
      <c r="UJT60" s="53"/>
      <c r="UJU60" s="53"/>
      <c r="UJV60" s="53"/>
      <c r="UJW60" s="53"/>
      <c r="UJX60" s="53"/>
      <c r="UJY60" s="53"/>
      <c r="UJZ60" s="53"/>
      <c r="UKA60" s="53"/>
      <c r="UKB60" s="53"/>
      <c r="UKC60" s="53"/>
      <c r="UKD60" s="53"/>
      <c r="UKE60" s="53"/>
      <c r="UKF60" s="53"/>
      <c r="UKG60" s="53"/>
      <c r="UKH60" s="53"/>
      <c r="UKI60" s="53"/>
      <c r="UKJ60" s="53"/>
      <c r="UKK60" s="53"/>
      <c r="UKL60" s="53"/>
      <c r="UKM60" s="53"/>
      <c r="UKN60" s="53"/>
      <c r="UKO60" s="53"/>
      <c r="UKP60" s="53"/>
      <c r="UKQ60" s="53"/>
      <c r="UKR60" s="53"/>
      <c r="UKS60" s="53"/>
      <c r="UKT60" s="53"/>
      <c r="UKU60" s="53"/>
      <c r="UKV60" s="53"/>
      <c r="UKW60" s="53"/>
      <c r="UKX60" s="53"/>
      <c r="UKY60" s="53"/>
      <c r="UKZ60" s="53"/>
      <c r="ULA60" s="53"/>
      <c r="ULB60" s="53"/>
      <c r="ULC60" s="53"/>
      <c r="ULD60" s="53"/>
      <c r="ULE60" s="53"/>
      <c r="ULF60" s="53"/>
      <c r="ULG60" s="53"/>
      <c r="ULH60" s="53"/>
      <c r="ULI60" s="53"/>
      <c r="ULJ60" s="53"/>
      <c r="ULK60" s="53"/>
      <c r="ULL60" s="53"/>
      <c r="ULM60" s="53"/>
      <c r="ULN60" s="53"/>
      <c r="ULO60" s="53"/>
      <c r="ULP60" s="53"/>
      <c r="ULQ60" s="53"/>
      <c r="ULR60" s="53"/>
      <c r="ULS60" s="53"/>
      <c r="ULT60" s="53"/>
      <c r="ULU60" s="53"/>
      <c r="ULV60" s="53"/>
      <c r="ULW60" s="53"/>
      <c r="ULX60" s="53"/>
      <c r="ULY60" s="53"/>
      <c r="ULZ60" s="53"/>
      <c r="UMA60" s="53"/>
      <c r="UMB60" s="53"/>
      <c r="UMC60" s="53"/>
      <c r="UMD60" s="53"/>
      <c r="UME60" s="53"/>
      <c r="UMF60" s="53"/>
      <c r="UMG60" s="53"/>
      <c r="UMH60" s="53"/>
      <c r="UMI60" s="53"/>
      <c r="UMJ60" s="53"/>
      <c r="UMK60" s="53"/>
      <c r="UML60" s="53"/>
      <c r="UMM60" s="53"/>
      <c r="UMN60" s="53"/>
      <c r="UMO60" s="53"/>
      <c r="UMP60" s="53"/>
      <c r="UMQ60" s="53"/>
      <c r="UMR60" s="53"/>
      <c r="UMS60" s="53"/>
      <c r="UMT60" s="53"/>
      <c r="UMU60" s="53"/>
      <c r="UMV60" s="53"/>
      <c r="UMW60" s="53"/>
      <c r="UMX60" s="53"/>
      <c r="UMY60" s="53"/>
      <c r="UMZ60" s="53"/>
      <c r="UNA60" s="53"/>
      <c r="UNB60" s="53"/>
      <c r="UNC60" s="53"/>
      <c r="UND60" s="53"/>
      <c r="UNE60" s="53"/>
      <c r="UNF60" s="53"/>
      <c r="UNG60" s="53"/>
      <c r="UNH60" s="53"/>
      <c r="UNI60" s="53"/>
      <c r="UNJ60" s="53"/>
      <c r="UNK60" s="53"/>
      <c r="UNL60" s="53"/>
      <c r="UNM60" s="53"/>
      <c r="UNN60" s="53"/>
      <c r="UNO60" s="53"/>
      <c r="UNP60" s="53"/>
      <c r="UNQ60" s="53"/>
      <c r="UNR60" s="53"/>
      <c r="UNS60" s="53"/>
      <c r="UNT60" s="53"/>
      <c r="UNU60" s="53"/>
      <c r="UNV60" s="53"/>
      <c r="UNW60" s="53"/>
      <c r="UNX60" s="53"/>
      <c r="UNY60" s="53"/>
      <c r="UNZ60" s="53"/>
      <c r="UOA60" s="53"/>
      <c r="UOB60" s="53"/>
      <c r="UOC60" s="53"/>
      <c r="UOD60" s="53"/>
      <c r="UOE60" s="53"/>
      <c r="UOF60" s="53"/>
      <c r="UOG60" s="53"/>
      <c r="UOH60" s="53"/>
      <c r="UOI60" s="53"/>
      <c r="UOJ60" s="53"/>
      <c r="UOK60" s="53"/>
      <c r="UOL60" s="53"/>
      <c r="UOM60" s="53"/>
      <c r="UON60" s="53"/>
      <c r="UOO60" s="53"/>
      <c r="UOP60" s="53"/>
      <c r="UOQ60" s="53"/>
      <c r="UOR60" s="53"/>
      <c r="UOS60" s="53"/>
      <c r="UOT60" s="53"/>
      <c r="UOU60" s="53"/>
      <c r="UOV60" s="53"/>
      <c r="UOW60" s="53"/>
      <c r="UOX60" s="53"/>
      <c r="UOY60" s="53"/>
      <c r="UOZ60" s="53"/>
      <c r="UPA60" s="53"/>
      <c r="UPB60" s="53"/>
      <c r="UPC60" s="53"/>
      <c r="UPD60" s="53"/>
      <c r="UPE60" s="53"/>
      <c r="UPF60" s="53"/>
      <c r="UPG60" s="53"/>
      <c r="UPH60" s="53"/>
      <c r="UPI60" s="53"/>
      <c r="UPJ60" s="53"/>
      <c r="UPK60" s="53"/>
      <c r="UPL60" s="53"/>
      <c r="UPM60" s="53"/>
      <c r="UPN60" s="53"/>
      <c r="UPO60" s="53"/>
      <c r="UPP60" s="53"/>
      <c r="UPQ60" s="53"/>
      <c r="UPR60" s="53"/>
      <c r="UPS60" s="53"/>
      <c r="UPT60" s="53"/>
      <c r="UPU60" s="53"/>
      <c r="UPV60" s="53"/>
      <c r="UPW60" s="53"/>
      <c r="UPX60" s="53"/>
      <c r="UPY60" s="53"/>
      <c r="UPZ60" s="53"/>
      <c r="UQA60" s="53"/>
      <c r="UQB60" s="53"/>
      <c r="UQC60" s="53"/>
      <c r="UQD60" s="53"/>
      <c r="UQE60" s="53"/>
      <c r="UQF60" s="53"/>
      <c r="UQG60" s="53"/>
      <c r="UQH60" s="53"/>
      <c r="UQI60" s="53"/>
      <c r="UQJ60" s="53"/>
      <c r="UQK60" s="53"/>
      <c r="UQL60" s="53"/>
      <c r="UQM60" s="53"/>
      <c r="UQN60" s="53"/>
      <c r="UQO60" s="53"/>
      <c r="UQP60" s="53"/>
      <c r="UQQ60" s="53"/>
      <c r="UQR60" s="53"/>
      <c r="UQS60" s="53"/>
      <c r="UQT60" s="53"/>
      <c r="UQU60" s="53"/>
      <c r="UQV60" s="53"/>
      <c r="UQW60" s="53"/>
      <c r="UQX60" s="53"/>
      <c r="UQY60" s="53"/>
      <c r="UQZ60" s="53"/>
      <c r="URA60" s="53"/>
      <c r="URB60" s="53"/>
      <c r="URC60" s="53"/>
      <c r="URD60" s="53"/>
      <c r="URE60" s="53"/>
      <c r="URF60" s="53"/>
      <c r="URG60" s="53"/>
      <c r="URH60" s="53"/>
      <c r="URI60" s="53"/>
      <c r="URJ60" s="53"/>
      <c r="URK60" s="53"/>
      <c r="URL60" s="53"/>
      <c r="URM60" s="53"/>
      <c r="URN60" s="53"/>
      <c r="URO60" s="53"/>
      <c r="URP60" s="53"/>
      <c r="URQ60" s="53"/>
      <c r="URR60" s="53"/>
      <c r="URS60" s="53"/>
      <c r="URT60" s="53"/>
      <c r="URU60" s="53"/>
      <c r="URV60" s="53"/>
      <c r="URW60" s="53"/>
      <c r="URX60" s="53"/>
      <c r="URY60" s="53"/>
      <c r="URZ60" s="53"/>
      <c r="USA60" s="53"/>
      <c r="USB60" s="53"/>
      <c r="USC60" s="53"/>
      <c r="USD60" s="53"/>
      <c r="USE60" s="53"/>
      <c r="USF60" s="53"/>
      <c r="USG60" s="53"/>
      <c r="USH60" s="53"/>
      <c r="USI60" s="53"/>
      <c r="USJ60" s="53"/>
      <c r="USK60" s="53"/>
      <c r="USL60" s="53"/>
      <c r="USM60" s="53"/>
      <c r="USN60" s="53"/>
      <c r="USO60" s="53"/>
      <c r="USP60" s="53"/>
      <c r="USQ60" s="53"/>
      <c r="USR60" s="53"/>
      <c r="USS60" s="53"/>
      <c r="UST60" s="53"/>
      <c r="USU60" s="53"/>
      <c r="USV60" s="53"/>
      <c r="USW60" s="53"/>
      <c r="USX60" s="53"/>
      <c r="USY60" s="53"/>
      <c r="USZ60" s="53"/>
      <c r="UTA60" s="53"/>
      <c r="UTB60" s="53"/>
      <c r="UTC60" s="53"/>
      <c r="UTD60" s="53"/>
      <c r="UTE60" s="53"/>
      <c r="UTF60" s="53"/>
      <c r="UTG60" s="53"/>
      <c r="UTH60" s="53"/>
      <c r="UTI60" s="53"/>
      <c r="UTJ60" s="53"/>
      <c r="UTK60" s="53"/>
      <c r="UTL60" s="53"/>
      <c r="UTM60" s="53"/>
      <c r="UTN60" s="53"/>
      <c r="UTO60" s="53"/>
      <c r="UTP60" s="53"/>
      <c r="UTQ60" s="53"/>
      <c r="UTR60" s="53"/>
      <c r="UTS60" s="53"/>
      <c r="UTT60" s="53"/>
      <c r="UTU60" s="53"/>
      <c r="UTV60" s="53"/>
      <c r="UTW60" s="53"/>
      <c r="UTX60" s="53"/>
      <c r="UTY60" s="53"/>
      <c r="UTZ60" s="53"/>
      <c r="UUA60" s="53"/>
      <c r="UUB60" s="53"/>
      <c r="UUC60" s="53"/>
      <c r="UUD60" s="53"/>
      <c r="UUE60" s="53"/>
      <c r="UUF60" s="53"/>
      <c r="UUG60" s="53"/>
      <c r="UUH60" s="53"/>
      <c r="UUI60" s="53"/>
      <c r="UUJ60" s="53"/>
      <c r="UUK60" s="53"/>
      <c r="UUL60" s="53"/>
      <c r="UUM60" s="53"/>
      <c r="UUN60" s="53"/>
      <c r="UUO60" s="53"/>
      <c r="UUP60" s="53"/>
      <c r="UUQ60" s="53"/>
      <c r="UUR60" s="53"/>
      <c r="UUS60" s="53"/>
      <c r="UUT60" s="53"/>
      <c r="UUU60" s="53"/>
      <c r="UUV60" s="53"/>
      <c r="UUW60" s="53"/>
      <c r="UUX60" s="53"/>
      <c r="UUY60" s="53"/>
      <c r="UUZ60" s="53"/>
      <c r="UVA60" s="53"/>
      <c r="UVB60" s="53"/>
      <c r="UVC60" s="53"/>
      <c r="UVD60" s="53"/>
      <c r="UVE60" s="53"/>
      <c r="UVF60" s="53"/>
      <c r="UVG60" s="53"/>
      <c r="UVH60" s="53"/>
      <c r="UVI60" s="53"/>
      <c r="UVJ60" s="53"/>
      <c r="UVK60" s="53"/>
      <c r="UVL60" s="53"/>
      <c r="UVM60" s="53"/>
      <c r="UVN60" s="53"/>
      <c r="UVO60" s="53"/>
      <c r="UVP60" s="53"/>
      <c r="UVQ60" s="53"/>
      <c r="UVR60" s="53"/>
      <c r="UVS60" s="53"/>
      <c r="UVT60" s="53"/>
      <c r="UVU60" s="53"/>
      <c r="UVV60" s="53"/>
      <c r="UVW60" s="53"/>
      <c r="UVX60" s="53"/>
      <c r="UVY60" s="53"/>
      <c r="UVZ60" s="53"/>
      <c r="UWA60" s="53"/>
      <c r="UWB60" s="53"/>
      <c r="UWC60" s="53"/>
      <c r="UWD60" s="53"/>
      <c r="UWE60" s="53"/>
      <c r="UWF60" s="53"/>
      <c r="UWG60" s="53"/>
      <c r="UWH60" s="53"/>
      <c r="UWI60" s="53"/>
      <c r="UWJ60" s="53"/>
      <c r="UWK60" s="53"/>
      <c r="UWL60" s="53"/>
      <c r="UWM60" s="53"/>
      <c r="UWN60" s="53"/>
      <c r="UWO60" s="53"/>
      <c r="UWP60" s="53"/>
      <c r="UWQ60" s="53"/>
      <c r="UWR60" s="53"/>
      <c r="UWS60" s="53"/>
      <c r="UWT60" s="53"/>
      <c r="UWU60" s="53"/>
      <c r="UWV60" s="53"/>
      <c r="UWW60" s="53"/>
      <c r="UWX60" s="53"/>
      <c r="UWY60" s="53"/>
      <c r="UWZ60" s="53"/>
      <c r="UXA60" s="53"/>
      <c r="UXB60" s="53"/>
      <c r="UXC60" s="53"/>
      <c r="UXD60" s="53"/>
      <c r="UXE60" s="53"/>
      <c r="UXF60" s="53"/>
      <c r="UXG60" s="53"/>
      <c r="UXH60" s="53"/>
      <c r="UXI60" s="53"/>
      <c r="UXJ60" s="53"/>
      <c r="UXK60" s="53"/>
      <c r="UXL60" s="53"/>
      <c r="UXM60" s="53"/>
      <c r="UXN60" s="53"/>
      <c r="UXO60" s="53"/>
      <c r="UXP60" s="53"/>
      <c r="UXQ60" s="53"/>
      <c r="UXR60" s="53"/>
      <c r="UXS60" s="53"/>
      <c r="UXT60" s="53"/>
      <c r="UXU60" s="53"/>
      <c r="UXV60" s="53"/>
      <c r="UXW60" s="53"/>
      <c r="UXX60" s="53"/>
      <c r="UXY60" s="53"/>
      <c r="UXZ60" s="53"/>
      <c r="UYA60" s="53"/>
      <c r="UYB60" s="53"/>
      <c r="UYC60" s="53"/>
      <c r="UYD60" s="53"/>
      <c r="UYE60" s="53"/>
      <c r="UYF60" s="53"/>
      <c r="UYG60" s="53"/>
      <c r="UYH60" s="53"/>
      <c r="UYI60" s="53"/>
      <c r="UYJ60" s="53"/>
      <c r="UYK60" s="53"/>
      <c r="UYL60" s="53"/>
      <c r="UYM60" s="53"/>
      <c r="UYN60" s="53"/>
      <c r="UYO60" s="53"/>
      <c r="UYP60" s="53"/>
      <c r="UYQ60" s="53"/>
      <c r="UYR60" s="53"/>
      <c r="UYS60" s="53"/>
      <c r="UYT60" s="53"/>
      <c r="UYU60" s="53"/>
      <c r="UYV60" s="53"/>
      <c r="UYW60" s="53"/>
      <c r="UYX60" s="53"/>
      <c r="UYY60" s="53"/>
      <c r="UYZ60" s="53"/>
      <c r="UZA60" s="53"/>
      <c r="UZB60" s="53"/>
      <c r="UZC60" s="53"/>
      <c r="UZD60" s="53"/>
      <c r="UZE60" s="53"/>
      <c r="UZF60" s="53"/>
      <c r="UZG60" s="53"/>
      <c r="UZH60" s="53"/>
      <c r="UZI60" s="53"/>
      <c r="UZJ60" s="53"/>
      <c r="UZK60" s="53"/>
      <c r="UZL60" s="53"/>
      <c r="UZM60" s="53"/>
      <c r="UZN60" s="53"/>
      <c r="UZO60" s="53"/>
      <c r="UZP60" s="53"/>
      <c r="UZQ60" s="53"/>
      <c r="UZR60" s="53"/>
      <c r="UZS60" s="53"/>
      <c r="UZT60" s="53"/>
      <c r="UZU60" s="53"/>
      <c r="UZV60" s="53"/>
      <c r="UZW60" s="53"/>
      <c r="UZX60" s="53"/>
      <c r="UZY60" s="53"/>
      <c r="UZZ60" s="53"/>
      <c r="VAA60" s="53"/>
      <c r="VAB60" s="53"/>
      <c r="VAC60" s="53"/>
      <c r="VAD60" s="53"/>
      <c r="VAE60" s="53"/>
      <c r="VAF60" s="53"/>
      <c r="VAG60" s="53"/>
      <c r="VAH60" s="53"/>
      <c r="VAI60" s="53"/>
      <c r="VAJ60" s="53"/>
      <c r="VAK60" s="53"/>
      <c r="VAL60" s="53"/>
      <c r="VAM60" s="53"/>
      <c r="VAN60" s="53"/>
      <c r="VAO60" s="53"/>
      <c r="VAP60" s="53"/>
      <c r="VAQ60" s="53"/>
      <c r="VAR60" s="53"/>
      <c r="VAS60" s="53"/>
      <c r="VAT60" s="53"/>
      <c r="VAU60" s="53"/>
      <c r="VAV60" s="53"/>
      <c r="VAW60" s="53"/>
      <c r="VAX60" s="53"/>
      <c r="VAY60" s="53"/>
      <c r="VAZ60" s="53"/>
      <c r="VBA60" s="53"/>
      <c r="VBB60" s="53"/>
      <c r="VBC60" s="53"/>
      <c r="VBD60" s="53"/>
      <c r="VBE60" s="53"/>
      <c r="VBF60" s="53"/>
      <c r="VBG60" s="53"/>
      <c r="VBH60" s="53"/>
      <c r="VBI60" s="53"/>
      <c r="VBJ60" s="53"/>
      <c r="VBK60" s="53"/>
      <c r="VBL60" s="53"/>
      <c r="VBM60" s="53"/>
      <c r="VBN60" s="53"/>
      <c r="VBO60" s="53"/>
      <c r="VBP60" s="53"/>
      <c r="VBQ60" s="53"/>
      <c r="VBR60" s="53"/>
      <c r="VBS60" s="53"/>
      <c r="VBT60" s="53"/>
      <c r="VBU60" s="53"/>
      <c r="VBV60" s="53"/>
      <c r="VBW60" s="53"/>
      <c r="VBX60" s="53"/>
      <c r="VBY60" s="53"/>
      <c r="VBZ60" s="53"/>
      <c r="VCA60" s="53"/>
      <c r="VCB60" s="53"/>
      <c r="VCC60" s="53"/>
      <c r="VCD60" s="53"/>
      <c r="VCE60" s="53"/>
      <c r="VCF60" s="53"/>
      <c r="VCG60" s="53"/>
      <c r="VCH60" s="53"/>
      <c r="VCI60" s="53"/>
      <c r="VCJ60" s="53"/>
      <c r="VCK60" s="53"/>
      <c r="VCL60" s="53"/>
      <c r="VCM60" s="53"/>
      <c r="VCN60" s="53"/>
      <c r="VCO60" s="53"/>
      <c r="VCP60" s="53"/>
      <c r="VCQ60" s="53"/>
      <c r="VCR60" s="53"/>
      <c r="VCS60" s="53"/>
      <c r="VCT60" s="53"/>
      <c r="VCU60" s="53"/>
      <c r="VCV60" s="53"/>
      <c r="VCW60" s="53"/>
      <c r="VCX60" s="53"/>
      <c r="VCY60" s="53"/>
      <c r="VCZ60" s="53"/>
      <c r="VDA60" s="53"/>
      <c r="VDB60" s="53"/>
      <c r="VDC60" s="53"/>
      <c r="VDD60" s="53"/>
      <c r="VDE60" s="53"/>
      <c r="VDF60" s="53"/>
      <c r="VDG60" s="53"/>
      <c r="VDH60" s="53"/>
      <c r="VDI60" s="53"/>
      <c r="VDJ60" s="53"/>
      <c r="VDK60" s="53"/>
      <c r="VDL60" s="53"/>
      <c r="VDM60" s="53"/>
      <c r="VDN60" s="53"/>
      <c r="VDO60" s="53"/>
      <c r="VDP60" s="53"/>
      <c r="VDQ60" s="53"/>
      <c r="VDR60" s="53"/>
      <c r="VDS60" s="53"/>
      <c r="VDT60" s="53"/>
      <c r="VDU60" s="53"/>
      <c r="VDV60" s="53"/>
      <c r="VDW60" s="53"/>
      <c r="VDX60" s="53"/>
      <c r="VDY60" s="53"/>
      <c r="VDZ60" s="53"/>
      <c r="VEA60" s="53"/>
      <c r="VEB60" s="53"/>
      <c r="VEC60" s="53"/>
      <c r="VED60" s="53"/>
      <c r="VEE60" s="53"/>
      <c r="VEF60" s="53"/>
      <c r="VEG60" s="53"/>
      <c r="VEH60" s="53"/>
      <c r="VEI60" s="53"/>
      <c r="VEJ60" s="53"/>
      <c r="VEK60" s="53"/>
      <c r="VEL60" s="53"/>
      <c r="VEM60" s="53"/>
      <c r="VEN60" s="53"/>
      <c r="VEO60" s="53"/>
      <c r="VEP60" s="53"/>
      <c r="VEQ60" s="53"/>
      <c r="VER60" s="53"/>
      <c r="VES60" s="53"/>
      <c r="VET60" s="53"/>
      <c r="VEU60" s="53"/>
      <c r="VEV60" s="53"/>
      <c r="VEW60" s="53"/>
      <c r="VEX60" s="53"/>
      <c r="VEY60" s="53"/>
      <c r="VEZ60" s="53"/>
      <c r="VFA60" s="53"/>
      <c r="VFB60" s="53"/>
      <c r="VFC60" s="53"/>
      <c r="VFD60" s="53"/>
      <c r="VFE60" s="53"/>
      <c r="VFF60" s="53"/>
      <c r="VFG60" s="53"/>
      <c r="VFH60" s="53"/>
      <c r="VFI60" s="53"/>
      <c r="VFJ60" s="53"/>
      <c r="VFK60" s="53"/>
      <c r="VFL60" s="53"/>
      <c r="VFM60" s="53"/>
      <c r="VFN60" s="53"/>
      <c r="VFO60" s="53"/>
      <c r="VFP60" s="53"/>
      <c r="VFQ60" s="53"/>
      <c r="VFR60" s="53"/>
      <c r="VFS60" s="53"/>
      <c r="VFT60" s="53"/>
      <c r="VFU60" s="53"/>
      <c r="VFV60" s="53"/>
      <c r="VFW60" s="53"/>
      <c r="VFX60" s="53"/>
      <c r="VFY60" s="53"/>
      <c r="VFZ60" s="53"/>
      <c r="VGA60" s="53"/>
      <c r="VGB60" s="53"/>
      <c r="VGC60" s="53"/>
      <c r="VGD60" s="53"/>
      <c r="VGE60" s="53"/>
      <c r="VGF60" s="53"/>
      <c r="VGG60" s="53"/>
      <c r="VGH60" s="53"/>
      <c r="VGI60" s="53"/>
      <c r="VGJ60" s="53"/>
      <c r="VGK60" s="53"/>
      <c r="VGL60" s="53"/>
      <c r="VGM60" s="53"/>
      <c r="VGN60" s="53"/>
      <c r="VGO60" s="53"/>
      <c r="VGP60" s="53"/>
      <c r="VGQ60" s="53"/>
      <c r="VGR60" s="53"/>
      <c r="VGS60" s="53"/>
      <c r="VGT60" s="53"/>
      <c r="VGU60" s="53"/>
      <c r="VGV60" s="53"/>
      <c r="VGW60" s="53"/>
      <c r="VGX60" s="53"/>
      <c r="VGY60" s="53"/>
      <c r="VGZ60" s="53"/>
      <c r="VHA60" s="53"/>
      <c r="VHB60" s="53"/>
      <c r="VHC60" s="53"/>
      <c r="VHD60" s="53"/>
      <c r="VHE60" s="53"/>
      <c r="VHF60" s="53"/>
      <c r="VHG60" s="53"/>
      <c r="VHH60" s="53"/>
      <c r="VHI60" s="53"/>
      <c r="VHJ60" s="53"/>
      <c r="VHK60" s="53"/>
      <c r="VHL60" s="53"/>
      <c r="VHM60" s="53"/>
      <c r="VHN60" s="53"/>
      <c r="VHO60" s="53"/>
      <c r="VHP60" s="53"/>
      <c r="VHQ60" s="53"/>
      <c r="VHR60" s="53"/>
      <c r="VHS60" s="53"/>
      <c r="VHT60" s="53"/>
      <c r="VHU60" s="53"/>
      <c r="VHV60" s="53"/>
      <c r="VHW60" s="53"/>
      <c r="VHX60" s="53"/>
      <c r="VHY60" s="53"/>
      <c r="VHZ60" s="53"/>
      <c r="VIA60" s="53"/>
      <c r="VIB60" s="53"/>
      <c r="VIC60" s="53"/>
      <c r="VID60" s="53"/>
      <c r="VIE60" s="53"/>
      <c r="VIF60" s="53"/>
      <c r="VIG60" s="53"/>
      <c r="VIH60" s="53"/>
      <c r="VII60" s="53"/>
      <c r="VIJ60" s="53"/>
      <c r="VIK60" s="53"/>
      <c r="VIL60" s="53"/>
      <c r="VIM60" s="53"/>
      <c r="VIN60" s="53"/>
      <c r="VIO60" s="53"/>
      <c r="VIP60" s="53"/>
      <c r="VIQ60" s="53"/>
      <c r="VIR60" s="53"/>
      <c r="VIS60" s="53"/>
      <c r="VIT60" s="53"/>
      <c r="VIU60" s="53"/>
      <c r="VIV60" s="53"/>
      <c r="VIW60" s="53"/>
      <c r="VIX60" s="53"/>
      <c r="VIY60" s="53"/>
      <c r="VIZ60" s="53"/>
      <c r="VJA60" s="53"/>
      <c r="VJB60" s="53"/>
      <c r="VJC60" s="53"/>
      <c r="VJD60" s="53"/>
      <c r="VJE60" s="53"/>
      <c r="VJF60" s="53"/>
      <c r="VJG60" s="53"/>
      <c r="VJH60" s="53"/>
      <c r="VJI60" s="53"/>
      <c r="VJJ60" s="53"/>
      <c r="VJK60" s="53"/>
      <c r="VJL60" s="53"/>
      <c r="VJM60" s="53"/>
      <c r="VJN60" s="53"/>
      <c r="VJO60" s="53"/>
      <c r="VJP60" s="53"/>
      <c r="VJQ60" s="53"/>
      <c r="VJR60" s="53"/>
      <c r="VJS60" s="53"/>
      <c r="VJT60" s="53"/>
      <c r="VJU60" s="53"/>
      <c r="VJV60" s="53"/>
      <c r="VJW60" s="53"/>
      <c r="VJX60" s="53"/>
      <c r="VJY60" s="53"/>
      <c r="VJZ60" s="53"/>
      <c r="VKA60" s="53"/>
      <c r="VKB60" s="53"/>
      <c r="VKC60" s="53"/>
      <c r="VKD60" s="53"/>
      <c r="VKE60" s="53"/>
      <c r="VKF60" s="53"/>
      <c r="VKG60" s="53"/>
      <c r="VKH60" s="53"/>
      <c r="VKI60" s="53"/>
      <c r="VKJ60" s="53"/>
      <c r="VKK60" s="53"/>
      <c r="VKL60" s="53"/>
      <c r="VKM60" s="53"/>
      <c r="VKN60" s="53"/>
      <c r="VKO60" s="53"/>
      <c r="VKP60" s="53"/>
      <c r="VKQ60" s="53"/>
      <c r="VKR60" s="53"/>
      <c r="VKS60" s="53"/>
      <c r="VKT60" s="53"/>
      <c r="VKU60" s="53"/>
      <c r="VKV60" s="53"/>
      <c r="VKW60" s="53"/>
      <c r="VKX60" s="53"/>
      <c r="VKY60" s="53"/>
      <c r="VKZ60" s="53"/>
      <c r="VLA60" s="53"/>
      <c r="VLB60" s="53"/>
      <c r="VLC60" s="53"/>
      <c r="VLD60" s="53"/>
      <c r="VLE60" s="53"/>
      <c r="VLF60" s="53"/>
      <c r="VLG60" s="53"/>
      <c r="VLH60" s="53"/>
      <c r="VLI60" s="53"/>
      <c r="VLJ60" s="53"/>
      <c r="VLK60" s="53"/>
      <c r="VLL60" s="53"/>
      <c r="VLM60" s="53"/>
      <c r="VLN60" s="53"/>
      <c r="VLO60" s="53"/>
      <c r="VLP60" s="53"/>
      <c r="VLQ60" s="53"/>
      <c r="VLR60" s="53"/>
      <c r="VLS60" s="53"/>
      <c r="VLT60" s="53"/>
      <c r="VLU60" s="53"/>
      <c r="VLV60" s="53"/>
      <c r="VLW60" s="53"/>
      <c r="VLX60" s="53"/>
      <c r="VLY60" s="53"/>
      <c r="VLZ60" s="53"/>
      <c r="VMA60" s="53"/>
      <c r="VMB60" s="53"/>
      <c r="VMC60" s="53"/>
      <c r="VMD60" s="53"/>
      <c r="VME60" s="53"/>
      <c r="VMF60" s="53"/>
      <c r="VMG60" s="53"/>
      <c r="VMH60" s="53"/>
      <c r="VMI60" s="53"/>
      <c r="VMJ60" s="53"/>
      <c r="VMK60" s="53"/>
      <c r="VML60" s="53"/>
      <c r="VMM60" s="53"/>
      <c r="VMN60" s="53"/>
      <c r="VMO60" s="53"/>
      <c r="VMP60" s="53"/>
      <c r="VMQ60" s="53"/>
      <c r="VMR60" s="53"/>
      <c r="VMS60" s="53"/>
      <c r="VMT60" s="53"/>
      <c r="VMU60" s="53"/>
      <c r="VMV60" s="53"/>
      <c r="VMW60" s="53"/>
      <c r="VMX60" s="53"/>
      <c r="VMY60" s="53"/>
      <c r="VMZ60" s="53"/>
      <c r="VNA60" s="53"/>
      <c r="VNB60" s="53"/>
      <c r="VNC60" s="53"/>
      <c r="VND60" s="53"/>
      <c r="VNE60" s="53"/>
      <c r="VNF60" s="53"/>
      <c r="VNG60" s="53"/>
      <c r="VNH60" s="53"/>
      <c r="VNI60" s="53"/>
      <c r="VNJ60" s="53"/>
      <c r="VNK60" s="53"/>
      <c r="VNL60" s="53"/>
      <c r="VNM60" s="53"/>
      <c r="VNN60" s="53"/>
      <c r="VNO60" s="53"/>
      <c r="VNP60" s="53"/>
      <c r="VNQ60" s="53"/>
      <c r="VNR60" s="53"/>
      <c r="VNS60" s="53"/>
      <c r="VNT60" s="53"/>
      <c r="VNU60" s="53"/>
      <c r="VNV60" s="53"/>
      <c r="VNW60" s="53"/>
      <c r="VNX60" s="53"/>
      <c r="VNY60" s="53"/>
      <c r="VNZ60" s="53"/>
      <c r="VOA60" s="53"/>
      <c r="VOB60" s="53"/>
      <c r="VOC60" s="53"/>
      <c r="VOD60" s="53"/>
      <c r="VOE60" s="53"/>
      <c r="VOF60" s="53"/>
      <c r="VOG60" s="53"/>
      <c r="VOH60" s="53"/>
      <c r="VOI60" s="53"/>
      <c r="VOJ60" s="53"/>
      <c r="VOK60" s="53"/>
      <c r="VOL60" s="53"/>
      <c r="VOM60" s="53"/>
      <c r="VON60" s="53"/>
      <c r="VOO60" s="53"/>
      <c r="VOP60" s="53"/>
      <c r="VOQ60" s="53"/>
      <c r="VOR60" s="53"/>
      <c r="VOS60" s="53"/>
      <c r="VOT60" s="53"/>
      <c r="VOU60" s="53"/>
      <c r="VOV60" s="53"/>
      <c r="VOW60" s="53"/>
      <c r="VOX60" s="53"/>
      <c r="VOY60" s="53"/>
      <c r="VOZ60" s="53"/>
      <c r="VPA60" s="53"/>
      <c r="VPB60" s="53"/>
      <c r="VPC60" s="53"/>
      <c r="VPD60" s="53"/>
      <c r="VPE60" s="53"/>
      <c r="VPF60" s="53"/>
      <c r="VPG60" s="53"/>
      <c r="VPH60" s="53"/>
      <c r="VPI60" s="53"/>
      <c r="VPJ60" s="53"/>
      <c r="VPK60" s="53"/>
      <c r="VPL60" s="53"/>
      <c r="VPM60" s="53"/>
      <c r="VPN60" s="53"/>
      <c r="VPO60" s="53"/>
      <c r="VPP60" s="53"/>
      <c r="VPQ60" s="53"/>
      <c r="VPR60" s="53"/>
      <c r="VPS60" s="53"/>
      <c r="VPT60" s="53"/>
      <c r="VPU60" s="53"/>
      <c r="VPV60" s="53"/>
      <c r="VPW60" s="53"/>
      <c r="VPX60" s="53"/>
      <c r="VPY60" s="53"/>
      <c r="VPZ60" s="53"/>
      <c r="VQA60" s="53"/>
      <c r="VQB60" s="53"/>
      <c r="VQC60" s="53"/>
      <c r="VQD60" s="53"/>
      <c r="VQE60" s="53"/>
      <c r="VQF60" s="53"/>
      <c r="VQG60" s="53"/>
      <c r="VQH60" s="53"/>
      <c r="VQI60" s="53"/>
      <c r="VQJ60" s="53"/>
      <c r="VQK60" s="53"/>
      <c r="VQL60" s="53"/>
      <c r="VQM60" s="53"/>
      <c r="VQN60" s="53"/>
      <c r="VQO60" s="53"/>
      <c r="VQP60" s="53"/>
      <c r="VQQ60" s="53"/>
      <c r="VQR60" s="53"/>
      <c r="VQS60" s="53"/>
      <c r="VQT60" s="53"/>
      <c r="VQU60" s="53"/>
      <c r="VQV60" s="53"/>
      <c r="VQW60" s="53"/>
      <c r="VQX60" s="53"/>
      <c r="VQY60" s="53"/>
      <c r="VQZ60" s="53"/>
      <c r="VRA60" s="53"/>
      <c r="VRB60" s="53"/>
      <c r="VRC60" s="53"/>
      <c r="VRD60" s="53"/>
      <c r="VRE60" s="53"/>
      <c r="VRF60" s="53"/>
      <c r="VRG60" s="53"/>
      <c r="VRH60" s="53"/>
      <c r="VRI60" s="53"/>
      <c r="VRJ60" s="53"/>
      <c r="VRK60" s="53"/>
      <c r="VRL60" s="53"/>
      <c r="VRM60" s="53"/>
      <c r="VRN60" s="53"/>
      <c r="VRO60" s="53"/>
      <c r="VRP60" s="53"/>
      <c r="VRQ60" s="53"/>
      <c r="VRR60" s="53"/>
      <c r="VRS60" s="53"/>
      <c r="VRT60" s="53"/>
      <c r="VRU60" s="53"/>
      <c r="VRV60" s="53"/>
      <c r="VRW60" s="53"/>
      <c r="VRX60" s="53"/>
      <c r="VRY60" s="53"/>
      <c r="VRZ60" s="53"/>
      <c r="VSA60" s="53"/>
      <c r="VSB60" s="53"/>
      <c r="VSC60" s="53"/>
      <c r="VSD60" s="53"/>
      <c r="VSE60" s="53"/>
      <c r="VSF60" s="53"/>
      <c r="VSG60" s="53"/>
      <c r="VSH60" s="53"/>
      <c r="VSI60" s="53"/>
      <c r="VSJ60" s="53"/>
      <c r="VSK60" s="53"/>
      <c r="VSL60" s="53"/>
      <c r="VSM60" s="53"/>
      <c r="VSN60" s="53"/>
      <c r="VSO60" s="53"/>
      <c r="VSP60" s="53"/>
      <c r="VSQ60" s="53"/>
      <c r="VSR60" s="53"/>
      <c r="VSS60" s="53"/>
      <c r="VST60" s="53"/>
      <c r="VSU60" s="53"/>
      <c r="VSV60" s="53"/>
      <c r="VSW60" s="53"/>
      <c r="VSX60" s="53"/>
      <c r="VSY60" s="53"/>
      <c r="VSZ60" s="53"/>
      <c r="VTA60" s="53"/>
      <c r="VTB60" s="53"/>
      <c r="VTC60" s="53"/>
      <c r="VTD60" s="53"/>
      <c r="VTE60" s="53"/>
      <c r="VTF60" s="53"/>
      <c r="VTG60" s="53"/>
      <c r="VTH60" s="53"/>
      <c r="VTI60" s="53"/>
      <c r="VTJ60" s="53"/>
      <c r="VTK60" s="53"/>
      <c r="VTL60" s="53"/>
      <c r="VTM60" s="53"/>
      <c r="VTN60" s="53"/>
      <c r="VTO60" s="53"/>
      <c r="VTP60" s="53"/>
      <c r="VTQ60" s="53"/>
      <c r="VTR60" s="53"/>
      <c r="VTS60" s="53"/>
      <c r="VTT60" s="53"/>
      <c r="VTU60" s="53"/>
      <c r="VTV60" s="53"/>
      <c r="VTW60" s="53"/>
      <c r="VTX60" s="53"/>
      <c r="VTY60" s="53"/>
      <c r="VTZ60" s="53"/>
      <c r="VUA60" s="53"/>
      <c r="VUB60" s="53"/>
      <c r="VUC60" s="53"/>
      <c r="VUD60" s="53"/>
      <c r="VUE60" s="53"/>
      <c r="VUF60" s="53"/>
      <c r="VUG60" s="53"/>
      <c r="VUH60" s="53"/>
      <c r="VUI60" s="53"/>
      <c r="VUJ60" s="53"/>
      <c r="VUK60" s="53"/>
      <c r="VUL60" s="53"/>
      <c r="VUM60" s="53"/>
      <c r="VUN60" s="53"/>
      <c r="VUO60" s="53"/>
      <c r="VUP60" s="53"/>
      <c r="VUQ60" s="53"/>
      <c r="VUR60" s="53"/>
      <c r="VUS60" s="53"/>
      <c r="VUT60" s="53"/>
      <c r="VUU60" s="53"/>
      <c r="VUV60" s="53"/>
      <c r="VUW60" s="53"/>
      <c r="VUX60" s="53"/>
      <c r="VUY60" s="53"/>
      <c r="VUZ60" s="53"/>
      <c r="VVA60" s="53"/>
      <c r="VVB60" s="53"/>
      <c r="VVC60" s="53"/>
      <c r="VVD60" s="53"/>
      <c r="VVE60" s="53"/>
      <c r="VVF60" s="53"/>
      <c r="VVG60" s="53"/>
      <c r="VVH60" s="53"/>
      <c r="VVI60" s="53"/>
      <c r="VVJ60" s="53"/>
      <c r="VVK60" s="53"/>
      <c r="VVL60" s="53"/>
      <c r="VVM60" s="53"/>
      <c r="VVN60" s="53"/>
      <c r="VVO60" s="53"/>
      <c r="VVP60" s="53"/>
      <c r="VVQ60" s="53"/>
      <c r="VVR60" s="53"/>
      <c r="VVS60" s="53"/>
      <c r="VVT60" s="53"/>
      <c r="VVU60" s="53"/>
      <c r="VVV60" s="53"/>
      <c r="VVW60" s="53"/>
      <c r="VVX60" s="53"/>
      <c r="VVY60" s="53"/>
      <c r="VVZ60" s="53"/>
      <c r="VWA60" s="53"/>
      <c r="VWB60" s="53"/>
      <c r="VWC60" s="53"/>
      <c r="VWD60" s="53"/>
      <c r="VWE60" s="53"/>
      <c r="VWF60" s="53"/>
      <c r="VWG60" s="53"/>
      <c r="VWH60" s="53"/>
      <c r="VWI60" s="53"/>
      <c r="VWJ60" s="53"/>
      <c r="VWK60" s="53"/>
      <c r="VWL60" s="53"/>
      <c r="VWM60" s="53"/>
      <c r="VWN60" s="53"/>
      <c r="VWO60" s="53"/>
      <c r="VWP60" s="53"/>
      <c r="VWQ60" s="53"/>
      <c r="VWR60" s="53"/>
      <c r="VWS60" s="53"/>
      <c r="VWT60" s="53"/>
      <c r="VWU60" s="53"/>
      <c r="VWV60" s="53"/>
      <c r="VWW60" s="53"/>
      <c r="VWX60" s="53"/>
      <c r="VWY60" s="53"/>
      <c r="VWZ60" s="53"/>
      <c r="VXA60" s="53"/>
      <c r="VXB60" s="53"/>
      <c r="VXC60" s="53"/>
      <c r="VXD60" s="53"/>
      <c r="VXE60" s="53"/>
      <c r="VXF60" s="53"/>
      <c r="VXG60" s="53"/>
      <c r="VXH60" s="53"/>
      <c r="VXI60" s="53"/>
      <c r="VXJ60" s="53"/>
      <c r="VXK60" s="53"/>
      <c r="VXL60" s="53"/>
      <c r="VXM60" s="53"/>
      <c r="VXN60" s="53"/>
      <c r="VXO60" s="53"/>
      <c r="VXP60" s="53"/>
      <c r="VXQ60" s="53"/>
      <c r="VXR60" s="53"/>
      <c r="VXS60" s="53"/>
      <c r="VXT60" s="53"/>
      <c r="VXU60" s="53"/>
      <c r="VXV60" s="53"/>
      <c r="VXW60" s="53"/>
      <c r="VXX60" s="53"/>
      <c r="VXY60" s="53"/>
      <c r="VXZ60" s="53"/>
      <c r="VYA60" s="53"/>
      <c r="VYB60" s="53"/>
      <c r="VYC60" s="53"/>
      <c r="VYD60" s="53"/>
      <c r="VYE60" s="53"/>
      <c r="VYF60" s="53"/>
      <c r="VYG60" s="53"/>
      <c r="VYH60" s="53"/>
      <c r="VYI60" s="53"/>
      <c r="VYJ60" s="53"/>
      <c r="VYK60" s="53"/>
      <c r="VYL60" s="53"/>
      <c r="VYM60" s="53"/>
      <c r="VYN60" s="53"/>
      <c r="VYO60" s="53"/>
      <c r="VYP60" s="53"/>
      <c r="VYQ60" s="53"/>
      <c r="VYR60" s="53"/>
      <c r="VYS60" s="53"/>
      <c r="VYT60" s="53"/>
      <c r="VYU60" s="53"/>
      <c r="VYV60" s="53"/>
      <c r="VYW60" s="53"/>
      <c r="VYX60" s="53"/>
      <c r="VYY60" s="53"/>
      <c r="VYZ60" s="53"/>
      <c r="VZA60" s="53"/>
      <c r="VZB60" s="53"/>
      <c r="VZC60" s="53"/>
      <c r="VZD60" s="53"/>
      <c r="VZE60" s="53"/>
      <c r="VZF60" s="53"/>
      <c r="VZG60" s="53"/>
      <c r="VZH60" s="53"/>
      <c r="VZI60" s="53"/>
      <c r="VZJ60" s="53"/>
      <c r="VZK60" s="53"/>
      <c r="VZL60" s="53"/>
      <c r="VZM60" s="53"/>
      <c r="VZN60" s="53"/>
      <c r="VZO60" s="53"/>
      <c r="VZP60" s="53"/>
      <c r="VZQ60" s="53"/>
      <c r="VZR60" s="53"/>
      <c r="VZS60" s="53"/>
      <c r="VZT60" s="53"/>
      <c r="VZU60" s="53"/>
      <c r="VZV60" s="53"/>
      <c r="VZW60" s="53"/>
      <c r="VZX60" s="53"/>
      <c r="VZY60" s="53"/>
      <c r="VZZ60" s="53"/>
      <c r="WAA60" s="53"/>
      <c r="WAB60" s="53"/>
      <c r="WAC60" s="53"/>
      <c r="WAD60" s="53"/>
      <c r="WAE60" s="53"/>
      <c r="WAF60" s="53"/>
      <c r="WAG60" s="53"/>
      <c r="WAH60" s="53"/>
      <c r="WAI60" s="53"/>
      <c r="WAJ60" s="53"/>
      <c r="WAK60" s="53"/>
      <c r="WAL60" s="53"/>
      <c r="WAM60" s="53"/>
      <c r="WAN60" s="53"/>
      <c r="WAO60" s="53"/>
      <c r="WAP60" s="53"/>
      <c r="WAQ60" s="53"/>
      <c r="WAR60" s="53"/>
      <c r="WAS60" s="53"/>
      <c r="WAT60" s="53"/>
      <c r="WAU60" s="53"/>
      <c r="WAV60" s="53"/>
      <c r="WAW60" s="53"/>
      <c r="WAX60" s="53"/>
      <c r="WAY60" s="53"/>
      <c r="WAZ60" s="53"/>
      <c r="WBA60" s="53"/>
      <c r="WBB60" s="53"/>
      <c r="WBC60" s="53"/>
      <c r="WBD60" s="53"/>
      <c r="WBE60" s="53"/>
      <c r="WBF60" s="53"/>
      <c r="WBG60" s="53"/>
      <c r="WBH60" s="53"/>
      <c r="WBI60" s="53"/>
      <c r="WBJ60" s="53"/>
      <c r="WBK60" s="53"/>
      <c r="WBL60" s="53"/>
      <c r="WBM60" s="53"/>
      <c r="WBN60" s="53"/>
      <c r="WBO60" s="53"/>
      <c r="WBP60" s="53"/>
      <c r="WBQ60" s="53"/>
      <c r="WBR60" s="53"/>
      <c r="WBS60" s="53"/>
      <c r="WBT60" s="53"/>
      <c r="WBU60" s="53"/>
      <c r="WBV60" s="53"/>
      <c r="WBW60" s="53"/>
      <c r="WBX60" s="53"/>
      <c r="WBY60" s="53"/>
      <c r="WBZ60" s="53"/>
      <c r="WCA60" s="53"/>
      <c r="WCB60" s="53"/>
      <c r="WCC60" s="53"/>
      <c r="WCD60" s="53"/>
      <c r="WCE60" s="53"/>
      <c r="WCF60" s="53"/>
      <c r="WCG60" s="53"/>
      <c r="WCH60" s="53"/>
      <c r="WCI60" s="53"/>
      <c r="WCJ60" s="53"/>
      <c r="WCK60" s="53"/>
      <c r="WCL60" s="53"/>
      <c r="WCM60" s="53"/>
      <c r="WCN60" s="53"/>
      <c r="WCO60" s="53"/>
      <c r="WCP60" s="53"/>
      <c r="WCQ60" s="53"/>
      <c r="WCR60" s="53"/>
      <c r="WCS60" s="53"/>
      <c r="WCT60" s="53"/>
      <c r="WCU60" s="53"/>
      <c r="WCV60" s="53"/>
      <c r="WCW60" s="53"/>
      <c r="WCX60" s="53"/>
      <c r="WCY60" s="53"/>
      <c r="WCZ60" s="53"/>
      <c r="WDA60" s="53"/>
      <c r="WDB60" s="53"/>
      <c r="WDC60" s="53"/>
      <c r="WDD60" s="53"/>
      <c r="WDE60" s="53"/>
      <c r="WDF60" s="53"/>
      <c r="WDG60" s="53"/>
      <c r="WDH60" s="53"/>
      <c r="WDI60" s="53"/>
      <c r="WDJ60" s="53"/>
      <c r="WDK60" s="53"/>
      <c r="WDL60" s="53"/>
      <c r="WDM60" s="53"/>
      <c r="WDN60" s="53"/>
      <c r="WDO60" s="53"/>
      <c r="WDP60" s="53"/>
      <c r="WDQ60" s="53"/>
      <c r="WDR60" s="53"/>
      <c r="WDS60" s="53"/>
      <c r="WDT60" s="53"/>
      <c r="WDU60" s="53"/>
      <c r="WDV60" s="53"/>
      <c r="WDW60" s="53"/>
      <c r="WDX60" s="53"/>
      <c r="WDY60" s="53"/>
      <c r="WDZ60" s="53"/>
      <c r="WEA60" s="53"/>
      <c r="WEB60" s="53"/>
      <c r="WEC60" s="53"/>
      <c r="WED60" s="53"/>
      <c r="WEE60" s="53"/>
      <c r="WEF60" s="53"/>
      <c r="WEG60" s="53"/>
      <c r="WEH60" s="53"/>
      <c r="WEI60" s="53"/>
      <c r="WEJ60" s="53"/>
      <c r="WEK60" s="53"/>
      <c r="WEL60" s="53"/>
      <c r="WEM60" s="53"/>
      <c r="WEN60" s="53"/>
      <c r="WEO60" s="53"/>
      <c r="WEP60" s="53"/>
      <c r="WEQ60" s="53"/>
      <c r="WER60" s="53"/>
      <c r="WES60" s="53"/>
      <c r="WET60" s="53"/>
      <c r="WEU60" s="53"/>
      <c r="WEV60" s="53"/>
      <c r="WEW60" s="53"/>
      <c r="WEX60" s="53"/>
      <c r="WEY60" s="53"/>
      <c r="WEZ60" s="53"/>
      <c r="WFA60" s="53"/>
      <c r="WFB60" s="53"/>
      <c r="WFC60" s="53"/>
      <c r="WFD60" s="53"/>
      <c r="WFE60" s="53"/>
      <c r="WFF60" s="53"/>
      <c r="WFG60" s="53"/>
      <c r="WFH60" s="53"/>
      <c r="WFI60" s="53"/>
      <c r="WFJ60" s="53"/>
      <c r="WFK60" s="53"/>
      <c r="WFL60" s="53"/>
      <c r="WFM60" s="53"/>
      <c r="WFN60" s="53"/>
      <c r="WFO60" s="53"/>
      <c r="WFP60" s="53"/>
      <c r="WFQ60" s="53"/>
      <c r="WFR60" s="53"/>
      <c r="WFS60" s="53"/>
      <c r="WFT60" s="53"/>
      <c r="WFU60" s="53"/>
      <c r="WFV60" s="53"/>
      <c r="WFW60" s="53"/>
      <c r="WFX60" s="53"/>
      <c r="WFY60" s="53"/>
      <c r="WFZ60" s="53"/>
      <c r="WGA60" s="53"/>
      <c r="WGB60" s="53"/>
      <c r="WGC60" s="53"/>
      <c r="WGD60" s="53"/>
      <c r="WGE60" s="53"/>
      <c r="WGF60" s="53"/>
      <c r="WGG60" s="53"/>
      <c r="WGH60" s="53"/>
      <c r="WGI60" s="53"/>
      <c r="WGJ60" s="53"/>
      <c r="WGK60" s="53"/>
      <c r="WGL60" s="53"/>
      <c r="WGM60" s="53"/>
      <c r="WGN60" s="53"/>
      <c r="WGO60" s="53"/>
      <c r="WGP60" s="53"/>
      <c r="WGQ60" s="53"/>
      <c r="WGR60" s="53"/>
      <c r="WGS60" s="53"/>
      <c r="WGT60" s="53"/>
      <c r="WGU60" s="53"/>
      <c r="WGV60" s="53"/>
      <c r="WGW60" s="53"/>
      <c r="WGX60" s="53"/>
      <c r="WGY60" s="53"/>
      <c r="WGZ60" s="53"/>
      <c r="WHA60" s="53"/>
      <c r="WHB60" s="53"/>
      <c r="WHC60" s="53"/>
      <c r="WHD60" s="53"/>
      <c r="WHE60" s="53"/>
      <c r="WHF60" s="53"/>
      <c r="WHG60" s="53"/>
      <c r="WHH60" s="53"/>
      <c r="WHI60" s="53"/>
      <c r="WHJ60" s="53"/>
      <c r="WHK60" s="53"/>
      <c r="WHL60" s="53"/>
      <c r="WHM60" s="53"/>
      <c r="WHN60" s="53"/>
      <c r="WHO60" s="53"/>
      <c r="WHP60" s="53"/>
      <c r="WHQ60" s="53"/>
      <c r="WHR60" s="53"/>
      <c r="WHS60" s="53"/>
      <c r="WHT60" s="53"/>
      <c r="WHU60" s="53"/>
      <c r="WHV60" s="53"/>
      <c r="WHW60" s="53"/>
      <c r="WHX60" s="53"/>
      <c r="WHY60" s="53"/>
      <c r="WHZ60" s="53"/>
      <c r="WIA60" s="53"/>
      <c r="WIB60" s="53"/>
      <c r="WIC60" s="53"/>
      <c r="WID60" s="53"/>
      <c r="WIE60" s="53"/>
      <c r="WIF60" s="53"/>
      <c r="WIG60" s="53"/>
      <c r="WIH60" s="53"/>
      <c r="WII60" s="53"/>
      <c r="WIJ60" s="53"/>
      <c r="WIK60" s="53"/>
      <c r="WIL60" s="53"/>
      <c r="WIM60" s="53"/>
      <c r="WIN60" s="53"/>
      <c r="WIO60" s="53"/>
      <c r="WIP60" s="53"/>
      <c r="WIQ60" s="53"/>
      <c r="WIR60" s="53"/>
      <c r="WIS60" s="53"/>
      <c r="WIT60" s="53"/>
      <c r="WIU60" s="53"/>
      <c r="WIV60" s="53"/>
      <c r="WIW60" s="53"/>
      <c r="WIX60" s="53"/>
      <c r="WIY60" s="53"/>
      <c r="WIZ60" s="53"/>
      <c r="WJA60" s="53"/>
      <c r="WJB60" s="53"/>
      <c r="WJC60" s="53"/>
      <c r="WJD60" s="53"/>
      <c r="WJE60" s="53"/>
      <c r="WJF60" s="53"/>
      <c r="WJG60" s="53"/>
      <c r="WJH60" s="53"/>
      <c r="WJI60" s="53"/>
      <c r="WJJ60" s="53"/>
      <c r="WJK60" s="53"/>
      <c r="WJL60" s="53"/>
      <c r="WJM60" s="53"/>
      <c r="WJN60" s="53"/>
      <c r="WJO60" s="53"/>
      <c r="WJP60" s="53"/>
      <c r="WJQ60" s="53"/>
      <c r="WJR60" s="53"/>
      <c r="WJS60" s="53"/>
      <c r="WJT60" s="53"/>
      <c r="WJU60" s="53"/>
      <c r="WJV60" s="53"/>
      <c r="WJW60" s="53"/>
      <c r="WJX60" s="53"/>
      <c r="WJY60" s="53"/>
      <c r="WJZ60" s="53"/>
      <c r="WKA60" s="53"/>
      <c r="WKB60" s="53"/>
      <c r="WKC60" s="53"/>
      <c r="WKD60" s="53"/>
      <c r="WKE60" s="53"/>
      <c r="WKF60" s="53"/>
      <c r="WKG60" s="53"/>
      <c r="WKH60" s="53"/>
      <c r="WKI60" s="53"/>
      <c r="WKJ60" s="53"/>
      <c r="WKK60" s="53"/>
      <c r="WKL60" s="53"/>
      <c r="WKM60" s="53"/>
      <c r="WKN60" s="53"/>
      <c r="WKO60" s="53"/>
      <c r="WKP60" s="53"/>
      <c r="WKQ60" s="53"/>
      <c r="WKR60" s="53"/>
      <c r="WKS60" s="53"/>
      <c r="WKT60" s="53"/>
      <c r="WKU60" s="53"/>
      <c r="WKV60" s="53"/>
      <c r="WKW60" s="53"/>
      <c r="WKX60" s="53"/>
      <c r="WKY60" s="53"/>
      <c r="WKZ60" s="53"/>
      <c r="WLA60" s="53"/>
      <c r="WLB60" s="53"/>
      <c r="WLC60" s="53"/>
      <c r="WLD60" s="53"/>
      <c r="WLE60" s="53"/>
      <c r="WLF60" s="53"/>
      <c r="WLG60" s="53"/>
      <c r="WLH60" s="53"/>
      <c r="WLI60" s="53"/>
      <c r="WLJ60" s="53"/>
      <c r="WLK60" s="53"/>
      <c r="WLL60" s="53"/>
      <c r="WLM60" s="53"/>
      <c r="WLN60" s="53"/>
      <c r="WLO60" s="53"/>
      <c r="WLP60" s="53"/>
      <c r="WLQ60" s="53"/>
      <c r="WLR60" s="53"/>
      <c r="WLS60" s="53"/>
      <c r="WLT60" s="53"/>
      <c r="WLU60" s="53"/>
      <c r="WLV60" s="53"/>
      <c r="WLW60" s="53"/>
      <c r="WLX60" s="53"/>
      <c r="WLY60" s="53"/>
      <c r="WLZ60" s="53"/>
      <c r="WMA60" s="53"/>
      <c r="WMB60" s="53"/>
      <c r="WMC60" s="53"/>
      <c r="WMD60" s="53"/>
      <c r="WME60" s="53"/>
      <c r="WMF60" s="53"/>
      <c r="WMG60" s="53"/>
      <c r="WMH60" s="53"/>
      <c r="WMI60" s="53"/>
      <c r="WMJ60" s="53"/>
      <c r="WMK60" s="53"/>
      <c r="WML60" s="53"/>
      <c r="WMM60" s="53"/>
      <c r="WMN60" s="53"/>
      <c r="WMO60" s="53"/>
      <c r="WMP60" s="53"/>
      <c r="WMQ60" s="53"/>
      <c r="WMR60" s="53"/>
      <c r="WMS60" s="53"/>
      <c r="WMT60" s="53"/>
      <c r="WMU60" s="53"/>
      <c r="WMV60" s="53"/>
      <c r="WMW60" s="53"/>
      <c r="WMX60" s="53"/>
      <c r="WMY60" s="53"/>
      <c r="WMZ60" s="53"/>
      <c r="WNA60" s="53"/>
      <c r="WNB60" s="53"/>
      <c r="WNC60" s="53"/>
      <c r="WND60" s="53"/>
      <c r="WNE60" s="53"/>
      <c r="WNF60" s="53"/>
      <c r="WNG60" s="53"/>
      <c r="WNH60" s="53"/>
      <c r="WNI60" s="53"/>
      <c r="WNJ60" s="53"/>
      <c r="WNK60" s="53"/>
      <c r="WNL60" s="53"/>
      <c r="WNM60" s="53"/>
      <c r="WNN60" s="53"/>
      <c r="WNO60" s="53"/>
      <c r="WNP60" s="53"/>
      <c r="WNQ60" s="53"/>
      <c r="WNR60" s="53"/>
      <c r="WNS60" s="53"/>
      <c r="WNT60" s="53"/>
      <c r="WNU60" s="53"/>
      <c r="WNV60" s="53"/>
      <c r="WNW60" s="53"/>
      <c r="WNX60" s="53"/>
      <c r="WNY60" s="53"/>
      <c r="WNZ60" s="53"/>
      <c r="WOA60" s="53"/>
      <c r="WOB60" s="53"/>
      <c r="WOC60" s="53"/>
      <c r="WOD60" s="53"/>
      <c r="WOE60" s="53"/>
      <c r="WOF60" s="53"/>
      <c r="WOG60" s="53"/>
      <c r="WOH60" s="53"/>
      <c r="WOI60" s="53"/>
      <c r="WOJ60" s="53"/>
      <c r="WOK60" s="53"/>
      <c r="WOL60" s="53"/>
      <c r="WOM60" s="53"/>
      <c r="WON60" s="53"/>
      <c r="WOO60" s="53"/>
      <c r="WOP60" s="53"/>
      <c r="WOQ60" s="53"/>
      <c r="WOR60" s="53"/>
      <c r="WOS60" s="53"/>
      <c r="WOT60" s="53"/>
      <c r="WOU60" s="53"/>
      <c r="WOV60" s="53"/>
      <c r="WOW60" s="53"/>
      <c r="WOX60" s="53"/>
      <c r="WOY60" s="53"/>
      <c r="WOZ60" s="53"/>
      <c r="WPA60" s="53"/>
      <c r="WPB60" s="53"/>
      <c r="WPC60" s="53"/>
      <c r="WPD60" s="53"/>
      <c r="WPE60" s="53"/>
      <c r="WPF60" s="53"/>
      <c r="WPG60" s="53"/>
      <c r="WPH60" s="53"/>
      <c r="WPI60" s="53"/>
      <c r="WPJ60" s="53"/>
      <c r="WPK60" s="53"/>
      <c r="WPL60" s="53"/>
      <c r="WPM60" s="53"/>
      <c r="WPN60" s="53"/>
      <c r="WPO60" s="53"/>
      <c r="WPP60" s="53"/>
      <c r="WPQ60" s="53"/>
      <c r="WPR60" s="53"/>
      <c r="WPS60" s="53"/>
      <c r="WPT60" s="53"/>
      <c r="WPU60" s="53"/>
      <c r="WPV60" s="53"/>
      <c r="WPW60" s="53"/>
      <c r="WPX60" s="53"/>
      <c r="WPY60" s="53"/>
      <c r="WPZ60" s="53"/>
      <c r="WQA60" s="53"/>
      <c r="WQB60" s="53"/>
      <c r="WQC60" s="53"/>
      <c r="WQD60" s="53"/>
      <c r="WQE60" s="53"/>
      <c r="WQF60" s="53"/>
      <c r="WQG60" s="53"/>
      <c r="WQH60" s="53"/>
      <c r="WQI60" s="53"/>
      <c r="WQJ60" s="53"/>
      <c r="WQK60" s="53"/>
      <c r="WQL60" s="53"/>
      <c r="WQM60" s="53"/>
      <c r="WQN60" s="53"/>
      <c r="WQO60" s="53"/>
      <c r="WQP60" s="53"/>
      <c r="WQQ60" s="53"/>
      <c r="WQR60" s="53"/>
      <c r="WQS60" s="53"/>
      <c r="WQT60" s="53"/>
      <c r="WQU60" s="53"/>
      <c r="WQV60" s="53"/>
      <c r="WQW60" s="53"/>
      <c r="WQX60" s="53"/>
      <c r="WQY60" s="53"/>
      <c r="WQZ60" s="53"/>
      <c r="WRA60" s="53"/>
      <c r="WRB60" s="53"/>
      <c r="WRC60" s="53"/>
      <c r="WRD60" s="53"/>
      <c r="WRE60" s="53"/>
      <c r="WRF60" s="53"/>
      <c r="WRG60" s="53"/>
      <c r="WRH60" s="53"/>
      <c r="WRI60" s="53"/>
      <c r="WRJ60" s="53"/>
      <c r="WRK60" s="53"/>
      <c r="WRL60" s="53"/>
      <c r="WRM60" s="53"/>
      <c r="WRN60" s="53"/>
      <c r="WRO60" s="53"/>
      <c r="WRP60" s="53"/>
      <c r="WRQ60" s="53"/>
      <c r="WRR60" s="53"/>
      <c r="WRS60" s="53"/>
      <c r="WRT60" s="53"/>
      <c r="WRU60" s="53"/>
      <c r="WRV60" s="53"/>
      <c r="WRW60" s="53"/>
      <c r="WRX60" s="53"/>
      <c r="WRY60" s="53"/>
      <c r="WRZ60" s="53"/>
      <c r="WSA60" s="53"/>
      <c r="WSB60" s="53"/>
      <c r="WSC60" s="53"/>
      <c r="WSD60" s="53"/>
      <c r="WSE60" s="53"/>
      <c r="WSF60" s="53"/>
      <c r="WSG60" s="53"/>
      <c r="WSH60" s="53"/>
      <c r="WSI60" s="53"/>
      <c r="WSJ60" s="53"/>
      <c r="WSK60" s="53"/>
      <c r="WSL60" s="53"/>
      <c r="WSM60" s="53"/>
      <c r="WSN60" s="53"/>
      <c r="WSO60" s="53"/>
      <c r="WSP60" s="53"/>
      <c r="WSQ60" s="53"/>
      <c r="WSR60" s="53"/>
      <c r="WSS60" s="53"/>
      <c r="WST60" s="53"/>
      <c r="WSU60" s="53"/>
      <c r="WSV60" s="53"/>
      <c r="WSW60" s="53"/>
      <c r="WSX60" s="53"/>
      <c r="WSY60" s="53"/>
      <c r="WSZ60" s="53"/>
      <c r="WTA60" s="53"/>
      <c r="WTB60" s="53"/>
      <c r="WTC60" s="53"/>
      <c r="WTD60" s="53"/>
      <c r="WTE60" s="53"/>
      <c r="WTF60" s="53"/>
      <c r="WTG60" s="53"/>
      <c r="WTH60" s="53"/>
      <c r="WTI60" s="53"/>
      <c r="WTJ60" s="53"/>
      <c r="WTK60" s="53"/>
      <c r="WTL60" s="53"/>
      <c r="WTM60" s="53"/>
      <c r="WTN60" s="53"/>
      <c r="WTO60" s="53"/>
      <c r="WTP60" s="53"/>
      <c r="WTQ60" s="53"/>
      <c r="WTR60" s="53"/>
      <c r="WTS60" s="53"/>
      <c r="WTT60" s="53"/>
      <c r="WTU60" s="53"/>
      <c r="WTV60" s="53"/>
      <c r="WTW60" s="53"/>
      <c r="WTX60" s="53"/>
      <c r="WTY60" s="53"/>
      <c r="WTZ60" s="53"/>
      <c r="WUA60" s="53"/>
      <c r="WUB60" s="53"/>
      <c r="WUC60" s="53"/>
      <c r="WUD60" s="53"/>
      <c r="WUE60" s="53"/>
      <c r="WUF60" s="53"/>
      <c r="WUG60" s="53"/>
      <c r="WUH60" s="53"/>
      <c r="WUI60" s="53"/>
      <c r="WUJ60" s="53"/>
      <c r="WUK60" s="53"/>
      <c r="WUL60" s="53"/>
      <c r="WUM60" s="53"/>
      <c r="WUN60" s="53"/>
      <c r="WUO60" s="53"/>
      <c r="WUP60" s="53"/>
      <c r="WUQ60" s="53"/>
      <c r="WUR60" s="53"/>
      <c r="WUS60" s="53"/>
      <c r="WUT60" s="53"/>
      <c r="WUU60" s="53"/>
      <c r="WUV60" s="53"/>
      <c r="WUW60" s="53"/>
      <c r="WUX60" s="53"/>
      <c r="WUY60" s="53"/>
      <c r="WUZ60" s="53"/>
      <c r="WVA60" s="53"/>
      <c r="WVB60" s="53"/>
      <c r="WVC60" s="53"/>
      <c r="WVD60" s="53"/>
      <c r="WVE60" s="53"/>
      <c r="WVF60" s="53"/>
      <c r="WVG60" s="53"/>
      <c r="WVH60" s="53"/>
      <c r="WVI60" s="53"/>
      <c r="WVJ60" s="53"/>
      <c r="WVK60" s="53"/>
      <c r="WVL60" s="53"/>
      <c r="WVM60" s="53"/>
      <c r="WVN60" s="53"/>
      <c r="WVO60" s="53"/>
      <c r="WVP60" s="53"/>
      <c r="WVQ60" s="53"/>
      <c r="WVR60" s="53"/>
      <c r="WVS60" s="53"/>
      <c r="WVT60" s="53"/>
      <c r="WVU60" s="53"/>
      <c r="WVV60" s="53"/>
      <c r="WVW60" s="53"/>
      <c r="WVX60" s="53"/>
      <c r="WVY60" s="53"/>
      <c r="WVZ60" s="53"/>
      <c r="WWA60" s="53"/>
      <c r="WWB60" s="53"/>
      <c r="WWC60" s="53"/>
      <c r="WWD60" s="53"/>
      <c r="WWE60" s="53"/>
      <c r="WWF60" s="53"/>
      <c r="WWG60" s="53"/>
      <c r="WWH60" s="53"/>
      <c r="WWI60" s="53"/>
      <c r="WWJ60" s="53"/>
      <c r="WWK60" s="53"/>
      <c r="WWL60" s="53"/>
      <c r="WWM60" s="53"/>
      <c r="WWN60" s="53"/>
      <c r="WWO60" s="53"/>
      <c r="WWP60" s="53"/>
      <c r="WWQ60" s="53"/>
      <c r="WWR60" s="53"/>
      <c r="WWS60" s="53"/>
      <c r="WWT60" s="53"/>
      <c r="WWU60" s="53"/>
      <c r="WWV60" s="53"/>
      <c r="WWW60" s="53"/>
      <c r="WWX60" s="53"/>
      <c r="WWY60" s="53"/>
      <c r="WWZ60" s="53"/>
      <c r="WXA60" s="53"/>
      <c r="WXB60" s="53"/>
      <c r="WXC60" s="53"/>
      <c r="WXD60" s="53"/>
      <c r="WXE60" s="53"/>
      <c r="WXF60" s="53"/>
      <c r="WXG60" s="53"/>
      <c r="WXH60" s="53"/>
      <c r="WXI60" s="53"/>
      <c r="WXJ60" s="53"/>
      <c r="WXK60" s="53"/>
      <c r="WXL60" s="53"/>
      <c r="WXM60" s="53"/>
      <c r="WXN60" s="53"/>
      <c r="WXO60" s="53"/>
      <c r="WXP60" s="53"/>
      <c r="WXQ60" s="53"/>
      <c r="WXR60" s="53"/>
      <c r="WXS60" s="53"/>
      <c r="WXT60" s="53"/>
      <c r="WXU60" s="53"/>
      <c r="WXV60" s="53"/>
      <c r="WXW60" s="53"/>
      <c r="WXX60" s="53"/>
      <c r="WXY60" s="53"/>
      <c r="WXZ60" s="53"/>
      <c r="WYA60" s="53"/>
      <c r="WYB60" s="53"/>
      <c r="WYC60" s="53"/>
      <c r="WYD60" s="53"/>
      <c r="WYE60" s="53"/>
      <c r="WYF60" s="53"/>
      <c r="WYG60" s="53"/>
      <c r="WYH60" s="53"/>
      <c r="WYI60" s="53"/>
      <c r="WYJ60" s="53"/>
      <c r="WYK60" s="53"/>
      <c r="WYL60" s="53"/>
      <c r="WYM60" s="53"/>
      <c r="WYN60" s="53"/>
      <c r="WYO60" s="53"/>
      <c r="WYP60" s="53"/>
      <c r="WYQ60" s="53"/>
      <c r="WYR60" s="53"/>
      <c r="WYS60" s="53"/>
      <c r="WYT60" s="53"/>
      <c r="WYU60" s="53"/>
      <c r="WYV60" s="53"/>
      <c r="WYW60" s="53"/>
      <c r="WYX60" s="53"/>
      <c r="WYY60" s="53"/>
      <c r="WYZ60" s="53"/>
      <c r="WZA60" s="53"/>
      <c r="WZB60" s="53"/>
      <c r="WZC60" s="53"/>
      <c r="WZD60" s="53"/>
      <c r="WZE60" s="53"/>
      <c r="WZF60" s="53"/>
      <c r="WZG60" s="53"/>
      <c r="WZH60" s="53"/>
      <c r="WZI60" s="53"/>
      <c r="WZJ60" s="53"/>
      <c r="WZK60" s="53"/>
      <c r="WZL60" s="53"/>
      <c r="WZM60" s="53"/>
      <c r="WZN60" s="53"/>
      <c r="WZO60" s="53"/>
      <c r="WZP60" s="53"/>
      <c r="WZQ60" s="53"/>
      <c r="WZR60" s="53"/>
      <c r="WZS60" s="53"/>
      <c r="WZT60" s="53"/>
      <c r="WZU60" s="53"/>
      <c r="WZV60" s="53"/>
      <c r="WZW60" s="53"/>
      <c r="WZX60" s="53"/>
      <c r="WZY60" s="53"/>
      <c r="WZZ60" s="53"/>
      <c r="XAA60" s="53"/>
      <c r="XAB60" s="53"/>
      <c r="XAC60" s="53"/>
      <c r="XAD60" s="53"/>
      <c r="XAE60" s="53"/>
      <c r="XAF60" s="53"/>
      <c r="XAG60" s="53"/>
      <c r="XAH60" s="53"/>
      <c r="XAI60" s="53"/>
      <c r="XAJ60" s="53"/>
      <c r="XAK60" s="53"/>
      <c r="XAL60" s="53"/>
      <c r="XAM60" s="53"/>
      <c r="XAN60" s="53"/>
      <c r="XAO60" s="53"/>
      <c r="XAP60" s="53"/>
      <c r="XAQ60" s="53"/>
      <c r="XAR60" s="53"/>
      <c r="XAS60" s="53"/>
      <c r="XAT60" s="53"/>
      <c r="XAU60" s="53"/>
      <c r="XAV60" s="53"/>
      <c r="XAW60" s="53"/>
      <c r="XAX60" s="53"/>
      <c r="XAY60" s="53"/>
      <c r="XAZ60" s="53"/>
      <c r="XBA60" s="53"/>
      <c r="XBB60" s="53"/>
      <c r="XBC60" s="53"/>
      <c r="XBD60" s="53"/>
      <c r="XBE60" s="53"/>
      <c r="XBF60" s="53"/>
      <c r="XBG60" s="53"/>
      <c r="XBH60" s="53"/>
      <c r="XBI60" s="53"/>
      <c r="XBJ60" s="53"/>
      <c r="XBK60" s="53"/>
      <c r="XBL60" s="53"/>
      <c r="XBM60" s="53"/>
      <c r="XBN60" s="53"/>
      <c r="XBO60" s="53"/>
      <c r="XBP60" s="53"/>
      <c r="XBQ60" s="53"/>
      <c r="XBR60" s="53"/>
      <c r="XBS60" s="53"/>
      <c r="XBT60" s="53"/>
      <c r="XBU60" s="53"/>
      <c r="XBV60" s="53"/>
      <c r="XBW60" s="53"/>
      <c r="XBX60" s="53"/>
      <c r="XBY60" s="53"/>
      <c r="XBZ60" s="53"/>
      <c r="XCA60" s="53"/>
      <c r="XCB60" s="53"/>
      <c r="XCC60" s="53"/>
      <c r="XCD60" s="53"/>
      <c r="XCE60" s="53"/>
      <c r="XCF60" s="53"/>
      <c r="XCG60" s="53"/>
      <c r="XCH60" s="53"/>
      <c r="XCI60" s="53"/>
      <c r="XCJ60" s="53"/>
      <c r="XCK60" s="53"/>
      <c r="XCL60" s="53"/>
      <c r="XCM60" s="53"/>
      <c r="XCN60" s="53"/>
      <c r="XCO60" s="53"/>
      <c r="XCP60" s="53"/>
      <c r="XCQ60" s="53"/>
      <c r="XCR60" s="53"/>
      <c r="XCS60" s="53"/>
      <c r="XCT60" s="53"/>
      <c r="XCU60" s="53"/>
      <c r="XCV60" s="53"/>
      <c r="XCW60" s="53"/>
      <c r="XCX60" s="53"/>
      <c r="XCY60" s="53"/>
      <c r="XCZ60" s="53"/>
      <c r="XDA60" s="53"/>
      <c r="XDB60" s="53"/>
      <c r="XDC60" s="53"/>
      <c r="XDD60" s="53"/>
      <c r="XDE60" s="53"/>
      <c r="XDF60" s="53"/>
      <c r="XDG60" s="53"/>
      <c r="XDH60" s="53"/>
      <c r="XDI60" s="53"/>
      <c r="XDJ60" s="53"/>
      <c r="XDK60" s="53"/>
      <c r="XDL60" s="53"/>
      <c r="XDM60" s="53"/>
      <c r="XDN60" s="53"/>
      <c r="XDO60" s="53"/>
      <c r="XDP60" s="53"/>
      <c r="XDQ60" s="53"/>
      <c r="XDR60" s="53"/>
      <c r="XDS60" s="53"/>
      <c r="XDT60" s="53"/>
      <c r="XDU60" s="53"/>
      <c r="XDV60" s="53"/>
      <c r="XDW60" s="53"/>
      <c r="XDX60" s="53"/>
      <c r="XDY60" s="53"/>
      <c r="XDZ60" s="53"/>
      <c r="XEA60" s="53"/>
      <c r="XEB60" s="53"/>
      <c r="XEC60" s="53"/>
      <c r="XED60" s="53"/>
      <c r="XEE60" s="53"/>
      <c r="XEF60" s="53"/>
      <c r="XEG60" s="53"/>
      <c r="XEH60" s="53"/>
      <c r="XEI60" s="53"/>
      <c r="XEJ60" s="53"/>
      <c r="XEK60" s="53"/>
      <c r="XEL60" s="53"/>
      <c r="XEM60" s="53"/>
      <c r="XEN60" s="53"/>
      <c r="XEO60" s="53"/>
      <c r="XEP60" s="53"/>
      <c r="XEQ60" s="53"/>
      <c r="XER60" s="53"/>
      <c r="XES60" s="53"/>
      <c r="XET60" s="53"/>
      <c r="XEU60" s="53"/>
      <c r="XEV60" s="53"/>
      <c r="XEW60" s="53"/>
      <c r="XEX60" s="53"/>
      <c r="XEY60" s="53"/>
      <c r="XEZ60" s="53"/>
      <c r="XFA60" s="53"/>
      <c r="XFB60" s="53"/>
      <c r="XFC60" s="53"/>
      <c r="XFD60" s="53"/>
    </row>
    <row r="61" s="3" customFormat="1" customHeight="1" spans="1:18">
      <c r="A61" s="21" t="s">
        <v>919</v>
      </c>
      <c r="B61" s="22" t="s">
        <v>924</v>
      </c>
      <c r="C61" s="22" t="s">
        <v>900</v>
      </c>
      <c r="D61" s="18" t="s">
        <v>837</v>
      </c>
      <c r="E61" s="23"/>
      <c r="F61" s="24"/>
      <c r="G61" s="24"/>
      <c r="H61" s="24"/>
      <c r="I61" s="24"/>
      <c r="J61" s="24"/>
      <c r="K61" s="24"/>
      <c r="L61" s="43"/>
      <c r="M61" s="39"/>
      <c r="N61" s="40"/>
      <c r="O61" s="41">
        <f>VLOOKUP(B61,出勤汇总!C:S,17,0)</f>
        <v>19</v>
      </c>
      <c r="P61" s="42">
        <f t="shared" si="3"/>
        <v>19</v>
      </c>
      <c r="Q61" s="42">
        <f>VLOOKUP(B61,餐补次数!R:S,2,0)</f>
        <v>7</v>
      </c>
      <c r="R61" s="51">
        <f t="shared" si="2"/>
        <v>105</v>
      </c>
    </row>
    <row r="62" s="3" customFormat="1" customHeight="1" spans="1:18">
      <c r="A62" s="21" t="s">
        <v>919</v>
      </c>
      <c r="B62" s="22" t="s">
        <v>925</v>
      </c>
      <c r="C62" s="25" t="s">
        <v>149</v>
      </c>
      <c r="D62" s="18" t="s">
        <v>837</v>
      </c>
      <c r="E62" s="23"/>
      <c r="F62" s="24"/>
      <c r="G62" s="24"/>
      <c r="H62" s="24"/>
      <c r="I62" s="24"/>
      <c r="J62" s="24"/>
      <c r="K62" s="24"/>
      <c r="L62" s="43"/>
      <c r="M62" s="39"/>
      <c r="N62" s="40"/>
      <c r="O62" s="41">
        <f>VLOOKUP(B62,出勤汇总!C:S,17,0)</f>
        <v>19</v>
      </c>
      <c r="P62" s="42">
        <f t="shared" si="3"/>
        <v>19</v>
      </c>
      <c r="Q62" s="42">
        <f>VLOOKUP(B62,餐补次数!R:S,2,0)</f>
        <v>8</v>
      </c>
      <c r="R62" s="51">
        <f t="shared" si="2"/>
        <v>120</v>
      </c>
    </row>
    <row r="63" s="3" customFormat="1" customHeight="1" spans="1:18">
      <c r="A63" s="21" t="s">
        <v>919</v>
      </c>
      <c r="B63" s="22" t="s">
        <v>926</v>
      </c>
      <c r="C63" s="25" t="s">
        <v>149</v>
      </c>
      <c r="D63" s="18" t="s">
        <v>837</v>
      </c>
      <c r="E63" s="23"/>
      <c r="F63" s="24"/>
      <c r="G63" s="24"/>
      <c r="H63" s="24"/>
      <c r="I63" s="24"/>
      <c r="J63" s="24"/>
      <c r="K63" s="24"/>
      <c r="L63" s="43"/>
      <c r="M63" s="39"/>
      <c r="N63" s="40">
        <f>VLOOKUP(B63,出勤汇总!C:AB,26,0)</f>
        <v>2</v>
      </c>
      <c r="O63" s="41">
        <f>VLOOKUP(B63,出勤汇总!C:S,17,0)</f>
        <v>19</v>
      </c>
      <c r="P63" s="42">
        <f t="shared" si="3"/>
        <v>17</v>
      </c>
      <c r="Q63" s="42">
        <f>VLOOKUP(B63,餐补次数!R:S,2,0)</f>
        <v>6</v>
      </c>
      <c r="R63" s="51">
        <f t="shared" si="2"/>
        <v>90</v>
      </c>
    </row>
    <row r="64" s="3" customFormat="1" customHeight="1" spans="1:18">
      <c r="A64" s="21" t="s">
        <v>919</v>
      </c>
      <c r="B64" s="22" t="s">
        <v>927</v>
      </c>
      <c r="C64" s="22" t="s">
        <v>900</v>
      </c>
      <c r="D64" s="18" t="s">
        <v>837</v>
      </c>
      <c r="E64" s="23"/>
      <c r="F64" s="24"/>
      <c r="G64" s="24"/>
      <c r="H64" s="24"/>
      <c r="I64" s="24"/>
      <c r="J64" s="24"/>
      <c r="K64" s="24"/>
      <c r="L64" s="43"/>
      <c r="M64" s="39"/>
      <c r="N64" s="40"/>
      <c r="O64" s="41">
        <f>VLOOKUP(B64,出勤汇总!C:S,17,0)</f>
        <v>19</v>
      </c>
      <c r="P64" s="42">
        <f t="shared" si="3"/>
        <v>19</v>
      </c>
      <c r="Q64" s="42">
        <f>VLOOKUP(B64,餐补次数!R:S,2,0)</f>
        <v>9</v>
      </c>
      <c r="R64" s="51">
        <f t="shared" si="2"/>
        <v>135</v>
      </c>
    </row>
    <row r="65" s="3" customFormat="1" customHeight="1" spans="1:18">
      <c r="A65" s="21" t="s">
        <v>919</v>
      </c>
      <c r="B65" s="22" t="s">
        <v>928</v>
      </c>
      <c r="C65" s="22" t="s">
        <v>900</v>
      </c>
      <c r="D65" s="18" t="s">
        <v>837</v>
      </c>
      <c r="E65" s="54"/>
      <c r="F65" s="55"/>
      <c r="G65" s="55"/>
      <c r="H65" s="55"/>
      <c r="I65" s="55"/>
      <c r="J65" s="55"/>
      <c r="K65" s="55"/>
      <c r="L65" s="43"/>
      <c r="M65" s="39"/>
      <c r="N65" s="40"/>
      <c r="O65" s="41">
        <f>VLOOKUP(B65,出勤汇总!C:S,17,0)</f>
        <v>19</v>
      </c>
      <c r="P65" s="42">
        <f t="shared" si="3"/>
        <v>19</v>
      </c>
      <c r="Q65" s="42">
        <f>VLOOKUP(B65,餐补次数!R:S,2,0)</f>
        <v>7</v>
      </c>
      <c r="R65" s="51">
        <f t="shared" si="2"/>
        <v>105</v>
      </c>
    </row>
    <row r="66" s="3" customFormat="1" customHeight="1" spans="1:18">
      <c r="A66" s="21" t="s">
        <v>919</v>
      </c>
      <c r="B66" s="22" t="s">
        <v>929</v>
      </c>
      <c r="C66" s="22" t="s">
        <v>900</v>
      </c>
      <c r="D66" s="18" t="s">
        <v>837</v>
      </c>
      <c r="E66" s="23"/>
      <c r="F66" s="24"/>
      <c r="G66" s="24"/>
      <c r="H66" s="24"/>
      <c r="I66" s="24"/>
      <c r="J66" s="24"/>
      <c r="K66" s="24"/>
      <c r="L66" s="43"/>
      <c r="M66" s="39"/>
      <c r="N66" s="40">
        <f>VLOOKUP(B66,出勤汇总!C:AB,26,0)</f>
        <v>0.5</v>
      </c>
      <c r="O66" s="41">
        <f>VLOOKUP(B66,出勤汇总!C:S,17,0)</f>
        <v>19</v>
      </c>
      <c r="P66" s="42">
        <f t="shared" si="3"/>
        <v>18.5</v>
      </c>
      <c r="Q66" s="42">
        <f>VLOOKUP(B66,餐补次数!R:S,2,0)</f>
        <v>7</v>
      </c>
      <c r="R66" s="51">
        <f t="shared" si="2"/>
        <v>105</v>
      </c>
    </row>
    <row r="67" s="3" customFormat="1" customHeight="1" spans="1:18">
      <c r="A67" s="21" t="s">
        <v>919</v>
      </c>
      <c r="B67" s="22" t="s">
        <v>930</v>
      </c>
      <c r="C67" s="22" t="s">
        <v>900</v>
      </c>
      <c r="D67" s="18" t="s">
        <v>837</v>
      </c>
      <c r="E67" s="23"/>
      <c r="F67" s="24"/>
      <c r="G67" s="24"/>
      <c r="H67" s="24"/>
      <c r="I67" s="24"/>
      <c r="J67" s="24"/>
      <c r="K67" s="24"/>
      <c r="L67" s="43"/>
      <c r="M67" s="39"/>
      <c r="N67" s="40"/>
      <c r="O67" s="41">
        <f>VLOOKUP(B67,出勤汇总!C:S,17,0)</f>
        <v>19</v>
      </c>
      <c r="P67" s="42">
        <f t="shared" si="3"/>
        <v>19</v>
      </c>
      <c r="Q67" s="42">
        <f>VLOOKUP(B67,餐补次数!R:S,2,0)</f>
        <v>6</v>
      </c>
      <c r="R67" s="51">
        <f t="shared" ref="R67:R98" si="4">Q67*15</f>
        <v>90</v>
      </c>
    </row>
    <row r="68" s="3" customFormat="1" customHeight="1" spans="1:18">
      <c r="A68" s="21" t="s">
        <v>919</v>
      </c>
      <c r="B68" s="22" t="s">
        <v>931</v>
      </c>
      <c r="C68" s="22" t="s">
        <v>900</v>
      </c>
      <c r="D68" s="18" t="s">
        <v>837</v>
      </c>
      <c r="E68" s="23"/>
      <c r="F68" s="24"/>
      <c r="G68" s="24"/>
      <c r="H68" s="24"/>
      <c r="I68" s="24"/>
      <c r="J68" s="24"/>
      <c r="K68" s="24"/>
      <c r="L68" s="43"/>
      <c r="M68" s="39"/>
      <c r="N68" s="40"/>
      <c r="O68" s="41">
        <f>VLOOKUP(B68,出勤汇总!C:S,17,0)</f>
        <v>19</v>
      </c>
      <c r="P68" s="42">
        <f t="shared" ref="P68:P99" si="5">O68-L68-M68-N68</f>
        <v>19</v>
      </c>
      <c r="Q68" s="42">
        <f>VLOOKUP(B68,餐补次数!R:S,2,0)</f>
        <v>7</v>
      </c>
      <c r="R68" s="51">
        <f t="shared" si="4"/>
        <v>105</v>
      </c>
    </row>
    <row r="69" s="3" customFormat="1" customHeight="1" spans="1:18">
      <c r="A69" s="21" t="s">
        <v>932</v>
      </c>
      <c r="B69" s="22" t="s">
        <v>933</v>
      </c>
      <c r="C69" s="22" t="s">
        <v>934</v>
      </c>
      <c r="D69" s="18" t="s">
        <v>837</v>
      </c>
      <c r="E69" s="23"/>
      <c r="F69" s="24"/>
      <c r="G69" s="24"/>
      <c r="H69" s="24"/>
      <c r="I69" s="24"/>
      <c r="J69" s="24"/>
      <c r="K69" s="24"/>
      <c r="L69" s="43"/>
      <c r="M69" s="39"/>
      <c r="N69" s="40"/>
      <c r="O69" s="41">
        <f>VLOOKUP(B69,出勤汇总!C:S,17,0)</f>
        <v>19</v>
      </c>
      <c r="P69" s="42">
        <f t="shared" si="5"/>
        <v>19</v>
      </c>
      <c r="Q69" s="42">
        <f>VLOOKUP(B69,餐补次数!R:S,2,0)</f>
        <v>7</v>
      </c>
      <c r="R69" s="51">
        <f t="shared" si="4"/>
        <v>105</v>
      </c>
    </row>
    <row r="70" s="3" customFormat="1" customHeight="1" spans="1:18">
      <c r="A70" s="21" t="s">
        <v>932</v>
      </c>
      <c r="B70" s="22" t="s">
        <v>935</v>
      </c>
      <c r="C70" s="22" t="s">
        <v>934</v>
      </c>
      <c r="D70" s="18" t="s">
        <v>837</v>
      </c>
      <c r="E70" s="23"/>
      <c r="F70" s="24"/>
      <c r="G70" s="24"/>
      <c r="H70" s="24"/>
      <c r="I70" s="24"/>
      <c r="J70" s="24"/>
      <c r="K70" s="24"/>
      <c r="L70" s="43"/>
      <c r="M70" s="39"/>
      <c r="N70" s="40"/>
      <c r="O70" s="41">
        <f>VLOOKUP(B70,出勤汇总!C:S,17,0)</f>
        <v>19</v>
      </c>
      <c r="P70" s="42">
        <f t="shared" si="5"/>
        <v>19</v>
      </c>
      <c r="Q70" s="42">
        <f>VLOOKUP(B70,餐补次数!R:S,2,0)</f>
        <v>7</v>
      </c>
      <c r="R70" s="51">
        <f t="shared" si="4"/>
        <v>105</v>
      </c>
    </row>
    <row r="71" s="3" customFormat="1" customHeight="1" spans="1:18">
      <c r="A71" s="21" t="s">
        <v>932</v>
      </c>
      <c r="B71" s="22" t="s">
        <v>936</v>
      </c>
      <c r="C71" s="22" t="s">
        <v>934</v>
      </c>
      <c r="D71" s="18" t="s">
        <v>837</v>
      </c>
      <c r="E71" s="23"/>
      <c r="F71" s="24"/>
      <c r="G71" s="24"/>
      <c r="H71" s="24"/>
      <c r="I71" s="24"/>
      <c r="J71" s="24"/>
      <c r="K71" s="24"/>
      <c r="L71" s="43"/>
      <c r="M71" s="39"/>
      <c r="N71" s="40">
        <f>VLOOKUP(B71,出勤汇总!C:AB,26,0)</f>
        <v>1</v>
      </c>
      <c r="O71" s="41">
        <f>VLOOKUP(B71,出勤汇总!C:S,17,0)</f>
        <v>19</v>
      </c>
      <c r="P71" s="42">
        <f t="shared" si="5"/>
        <v>18</v>
      </c>
      <c r="Q71" s="42">
        <f>VLOOKUP(B71,餐补次数!R:S,2,0)</f>
        <v>9</v>
      </c>
      <c r="R71" s="51">
        <f t="shared" si="4"/>
        <v>135</v>
      </c>
    </row>
    <row r="72" s="3" customFormat="1" customHeight="1" spans="1:18">
      <c r="A72" s="21" t="s">
        <v>932</v>
      </c>
      <c r="B72" s="22" t="s">
        <v>937</v>
      </c>
      <c r="C72" s="25" t="s">
        <v>149</v>
      </c>
      <c r="D72" s="18" t="s">
        <v>837</v>
      </c>
      <c r="E72" s="23"/>
      <c r="F72" s="24"/>
      <c r="G72" s="24"/>
      <c r="H72" s="24"/>
      <c r="I72" s="24"/>
      <c r="J72" s="24"/>
      <c r="K72" s="24"/>
      <c r="L72" s="43"/>
      <c r="M72" s="39"/>
      <c r="N72" s="40"/>
      <c r="O72" s="41">
        <f>VLOOKUP(B72,出勤汇总!C:S,17,0)</f>
        <v>19</v>
      </c>
      <c r="P72" s="42">
        <f t="shared" si="5"/>
        <v>19</v>
      </c>
      <c r="Q72" s="42">
        <f>VLOOKUP(B72,餐补次数!R:S,2,0)</f>
        <v>7</v>
      </c>
      <c r="R72" s="51">
        <f t="shared" si="4"/>
        <v>105</v>
      </c>
    </row>
    <row r="73" s="3" customFormat="1" customHeight="1" spans="1:18">
      <c r="A73" s="21" t="s">
        <v>938</v>
      </c>
      <c r="B73" s="22" t="s">
        <v>939</v>
      </c>
      <c r="C73" s="22" t="s">
        <v>934</v>
      </c>
      <c r="D73" s="18" t="s">
        <v>837</v>
      </c>
      <c r="E73" s="23"/>
      <c r="F73" s="24"/>
      <c r="G73" s="24"/>
      <c r="H73" s="24"/>
      <c r="I73" s="24"/>
      <c r="J73" s="24"/>
      <c r="K73" s="24"/>
      <c r="L73" s="43"/>
      <c r="M73" s="39"/>
      <c r="N73" s="40">
        <f>VLOOKUP(B73,出勤汇总!C:AB,26,0)</f>
        <v>1.5</v>
      </c>
      <c r="O73" s="41">
        <f>VLOOKUP(B73,出勤汇总!C:S,17,0)</f>
        <v>19</v>
      </c>
      <c r="P73" s="42">
        <f t="shared" si="5"/>
        <v>17.5</v>
      </c>
      <c r="Q73" s="42">
        <f>VLOOKUP(B73,餐补次数!R:S,2,0)</f>
        <v>6</v>
      </c>
      <c r="R73" s="51">
        <f t="shared" si="4"/>
        <v>90</v>
      </c>
    </row>
    <row r="74" s="3" customFormat="1" customHeight="1" spans="1:18">
      <c r="A74" s="21" t="s">
        <v>938</v>
      </c>
      <c r="B74" s="22" t="s">
        <v>940</v>
      </c>
      <c r="C74" s="22" t="s">
        <v>858</v>
      </c>
      <c r="D74" s="18" t="s">
        <v>837</v>
      </c>
      <c r="E74" s="23"/>
      <c r="F74" s="24"/>
      <c r="G74" s="24"/>
      <c r="H74" s="24"/>
      <c r="I74" s="24"/>
      <c r="J74" s="24"/>
      <c r="K74" s="24"/>
      <c r="L74" s="43"/>
      <c r="M74" s="39"/>
      <c r="N74" s="40">
        <f>VLOOKUP(B74,出勤汇总!C:AB,26,0)</f>
        <v>1</v>
      </c>
      <c r="O74" s="41">
        <f>VLOOKUP(B74,出勤汇总!C:S,17,0)</f>
        <v>19</v>
      </c>
      <c r="P74" s="42">
        <f t="shared" si="5"/>
        <v>18</v>
      </c>
      <c r="Q74" s="42">
        <f>VLOOKUP(B74,餐补次数!R:S,2,0)</f>
        <v>6</v>
      </c>
      <c r="R74" s="51">
        <f t="shared" si="4"/>
        <v>90</v>
      </c>
    </row>
    <row r="75" s="3" customFormat="1" customHeight="1" spans="1:18">
      <c r="A75" s="21" t="s">
        <v>938</v>
      </c>
      <c r="B75" s="22" t="s">
        <v>941</v>
      </c>
      <c r="C75" s="22" t="s">
        <v>934</v>
      </c>
      <c r="D75" s="18" t="s">
        <v>837</v>
      </c>
      <c r="E75" s="23"/>
      <c r="F75" s="24"/>
      <c r="G75" s="24"/>
      <c r="H75" s="24"/>
      <c r="I75" s="24"/>
      <c r="J75" s="24"/>
      <c r="K75" s="24"/>
      <c r="L75" s="43"/>
      <c r="M75" s="39"/>
      <c r="N75" s="40">
        <f>VLOOKUP(B75,出勤汇总!C:AB,26,0)</f>
        <v>2</v>
      </c>
      <c r="O75" s="41">
        <f>VLOOKUP(B75,出勤汇总!C:S,17,0)</f>
        <v>19</v>
      </c>
      <c r="P75" s="42">
        <f t="shared" si="5"/>
        <v>17</v>
      </c>
      <c r="Q75" s="42">
        <f>VLOOKUP(B75,餐补次数!R:S,2,0)</f>
        <v>6</v>
      </c>
      <c r="R75" s="51">
        <f t="shared" si="4"/>
        <v>90</v>
      </c>
    </row>
    <row r="76" s="3" customFormat="1" customHeight="1" spans="1:18">
      <c r="A76" s="21" t="s">
        <v>938</v>
      </c>
      <c r="B76" s="22" t="s">
        <v>942</v>
      </c>
      <c r="C76" s="22" t="s">
        <v>934</v>
      </c>
      <c r="D76" s="18" t="s">
        <v>837</v>
      </c>
      <c r="E76" s="23"/>
      <c r="F76" s="24"/>
      <c r="G76" s="24"/>
      <c r="H76" s="24"/>
      <c r="I76" s="24"/>
      <c r="J76" s="24"/>
      <c r="K76" s="24"/>
      <c r="L76" s="43"/>
      <c r="M76" s="39"/>
      <c r="N76" s="40"/>
      <c r="O76" s="41">
        <f>VLOOKUP(B76,出勤汇总!C:S,17,0)</f>
        <v>19</v>
      </c>
      <c r="P76" s="42">
        <f t="shared" si="5"/>
        <v>19</v>
      </c>
      <c r="Q76" s="42">
        <f>VLOOKUP(B76,餐补次数!R:S,2,0)</f>
        <v>6</v>
      </c>
      <c r="R76" s="51">
        <f t="shared" si="4"/>
        <v>90</v>
      </c>
    </row>
    <row r="77" s="3" customFormat="1" customHeight="1" spans="1:18">
      <c r="A77" s="21" t="s">
        <v>938</v>
      </c>
      <c r="B77" s="22" t="s">
        <v>943</v>
      </c>
      <c r="C77" s="22" t="s">
        <v>934</v>
      </c>
      <c r="D77" s="18" t="s">
        <v>837</v>
      </c>
      <c r="E77" s="23"/>
      <c r="F77" s="24"/>
      <c r="G77" s="24"/>
      <c r="H77" s="24"/>
      <c r="I77" s="24"/>
      <c r="J77" s="24"/>
      <c r="K77" s="24"/>
      <c r="L77" s="43"/>
      <c r="M77" s="39"/>
      <c r="N77" s="40">
        <f>VLOOKUP(B77,出勤汇总!C:AB,26,0)</f>
        <v>2</v>
      </c>
      <c r="O77" s="41">
        <f>VLOOKUP(B77,出勤汇总!C:S,17,0)</f>
        <v>19</v>
      </c>
      <c r="P77" s="42">
        <f t="shared" si="5"/>
        <v>17</v>
      </c>
      <c r="Q77" s="42">
        <f>VLOOKUP(B77,餐补次数!R:S,2,0)</f>
        <v>12</v>
      </c>
      <c r="R77" s="51">
        <f t="shared" si="4"/>
        <v>180</v>
      </c>
    </row>
    <row r="78" s="3" customFormat="1" customHeight="1" spans="1:18">
      <c r="A78" s="21" t="s">
        <v>938</v>
      </c>
      <c r="B78" s="22" t="s">
        <v>944</v>
      </c>
      <c r="C78" s="22" t="s">
        <v>934</v>
      </c>
      <c r="D78" s="18" t="s">
        <v>837</v>
      </c>
      <c r="E78" s="23"/>
      <c r="F78" s="24"/>
      <c r="G78" s="24"/>
      <c r="H78" s="24"/>
      <c r="I78" s="24"/>
      <c r="J78" s="24"/>
      <c r="K78" s="24"/>
      <c r="L78" s="43"/>
      <c r="M78" s="39"/>
      <c r="N78" s="40"/>
      <c r="O78" s="41">
        <f>VLOOKUP(B78,出勤汇总!C:S,17,0)</f>
        <v>19</v>
      </c>
      <c r="P78" s="42">
        <f t="shared" si="5"/>
        <v>19</v>
      </c>
      <c r="Q78" s="42">
        <f>VLOOKUP(B78,餐补次数!R:S,2,0)</f>
        <v>6</v>
      </c>
      <c r="R78" s="51">
        <f t="shared" si="4"/>
        <v>90</v>
      </c>
    </row>
    <row r="79" s="3" customFormat="1" customHeight="1" spans="1:18">
      <c r="A79" s="21" t="s">
        <v>938</v>
      </c>
      <c r="B79" s="22" t="s">
        <v>945</v>
      </c>
      <c r="C79" s="22" t="s">
        <v>934</v>
      </c>
      <c r="D79" s="18" t="s">
        <v>837</v>
      </c>
      <c r="E79" s="23"/>
      <c r="F79" s="24"/>
      <c r="G79" s="24"/>
      <c r="H79" s="24"/>
      <c r="I79" s="24"/>
      <c r="J79" s="24"/>
      <c r="K79" s="24"/>
      <c r="L79" s="43"/>
      <c r="M79" s="39">
        <f>VLOOKUP(B79,出勤汇总!C:AA,25,0)</f>
        <v>4</v>
      </c>
      <c r="N79" s="40"/>
      <c r="O79" s="41">
        <f>VLOOKUP(B79,出勤汇总!C:S,17,0)</f>
        <v>19</v>
      </c>
      <c r="P79" s="42">
        <f t="shared" si="5"/>
        <v>15</v>
      </c>
      <c r="Q79" s="42">
        <f>VLOOKUP(B79,餐补次数!R:S,2,0)</f>
        <v>7</v>
      </c>
      <c r="R79" s="51">
        <f t="shared" si="4"/>
        <v>105</v>
      </c>
    </row>
    <row r="80" s="3" customFormat="1" customHeight="1" spans="1:18">
      <c r="A80" s="21" t="s">
        <v>946</v>
      </c>
      <c r="B80" s="22" t="s">
        <v>947</v>
      </c>
      <c r="C80" s="22" t="s">
        <v>948</v>
      </c>
      <c r="D80" s="18" t="s">
        <v>837</v>
      </c>
      <c r="E80" s="23"/>
      <c r="F80" s="24"/>
      <c r="G80" s="24"/>
      <c r="H80" s="24"/>
      <c r="I80" s="24"/>
      <c r="J80" s="24"/>
      <c r="K80" s="24"/>
      <c r="L80" s="43"/>
      <c r="M80" s="39"/>
      <c r="N80" s="40"/>
      <c r="O80" s="41">
        <f>VLOOKUP(B80,出勤汇总!C:S,17,0)</f>
        <v>19</v>
      </c>
      <c r="P80" s="42">
        <f t="shared" si="5"/>
        <v>19</v>
      </c>
      <c r="Q80" s="42">
        <f>VLOOKUP(B80,餐补次数!R:S,2,0)</f>
        <v>9</v>
      </c>
      <c r="R80" s="51">
        <f t="shared" si="4"/>
        <v>135</v>
      </c>
    </row>
    <row r="81" s="3" customFormat="1" customHeight="1" spans="1:18">
      <c r="A81" s="21" t="s">
        <v>946</v>
      </c>
      <c r="B81" s="22" t="s">
        <v>949</v>
      </c>
      <c r="C81" s="22" t="s">
        <v>950</v>
      </c>
      <c r="D81" s="18" t="s">
        <v>837</v>
      </c>
      <c r="E81" s="23"/>
      <c r="F81" s="24"/>
      <c r="G81" s="24"/>
      <c r="H81" s="24"/>
      <c r="I81" s="24"/>
      <c r="J81" s="24"/>
      <c r="K81" s="24"/>
      <c r="L81" s="43"/>
      <c r="M81" s="39"/>
      <c r="N81" s="40"/>
      <c r="O81" s="41">
        <f>VLOOKUP(B81,出勤汇总!C:S,17,0)</f>
        <v>19</v>
      </c>
      <c r="P81" s="42">
        <f t="shared" si="5"/>
        <v>19</v>
      </c>
      <c r="Q81" s="42">
        <f>VLOOKUP(B81,餐补次数!R:S,2,0)</f>
        <v>7</v>
      </c>
      <c r="R81" s="51">
        <f t="shared" si="4"/>
        <v>105</v>
      </c>
    </row>
    <row r="82" s="3" customFormat="1" customHeight="1" spans="1:18">
      <c r="A82" s="21" t="s">
        <v>946</v>
      </c>
      <c r="B82" s="22" t="s">
        <v>951</v>
      </c>
      <c r="C82" s="22" t="s">
        <v>848</v>
      </c>
      <c r="D82" s="18" t="s">
        <v>837</v>
      </c>
      <c r="E82" s="23"/>
      <c r="F82" s="24"/>
      <c r="G82" s="24"/>
      <c r="H82" s="24"/>
      <c r="I82" s="24"/>
      <c r="J82" s="24"/>
      <c r="K82" s="24"/>
      <c r="L82" s="43"/>
      <c r="M82" s="39"/>
      <c r="N82" s="40">
        <f>VLOOKUP(B82,出勤汇总!C:AB,26,0)</f>
        <v>1.5</v>
      </c>
      <c r="O82" s="41">
        <f>VLOOKUP(B82,出勤汇总!C:S,17,0)</f>
        <v>19</v>
      </c>
      <c r="P82" s="42">
        <f t="shared" si="5"/>
        <v>17.5</v>
      </c>
      <c r="Q82" s="42">
        <f>VLOOKUP(B82,餐补次数!R:S,2,0)</f>
        <v>2</v>
      </c>
      <c r="R82" s="51">
        <f t="shared" si="4"/>
        <v>30</v>
      </c>
    </row>
    <row r="83" s="3" customFormat="1" customHeight="1" spans="1:18">
      <c r="A83" s="21" t="s">
        <v>946</v>
      </c>
      <c r="B83" s="22" t="s">
        <v>952</v>
      </c>
      <c r="C83" s="22" t="s">
        <v>934</v>
      </c>
      <c r="D83" s="18" t="s">
        <v>837</v>
      </c>
      <c r="E83" s="23"/>
      <c r="F83" s="24"/>
      <c r="G83" s="24"/>
      <c r="H83" s="24"/>
      <c r="I83" s="24"/>
      <c r="J83" s="24"/>
      <c r="K83" s="24"/>
      <c r="L83" s="43"/>
      <c r="M83" s="39"/>
      <c r="N83" s="40"/>
      <c r="O83" s="41">
        <f>VLOOKUP(B83,出勤汇总!C:S,17,0)</f>
        <v>19</v>
      </c>
      <c r="P83" s="42">
        <f t="shared" si="5"/>
        <v>19</v>
      </c>
      <c r="Q83" s="42">
        <f>VLOOKUP(B83,餐补次数!R:S,2,0)</f>
        <v>9</v>
      </c>
      <c r="R83" s="51">
        <f t="shared" si="4"/>
        <v>135</v>
      </c>
    </row>
    <row r="84" s="3" customFormat="1" customHeight="1" spans="1:18">
      <c r="A84" s="21" t="s">
        <v>946</v>
      </c>
      <c r="B84" s="22" t="s">
        <v>953</v>
      </c>
      <c r="C84" s="22" t="s">
        <v>934</v>
      </c>
      <c r="D84" s="18" t="s">
        <v>837</v>
      </c>
      <c r="E84" s="23"/>
      <c r="F84" s="24"/>
      <c r="G84" s="24"/>
      <c r="H84" s="24"/>
      <c r="I84" s="24"/>
      <c r="J84" s="24"/>
      <c r="K84" s="24"/>
      <c r="L84" s="43"/>
      <c r="M84" s="39"/>
      <c r="N84" s="40">
        <f>VLOOKUP(B84,出勤汇总!C:AB,26,0)</f>
        <v>1</v>
      </c>
      <c r="O84" s="41">
        <f>VLOOKUP(B84,出勤汇总!C:S,17,0)</f>
        <v>19</v>
      </c>
      <c r="P84" s="42">
        <f t="shared" si="5"/>
        <v>18</v>
      </c>
      <c r="Q84" s="42">
        <f>VLOOKUP(B84,餐补次数!R:S,2,0)</f>
        <v>6</v>
      </c>
      <c r="R84" s="51">
        <f t="shared" si="4"/>
        <v>90</v>
      </c>
    </row>
    <row r="85" s="3" customFormat="1" customHeight="1" spans="1:18">
      <c r="A85" s="21" t="s">
        <v>946</v>
      </c>
      <c r="B85" s="22" t="s">
        <v>954</v>
      </c>
      <c r="C85" s="22" t="s">
        <v>934</v>
      </c>
      <c r="D85" s="18" t="s">
        <v>837</v>
      </c>
      <c r="E85" s="23"/>
      <c r="F85" s="24"/>
      <c r="G85" s="24"/>
      <c r="H85" s="24"/>
      <c r="I85" s="24"/>
      <c r="J85" s="24"/>
      <c r="K85" s="24"/>
      <c r="L85" s="43"/>
      <c r="M85" s="39"/>
      <c r="N85" s="40">
        <f>VLOOKUP(B85,出勤汇总!C:AB,26,0)</f>
        <v>0.5</v>
      </c>
      <c r="O85" s="41">
        <f>VLOOKUP(B85,出勤汇总!C:S,17,0)</f>
        <v>19</v>
      </c>
      <c r="P85" s="42">
        <f t="shared" si="5"/>
        <v>18.5</v>
      </c>
      <c r="Q85" s="42">
        <f>VLOOKUP(B85,餐补次数!R:S,2,0)</f>
        <v>7</v>
      </c>
      <c r="R85" s="51">
        <f t="shared" si="4"/>
        <v>105</v>
      </c>
    </row>
    <row r="86" s="3" customFormat="1" customHeight="1" spans="1:18">
      <c r="A86" s="21" t="s">
        <v>946</v>
      </c>
      <c r="B86" s="22" t="s">
        <v>955</v>
      </c>
      <c r="C86" s="25" t="s">
        <v>149</v>
      </c>
      <c r="D86" s="18" t="s">
        <v>837</v>
      </c>
      <c r="E86" s="23"/>
      <c r="F86" s="24"/>
      <c r="G86" s="24"/>
      <c r="H86" s="24"/>
      <c r="I86" s="24"/>
      <c r="J86" s="24"/>
      <c r="K86" s="24"/>
      <c r="L86" s="43"/>
      <c r="M86" s="39"/>
      <c r="N86" s="40"/>
      <c r="O86" s="41">
        <f>VLOOKUP(B86,出勤汇总!C:S,17,0)</f>
        <v>19</v>
      </c>
      <c r="P86" s="42">
        <f t="shared" si="5"/>
        <v>19</v>
      </c>
      <c r="Q86" s="42">
        <f>VLOOKUP(B86,餐补次数!R:S,2,0)</f>
        <v>6</v>
      </c>
      <c r="R86" s="51">
        <f t="shared" si="4"/>
        <v>90</v>
      </c>
    </row>
    <row r="87" s="3" customFormat="1" customHeight="1" spans="1:18">
      <c r="A87" s="21" t="s">
        <v>946</v>
      </c>
      <c r="B87" s="22" t="s">
        <v>956</v>
      </c>
      <c r="C87" s="22" t="s">
        <v>934</v>
      </c>
      <c r="D87" s="18" t="s">
        <v>837</v>
      </c>
      <c r="E87" s="23"/>
      <c r="F87" s="24"/>
      <c r="G87" s="24"/>
      <c r="H87" s="24"/>
      <c r="I87" s="24"/>
      <c r="J87" s="24"/>
      <c r="K87" s="24"/>
      <c r="L87" s="43"/>
      <c r="M87" s="39">
        <f>VLOOKUP(B87,出勤汇总!C:AA,25,0)</f>
        <v>1</v>
      </c>
      <c r="N87" s="40"/>
      <c r="O87" s="41">
        <f>VLOOKUP(B87,出勤汇总!C:S,17,0)</f>
        <v>19</v>
      </c>
      <c r="P87" s="42">
        <f t="shared" si="5"/>
        <v>18</v>
      </c>
      <c r="Q87" s="42">
        <f>VLOOKUP(B87,餐补次数!R:S,2,0)</f>
        <v>10</v>
      </c>
      <c r="R87" s="51">
        <f t="shared" si="4"/>
        <v>150</v>
      </c>
    </row>
    <row r="88" s="3" customFormat="1" customHeight="1" spans="1:18">
      <c r="A88" s="21" t="s">
        <v>946</v>
      </c>
      <c r="B88" s="22" t="s">
        <v>957</v>
      </c>
      <c r="C88" s="22" t="s">
        <v>934</v>
      </c>
      <c r="D88" s="18" t="s">
        <v>837</v>
      </c>
      <c r="E88" s="23"/>
      <c r="F88" s="24"/>
      <c r="G88" s="24"/>
      <c r="H88" s="24"/>
      <c r="I88" s="24"/>
      <c r="J88" s="24"/>
      <c r="K88" s="24"/>
      <c r="L88" s="43"/>
      <c r="M88" s="39"/>
      <c r="N88" s="40"/>
      <c r="O88" s="41">
        <f>VLOOKUP(B88,出勤汇总!C:S,17,0)</f>
        <v>19</v>
      </c>
      <c r="P88" s="42">
        <f t="shared" si="5"/>
        <v>19</v>
      </c>
      <c r="Q88" s="42">
        <f>VLOOKUP(B88,餐补次数!R:S,2,0)</f>
        <v>7</v>
      </c>
      <c r="R88" s="51">
        <f t="shared" si="4"/>
        <v>105</v>
      </c>
    </row>
    <row r="89" s="3" customFormat="1" customHeight="1" spans="1:18">
      <c r="A89" s="21" t="s">
        <v>946</v>
      </c>
      <c r="B89" s="22" t="s">
        <v>958</v>
      </c>
      <c r="C89" s="22" t="s">
        <v>934</v>
      </c>
      <c r="D89" s="18" t="s">
        <v>837</v>
      </c>
      <c r="E89" s="23"/>
      <c r="F89" s="24"/>
      <c r="G89" s="24"/>
      <c r="H89" s="24"/>
      <c r="I89" s="24"/>
      <c r="J89" s="24"/>
      <c r="K89" s="24"/>
      <c r="L89" s="43"/>
      <c r="M89" s="39"/>
      <c r="N89" s="40">
        <f>VLOOKUP(B89,出勤汇总!C:AB,26,0)</f>
        <v>3</v>
      </c>
      <c r="O89" s="41">
        <f>VLOOKUP(B89,出勤汇总!C:S,17,0)</f>
        <v>19</v>
      </c>
      <c r="P89" s="42">
        <f t="shared" si="5"/>
        <v>16</v>
      </c>
      <c r="Q89" s="42">
        <f>VLOOKUP(B89,餐补次数!R:S,2,0)</f>
        <v>6</v>
      </c>
      <c r="R89" s="51">
        <f t="shared" si="4"/>
        <v>90</v>
      </c>
    </row>
    <row r="90" s="3" customFormat="1" customHeight="1" spans="1:18">
      <c r="A90" s="21" t="s">
        <v>946</v>
      </c>
      <c r="B90" s="22" t="s">
        <v>959</v>
      </c>
      <c r="C90" s="22" t="s">
        <v>934</v>
      </c>
      <c r="D90" s="18" t="s">
        <v>837</v>
      </c>
      <c r="E90" s="23"/>
      <c r="F90" s="24"/>
      <c r="G90" s="24"/>
      <c r="H90" s="24"/>
      <c r="I90" s="24"/>
      <c r="J90" s="24"/>
      <c r="K90" s="24"/>
      <c r="L90" s="43"/>
      <c r="M90" s="39"/>
      <c r="N90" s="40"/>
      <c r="O90" s="41">
        <f>VLOOKUP(B90,出勤汇总!C:S,17,0)</f>
        <v>19</v>
      </c>
      <c r="P90" s="42">
        <f t="shared" si="5"/>
        <v>19</v>
      </c>
      <c r="Q90" s="42">
        <f>VLOOKUP(B90,餐补次数!R:S,2,0)</f>
        <v>7</v>
      </c>
      <c r="R90" s="51">
        <f t="shared" si="4"/>
        <v>105</v>
      </c>
    </row>
    <row r="91" s="3" customFormat="1" customHeight="1" spans="1:18">
      <c r="A91" s="21" t="s">
        <v>946</v>
      </c>
      <c r="B91" s="22" t="s">
        <v>960</v>
      </c>
      <c r="C91" s="22" t="s">
        <v>934</v>
      </c>
      <c r="D91" s="18" t="s">
        <v>837</v>
      </c>
      <c r="E91" s="23"/>
      <c r="F91" s="24"/>
      <c r="G91" s="24"/>
      <c r="H91" s="24"/>
      <c r="I91" s="24"/>
      <c r="J91" s="24"/>
      <c r="K91" s="24"/>
      <c r="L91" s="43"/>
      <c r="M91" s="39"/>
      <c r="N91" s="40"/>
      <c r="O91" s="41">
        <f>VLOOKUP(B91,出勤汇总!C:S,17,0)</f>
        <v>19</v>
      </c>
      <c r="P91" s="42">
        <f t="shared" si="5"/>
        <v>19</v>
      </c>
      <c r="Q91" s="42">
        <f>VLOOKUP(B91,餐补次数!R:S,2,0)</f>
        <v>7</v>
      </c>
      <c r="R91" s="51">
        <f t="shared" si="4"/>
        <v>105</v>
      </c>
    </row>
    <row r="92" s="3" customFormat="1" customHeight="1" spans="1:18">
      <c r="A92" s="21" t="s">
        <v>961</v>
      </c>
      <c r="B92" s="22" t="s">
        <v>962</v>
      </c>
      <c r="C92" s="22" t="s">
        <v>948</v>
      </c>
      <c r="D92" s="18" t="s">
        <v>837</v>
      </c>
      <c r="E92" s="23"/>
      <c r="F92" s="24"/>
      <c r="G92" s="24"/>
      <c r="H92" s="24"/>
      <c r="I92" s="24"/>
      <c r="J92" s="24"/>
      <c r="K92" s="24"/>
      <c r="L92" s="43"/>
      <c r="M92" s="39"/>
      <c r="N92" s="40"/>
      <c r="O92" s="41">
        <f>VLOOKUP(B92,出勤汇总!C:S,17,0)</f>
        <v>19</v>
      </c>
      <c r="P92" s="42">
        <f t="shared" si="5"/>
        <v>19</v>
      </c>
      <c r="Q92" s="42">
        <f>VLOOKUP(B92,餐补次数!R:S,2,0)</f>
        <v>10</v>
      </c>
      <c r="R92" s="51">
        <f t="shared" si="4"/>
        <v>150</v>
      </c>
    </row>
    <row r="93" s="3" customFormat="1" customHeight="1" spans="1:18">
      <c r="A93" s="21" t="s">
        <v>961</v>
      </c>
      <c r="B93" s="22" t="s">
        <v>963</v>
      </c>
      <c r="C93" s="22" t="s">
        <v>934</v>
      </c>
      <c r="D93" s="18" t="s">
        <v>837</v>
      </c>
      <c r="E93" s="23"/>
      <c r="F93" s="24"/>
      <c r="G93" s="24"/>
      <c r="H93" s="24"/>
      <c r="I93" s="24"/>
      <c r="J93" s="24"/>
      <c r="K93" s="24"/>
      <c r="L93" s="43"/>
      <c r="M93" s="39"/>
      <c r="N93" s="40"/>
      <c r="O93" s="41">
        <f>VLOOKUP(B93,出勤汇总!C:S,17,0)</f>
        <v>19</v>
      </c>
      <c r="P93" s="42">
        <f t="shared" si="5"/>
        <v>19</v>
      </c>
      <c r="Q93" s="42">
        <f>VLOOKUP(B93,餐补次数!R:S,2,0)</f>
        <v>11</v>
      </c>
      <c r="R93" s="51">
        <f t="shared" si="4"/>
        <v>165</v>
      </c>
    </row>
    <row r="94" s="3" customFormat="1" customHeight="1" spans="1:18">
      <c r="A94" s="21" t="s">
        <v>961</v>
      </c>
      <c r="B94" s="22" t="s">
        <v>964</v>
      </c>
      <c r="C94" s="22" t="s">
        <v>934</v>
      </c>
      <c r="D94" s="18" t="s">
        <v>837</v>
      </c>
      <c r="E94" s="23"/>
      <c r="F94" s="24"/>
      <c r="G94" s="24"/>
      <c r="H94" s="24"/>
      <c r="I94" s="24"/>
      <c r="J94" s="24"/>
      <c r="K94" s="24"/>
      <c r="L94" s="43"/>
      <c r="M94" s="39"/>
      <c r="N94" s="40">
        <f>VLOOKUP(B94,出勤汇总!C:AB,26,0)</f>
        <v>1</v>
      </c>
      <c r="O94" s="41">
        <f>VLOOKUP(B94,出勤汇总!C:S,17,0)</f>
        <v>19</v>
      </c>
      <c r="P94" s="42">
        <f t="shared" si="5"/>
        <v>18</v>
      </c>
      <c r="Q94" s="42">
        <f>VLOOKUP(B94,餐补次数!R:S,2,0)</f>
        <v>9</v>
      </c>
      <c r="R94" s="51">
        <f t="shared" si="4"/>
        <v>135</v>
      </c>
    </row>
    <row r="95" s="3" customFormat="1" customHeight="1" spans="1:18">
      <c r="A95" s="21" t="s">
        <v>961</v>
      </c>
      <c r="B95" s="22" t="s">
        <v>965</v>
      </c>
      <c r="C95" s="22" t="s">
        <v>149</v>
      </c>
      <c r="D95" s="18" t="s">
        <v>837</v>
      </c>
      <c r="E95" s="23"/>
      <c r="F95" s="24"/>
      <c r="G95" s="24"/>
      <c r="H95" s="24"/>
      <c r="I95" s="24"/>
      <c r="J95" s="24"/>
      <c r="K95" s="24"/>
      <c r="L95" s="43"/>
      <c r="M95" s="39"/>
      <c r="N95" s="40"/>
      <c r="O95" s="41">
        <f>VLOOKUP(B95,出勤汇总!C:S,17,0)</f>
        <v>19</v>
      </c>
      <c r="P95" s="42">
        <f t="shared" si="5"/>
        <v>19</v>
      </c>
      <c r="Q95" s="42">
        <f>VLOOKUP(B95,餐补次数!R:S,2,0)</f>
        <v>7</v>
      </c>
      <c r="R95" s="51">
        <f t="shared" si="4"/>
        <v>105</v>
      </c>
    </row>
    <row r="96" s="3" customFormat="1" customHeight="1" spans="1:18">
      <c r="A96" s="21" t="s">
        <v>961</v>
      </c>
      <c r="B96" s="22" t="s">
        <v>966</v>
      </c>
      <c r="C96" s="22" t="s">
        <v>934</v>
      </c>
      <c r="D96" s="18" t="s">
        <v>837</v>
      </c>
      <c r="E96" s="23"/>
      <c r="F96" s="24"/>
      <c r="G96" s="24"/>
      <c r="H96" s="24"/>
      <c r="I96" s="24"/>
      <c r="J96" s="24"/>
      <c r="K96" s="24"/>
      <c r="L96" s="43"/>
      <c r="M96" s="39"/>
      <c r="N96" s="40"/>
      <c r="O96" s="41">
        <f>VLOOKUP(B96,出勤汇总!C:S,17,0)</f>
        <v>19</v>
      </c>
      <c r="P96" s="42">
        <f t="shared" si="5"/>
        <v>19</v>
      </c>
      <c r="Q96" s="42">
        <f>VLOOKUP(B96,餐补次数!R:S,2,0)</f>
        <v>7</v>
      </c>
      <c r="R96" s="51">
        <f t="shared" si="4"/>
        <v>105</v>
      </c>
    </row>
    <row r="97" s="3" customFormat="1" customHeight="1" spans="1:18">
      <c r="A97" s="21" t="s">
        <v>967</v>
      </c>
      <c r="B97" s="22" t="s">
        <v>968</v>
      </c>
      <c r="C97" s="22" t="s">
        <v>969</v>
      </c>
      <c r="D97" s="18" t="s">
        <v>837</v>
      </c>
      <c r="E97" s="23"/>
      <c r="F97" s="24"/>
      <c r="G97" s="24"/>
      <c r="H97" s="24"/>
      <c r="I97" s="24"/>
      <c r="J97" s="24"/>
      <c r="K97" s="24"/>
      <c r="L97" s="43"/>
      <c r="M97" s="39"/>
      <c r="N97" s="40"/>
      <c r="O97" s="41">
        <f>VLOOKUP(B97,出勤汇总!C:S,17,0)</f>
        <v>19</v>
      </c>
      <c r="P97" s="42">
        <f t="shared" si="5"/>
        <v>19</v>
      </c>
      <c r="Q97" s="42">
        <f>VLOOKUP(B97,餐补次数!R:S,2,0)</f>
        <v>8</v>
      </c>
      <c r="R97" s="51">
        <f t="shared" si="4"/>
        <v>120</v>
      </c>
    </row>
    <row r="98" s="3" customFormat="1" customHeight="1" spans="1:18">
      <c r="A98" s="21" t="s">
        <v>967</v>
      </c>
      <c r="B98" s="22" t="s">
        <v>970</v>
      </c>
      <c r="C98" s="22" t="s">
        <v>934</v>
      </c>
      <c r="D98" s="18" t="s">
        <v>837</v>
      </c>
      <c r="E98" s="23"/>
      <c r="F98" s="24"/>
      <c r="G98" s="24"/>
      <c r="H98" s="24"/>
      <c r="I98" s="24"/>
      <c r="J98" s="24"/>
      <c r="K98" s="24"/>
      <c r="L98" s="43"/>
      <c r="M98" s="39"/>
      <c r="N98" s="40"/>
      <c r="O98" s="41">
        <f>VLOOKUP(B98,出勤汇总!C:S,17,0)</f>
        <v>19</v>
      </c>
      <c r="P98" s="42">
        <f t="shared" si="5"/>
        <v>19</v>
      </c>
      <c r="Q98" s="42">
        <f>VLOOKUP(B98,餐补次数!R:S,2,0)</f>
        <v>8</v>
      </c>
      <c r="R98" s="51">
        <f t="shared" si="4"/>
        <v>120</v>
      </c>
    </row>
    <row r="99" s="3" customFormat="1" customHeight="1" spans="1:18">
      <c r="A99" s="21" t="s">
        <v>967</v>
      </c>
      <c r="B99" s="22" t="s">
        <v>971</v>
      </c>
      <c r="C99" s="22" t="s">
        <v>934</v>
      </c>
      <c r="D99" s="18" t="s">
        <v>837</v>
      </c>
      <c r="E99" s="23"/>
      <c r="F99" s="24"/>
      <c r="G99" s="24"/>
      <c r="H99" s="24"/>
      <c r="I99" s="24"/>
      <c r="J99" s="24"/>
      <c r="K99" s="24"/>
      <c r="L99" s="43"/>
      <c r="M99" s="39"/>
      <c r="N99" s="40"/>
      <c r="O99" s="41">
        <f>VLOOKUP(B99,出勤汇总!C:S,17,0)</f>
        <v>19</v>
      </c>
      <c r="P99" s="42">
        <f t="shared" si="5"/>
        <v>19</v>
      </c>
      <c r="Q99" s="42">
        <f>VLOOKUP(B99,餐补次数!R:S,2,0)</f>
        <v>7</v>
      </c>
      <c r="R99" s="51">
        <f t="shared" ref="R99:R128" si="6">Q99*15</f>
        <v>105</v>
      </c>
    </row>
    <row r="100" s="3" customFormat="1" customHeight="1" spans="1:18">
      <c r="A100" s="21" t="s">
        <v>972</v>
      </c>
      <c r="B100" s="22" t="s">
        <v>973</v>
      </c>
      <c r="C100" s="22" t="s">
        <v>898</v>
      </c>
      <c r="D100" s="18" t="s">
        <v>837</v>
      </c>
      <c r="E100" s="23"/>
      <c r="F100" s="24"/>
      <c r="G100" s="24"/>
      <c r="H100" s="24"/>
      <c r="I100" s="24"/>
      <c r="J100" s="24"/>
      <c r="K100" s="24"/>
      <c r="L100" s="43"/>
      <c r="M100" s="39"/>
      <c r="N100" s="40"/>
      <c r="O100" s="41">
        <f>VLOOKUP(B100,出勤汇总!C:S,17,0)</f>
        <v>19</v>
      </c>
      <c r="P100" s="42">
        <f t="shared" ref="P100:P128" si="7">O100-L100-M100-N100</f>
        <v>19</v>
      </c>
      <c r="Q100" s="42">
        <f>VLOOKUP(B100,餐补次数!R:S,2,0)</f>
        <v>5</v>
      </c>
      <c r="R100" s="51">
        <f t="shared" si="6"/>
        <v>75</v>
      </c>
    </row>
    <row r="101" s="4" customFormat="1" customHeight="1" spans="1:16384">
      <c r="A101" s="29" t="s">
        <v>974</v>
      </c>
      <c r="B101" s="30" t="s">
        <v>975</v>
      </c>
      <c r="C101" s="30" t="s">
        <v>898</v>
      </c>
      <c r="D101" s="31" t="s">
        <v>837</v>
      </c>
      <c r="E101" s="32"/>
      <c r="F101" s="33"/>
      <c r="G101" s="33"/>
      <c r="H101" s="33"/>
      <c r="I101" s="33"/>
      <c r="J101" s="33"/>
      <c r="K101" s="33"/>
      <c r="L101" s="44"/>
      <c r="M101" s="45">
        <f>VLOOKUP(B101,出勤汇总!C:AA,25,0)</f>
        <v>1</v>
      </c>
      <c r="N101" s="46">
        <f>VLOOKUP(B101,出勤汇总!C:AB,26,0)</f>
        <v>4</v>
      </c>
      <c r="O101" s="47">
        <f>VLOOKUP(B101,出勤汇总!C:S,17,0)</f>
        <v>19</v>
      </c>
      <c r="P101" s="48">
        <f t="shared" si="7"/>
        <v>14</v>
      </c>
      <c r="Q101" s="48">
        <f>VLOOKUP(B101,餐补次数!R:S,2,0)</f>
        <v>6</v>
      </c>
      <c r="R101" s="52">
        <f>Q101*15+P101*15</f>
        <v>300</v>
      </c>
      <c r="S101" s="53"/>
      <c r="T101" s="53"/>
      <c r="U101" s="53"/>
      <c r="V101" s="53"/>
      <c r="W101" s="53"/>
      <c r="X101" s="53"/>
      <c r="Y101" s="53"/>
      <c r="Z101" s="53"/>
      <c r="AA101" s="53"/>
      <c r="AB101" s="53"/>
      <c r="AC101" s="53"/>
      <c r="AD101" s="53"/>
      <c r="AE101" s="53"/>
      <c r="AF101" s="53"/>
      <c r="AG101" s="53"/>
      <c r="AH101" s="53"/>
      <c r="AI101" s="53"/>
      <c r="AJ101" s="53"/>
      <c r="AK101" s="53"/>
      <c r="AL101" s="53"/>
      <c r="AM101" s="53"/>
      <c r="AN101" s="53"/>
      <c r="AO101" s="53"/>
      <c r="AP101" s="53"/>
      <c r="AQ101" s="53"/>
      <c r="AR101" s="53"/>
      <c r="AS101" s="53"/>
      <c r="AT101" s="53"/>
      <c r="AU101" s="53"/>
      <c r="AV101" s="53"/>
      <c r="AW101" s="53"/>
      <c r="AX101" s="53"/>
      <c r="AY101" s="53"/>
      <c r="AZ101" s="53"/>
      <c r="BA101" s="53"/>
      <c r="BB101" s="53"/>
      <c r="BC101" s="53"/>
      <c r="BD101" s="53"/>
      <c r="BE101" s="53"/>
      <c r="BF101" s="53"/>
      <c r="BG101" s="53"/>
      <c r="BH101" s="53"/>
      <c r="BI101" s="53"/>
      <c r="BJ101" s="53"/>
      <c r="BK101" s="53"/>
      <c r="BL101" s="53"/>
      <c r="BM101" s="53"/>
      <c r="BN101" s="53"/>
      <c r="BO101" s="53"/>
      <c r="BP101" s="53"/>
      <c r="BQ101" s="53"/>
      <c r="BR101" s="53"/>
      <c r="BS101" s="53"/>
      <c r="BT101" s="53"/>
      <c r="BU101" s="53"/>
      <c r="BV101" s="53"/>
      <c r="BW101" s="53"/>
      <c r="BX101" s="53"/>
      <c r="BY101" s="53"/>
      <c r="BZ101" s="53"/>
      <c r="CA101" s="53"/>
      <c r="CB101" s="53"/>
      <c r="CC101" s="53"/>
      <c r="CD101" s="53"/>
      <c r="CE101" s="53"/>
      <c r="CF101" s="53"/>
      <c r="CG101" s="53"/>
      <c r="CH101" s="53"/>
      <c r="CI101" s="53"/>
      <c r="CJ101" s="53"/>
      <c r="CK101" s="53"/>
      <c r="CL101" s="53"/>
      <c r="CM101" s="53"/>
      <c r="CN101" s="53"/>
      <c r="CO101" s="53"/>
      <c r="CP101" s="53"/>
      <c r="CQ101" s="53"/>
      <c r="CR101" s="53"/>
      <c r="CS101" s="53"/>
      <c r="CT101" s="53"/>
      <c r="CU101" s="53"/>
      <c r="CV101" s="53"/>
      <c r="CW101" s="53"/>
      <c r="CX101" s="53"/>
      <c r="CY101" s="53"/>
      <c r="CZ101" s="53"/>
      <c r="DA101" s="53"/>
      <c r="DB101" s="53"/>
      <c r="DC101" s="53"/>
      <c r="DD101" s="53"/>
      <c r="DE101" s="53"/>
      <c r="DF101" s="53"/>
      <c r="DG101" s="53"/>
      <c r="DH101" s="53"/>
      <c r="DI101" s="53"/>
      <c r="DJ101" s="53"/>
      <c r="DK101" s="53"/>
      <c r="DL101" s="53"/>
      <c r="DM101" s="53"/>
      <c r="DN101" s="53"/>
      <c r="DO101" s="53"/>
      <c r="DP101" s="53"/>
      <c r="DQ101" s="53"/>
      <c r="DR101" s="53"/>
      <c r="DS101" s="53"/>
      <c r="DT101" s="53"/>
      <c r="DU101" s="53"/>
      <c r="DV101" s="53"/>
      <c r="DW101" s="53"/>
      <c r="DX101" s="53"/>
      <c r="DY101" s="53"/>
      <c r="DZ101" s="53"/>
      <c r="EA101" s="53"/>
      <c r="EB101" s="53"/>
      <c r="EC101" s="53"/>
      <c r="ED101" s="53"/>
      <c r="EE101" s="53"/>
      <c r="EF101" s="53"/>
      <c r="EG101" s="53"/>
      <c r="EH101" s="53"/>
      <c r="EI101" s="53"/>
      <c r="EJ101" s="53"/>
      <c r="EK101" s="53"/>
      <c r="EL101" s="53"/>
      <c r="EM101" s="53"/>
      <c r="EN101" s="53"/>
      <c r="EO101" s="53"/>
      <c r="EP101" s="53"/>
      <c r="EQ101" s="53"/>
      <c r="ER101" s="53"/>
      <c r="ES101" s="53"/>
      <c r="ET101" s="53"/>
      <c r="EU101" s="53"/>
      <c r="EV101" s="53"/>
      <c r="EW101" s="53"/>
      <c r="EX101" s="53"/>
      <c r="EY101" s="53"/>
      <c r="EZ101" s="53"/>
      <c r="FA101" s="53"/>
      <c r="FB101" s="53"/>
      <c r="FC101" s="53"/>
      <c r="FD101" s="53"/>
      <c r="FE101" s="53"/>
      <c r="FF101" s="53"/>
      <c r="FG101" s="53"/>
      <c r="FH101" s="53"/>
      <c r="FI101" s="53"/>
      <c r="FJ101" s="53"/>
      <c r="FK101" s="53"/>
      <c r="FL101" s="53"/>
      <c r="FM101" s="53"/>
      <c r="FN101" s="53"/>
      <c r="FO101" s="53"/>
      <c r="FP101" s="53"/>
      <c r="FQ101" s="53"/>
      <c r="FR101" s="53"/>
      <c r="FS101" s="53"/>
      <c r="FT101" s="53"/>
      <c r="FU101" s="53"/>
      <c r="FV101" s="53"/>
      <c r="FW101" s="53"/>
      <c r="FX101" s="53"/>
      <c r="FY101" s="53"/>
      <c r="FZ101" s="53"/>
      <c r="GA101" s="53"/>
      <c r="GB101" s="53"/>
      <c r="GC101" s="53"/>
      <c r="GD101" s="53"/>
      <c r="GE101" s="53"/>
      <c r="GF101" s="53"/>
      <c r="GG101" s="53"/>
      <c r="GH101" s="53"/>
      <c r="GI101" s="53"/>
      <c r="GJ101" s="53"/>
      <c r="GK101" s="53"/>
      <c r="GL101" s="53"/>
      <c r="GM101" s="53"/>
      <c r="GN101" s="53"/>
      <c r="GO101" s="53"/>
      <c r="GP101" s="53"/>
      <c r="GQ101" s="53"/>
      <c r="GR101" s="53"/>
      <c r="GS101" s="53"/>
      <c r="GT101" s="53"/>
      <c r="GU101" s="53"/>
      <c r="GV101" s="53"/>
      <c r="GW101" s="53"/>
      <c r="GX101" s="53"/>
      <c r="GY101" s="53"/>
      <c r="GZ101" s="53"/>
      <c r="HA101" s="53"/>
      <c r="HB101" s="53"/>
      <c r="HC101" s="53"/>
      <c r="HD101" s="53"/>
      <c r="HE101" s="53"/>
      <c r="HF101" s="53"/>
      <c r="HG101" s="53"/>
      <c r="HH101" s="53"/>
      <c r="HI101" s="53"/>
      <c r="HJ101" s="53"/>
      <c r="HK101" s="53"/>
      <c r="HL101" s="53"/>
      <c r="HM101" s="53"/>
      <c r="HN101" s="53"/>
      <c r="HO101" s="53"/>
      <c r="HP101" s="53"/>
      <c r="HQ101" s="53"/>
      <c r="HR101" s="53"/>
      <c r="HS101" s="53"/>
      <c r="HT101" s="53"/>
      <c r="HU101" s="53"/>
      <c r="HV101" s="53"/>
      <c r="HW101" s="53"/>
      <c r="HX101" s="53"/>
      <c r="HY101" s="53"/>
      <c r="HZ101" s="53"/>
      <c r="IA101" s="53"/>
      <c r="IB101" s="53"/>
      <c r="IC101" s="53"/>
      <c r="ID101" s="53"/>
      <c r="IE101" s="53"/>
      <c r="IF101" s="53"/>
      <c r="IG101" s="53"/>
      <c r="IH101" s="53"/>
      <c r="II101" s="53"/>
      <c r="IJ101" s="53"/>
      <c r="IK101" s="53"/>
      <c r="IL101" s="53"/>
      <c r="IM101" s="53"/>
      <c r="IN101" s="53"/>
      <c r="IO101" s="53"/>
      <c r="IP101" s="53"/>
      <c r="IQ101" s="53"/>
      <c r="IR101" s="53"/>
      <c r="IS101" s="53"/>
      <c r="IT101" s="53"/>
      <c r="IU101" s="53"/>
      <c r="IV101" s="53"/>
      <c r="IW101" s="53"/>
      <c r="IX101" s="53"/>
      <c r="IY101" s="53"/>
      <c r="IZ101" s="53"/>
      <c r="JA101" s="53"/>
      <c r="JB101" s="53"/>
      <c r="JC101" s="53"/>
      <c r="JD101" s="53"/>
      <c r="JE101" s="53"/>
      <c r="JF101" s="53"/>
      <c r="JG101" s="53"/>
      <c r="JH101" s="53"/>
      <c r="JI101" s="53"/>
      <c r="JJ101" s="53"/>
      <c r="JK101" s="53"/>
      <c r="JL101" s="53"/>
      <c r="JM101" s="53"/>
      <c r="JN101" s="53"/>
      <c r="JO101" s="53"/>
      <c r="JP101" s="53"/>
      <c r="JQ101" s="53"/>
      <c r="JR101" s="53"/>
      <c r="JS101" s="53"/>
      <c r="JT101" s="53"/>
      <c r="JU101" s="53"/>
      <c r="JV101" s="53"/>
      <c r="JW101" s="53"/>
      <c r="JX101" s="53"/>
      <c r="JY101" s="53"/>
      <c r="JZ101" s="53"/>
      <c r="KA101" s="53"/>
      <c r="KB101" s="53"/>
      <c r="KC101" s="53"/>
      <c r="KD101" s="53"/>
      <c r="KE101" s="53"/>
      <c r="KF101" s="53"/>
      <c r="KG101" s="53"/>
      <c r="KH101" s="53"/>
      <c r="KI101" s="53"/>
      <c r="KJ101" s="53"/>
      <c r="KK101" s="53"/>
      <c r="KL101" s="53"/>
      <c r="KM101" s="53"/>
      <c r="KN101" s="53"/>
      <c r="KO101" s="53"/>
      <c r="KP101" s="53"/>
      <c r="KQ101" s="53"/>
      <c r="KR101" s="53"/>
      <c r="KS101" s="53"/>
      <c r="KT101" s="53"/>
      <c r="KU101" s="53"/>
      <c r="KV101" s="53"/>
      <c r="KW101" s="53"/>
      <c r="KX101" s="53"/>
      <c r="KY101" s="53"/>
      <c r="KZ101" s="53"/>
      <c r="LA101" s="53"/>
      <c r="LB101" s="53"/>
      <c r="LC101" s="53"/>
      <c r="LD101" s="53"/>
      <c r="LE101" s="53"/>
      <c r="LF101" s="53"/>
      <c r="LG101" s="53"/>
      <c r="LH101" s="53"/>
      <c r="LI101" s="53"/>
      <c r="LJ101" s="53"/>
      <c r="LK101" s="53"/>
      <c r="LL101" s="53"/>
      <c r="LM101" s="53"/>
      <c r="LN101" s="53"/>
      <c r="LO101" s="53"/>
      <c r="LP101" s="53"/>
      <c r="LQ101" s="53"/>
      <c r="LR101" s="53"/>
      <c r="LS101" s="53"/>
      <c r="LT101" s="53"/>
      <c r="LU101" s="53"/>
      <c r="LV101" s="53"/>
      <c r="LW101" s="53"/>
      <c r="LX101" s="53"/>
      <c r="LY101" s="53"/>
      <c r="LZ101" s="53"/>
      <c r="MA101" s="53"/>
      <c r="MB101" s="53"/>
      <c r="MC101" s="53"/>
      <c r="MD101" s="53"/>
      <c r="ME101" s="53"/>
      <c r="MF101" s="53"/>
      <c r="MG101" s="53"/>
      <c r="MH101" s="53"/>
      <c r="MI101" s="53"/>
      <c r="MJ101" s="53"/>
      <c r="MK101" s="53"/>
      <c r="ML101" s="53"/>
      <c r="MM101" s="53"/>
      <c r="MN101" s="53"/>
      <c r="MO101" s="53"/>
      <c r="MP101" s="53"/>
      <c r="MQ101" s="53"/>
      <c r="MR101" s="53"/>
      <c r="MS101" s="53"/>
      <c r="MT101" s="53"/>
      <c r="MU101" s="53"/>
      <c r="MV101" s="53"/>
      <c r="MW101" s="53"/>
      <c r="MX101" s="53"/>
      <c r="MY101" s="53"/>
      <c r="MZ101" s="53"/>
      <c r="NA101" s="53"/>
      <c r="NB101" s="53"/>
      <c r="NC101" s="53"/>
      <c r="ND101" s="53"/>
      <c r="NE101" s="53"/>
      <c r="NF101" s="53"/>
      <c r="NG101" s="53"/>
      <c r="NH101" s="53"/>
      <c r="NI101" s="53"/>
      <c r="NJ101" s="53"/>
      <c r="NK101" s="53"/>
      <c r="NL101" s="53"/>
      <c r="NM101" s="53"/>
      <c r="NN101" s="53"/>
      <c r="NO101" s="53"/>
      <c r="NP101" s="53"/>
      <c r="NQ101" s="53"/>
      <c r="NR101" s="53"/>
      <c r="NS101" s="53"/>
      <c r="NT101" s="53"/>
      <c r="NU101" s="53"/>
      <c r="NV101" s="53"/>
      <c r="NW101" s="53"/>
      <c r="NX101" s="53"/>
      <c r="NY101" s="53"/>
      <c r="NZ101" s="53"/>
      <c r="OA101" s="53"/>
      <c r="OB101" s="53"/>
      <c r="OC101" s="53"/>
      <c r="OD101" s="53"/>
      <c r="OE101" s="53"/>
      <c r="OF101" s="53"/>
      <c r="OG101" s="53"/>
      <c r="OH101" s="53"/>
      <c r="OI101" s="53"/>
      <c r="OJ101" s="53"/>
      <c r="OK101" s="53"/>
      <c r="OL101" s="53"/>
      <c r="OM101" s="53"/>
      <c r="ON101" s="53"/>
      <c r="OO101" s="53"/>
      <c r="OP101" s="53"/>
      <c r="OQ101" s="53"/>
      <c r="OR101" s="53"/>
      <c r="OS101" s="53"/>
      <c r="OT101" s="53"/>
      <c r="OU101" s="53"/>
      <c r="OV101" s="53"/>
      <c r="OW101" s="53"/>
      <c r="OX101" s="53"/>
      <c r="OY101" s="53"/>
      <c r="OZ101" s="53"/>
      <c r="PA101" s="53"/>
      <c r="PB101" s="53"/>
      <c r="PC101" s="53"/>
      <c r="PD101" s="53"/>
      <c r="PE101" s="53"/>
      <c r="PF101" s="53"/>
      <c r="PG101" s="53"/>
      <c r="PH101" s="53"/>
      <c r="PI101" s="53"/>
      <c r="PJ101" s="53"/>
      <c r="PK101" s="53"/>
      <c r="PL101" s="53"/>
      <c r="PM101" s="53"/>
      <c r="PN101" s="53"/>
      <c r="PO101" s="53"/>
      <c r="PP101" s="53"/>
      <c r="PQ101" s="53"/>
      <c r="PR101" s="53"/>
      <c r="PS101" s="53"/>
      <c r="PT101" s="53"/>
      <c r="PU101" s="53"/>
      <c r="PV101" s="53"/>
      <c r="PW101" s="53"/>
      <c r="PX101" s="53"/>
      <c r="PY101" s="53"/>
      <c r="PZ101" s="53"/>
      <c r="QA101" s="53"/>
      <c r="QB101" s="53"/>
      <c r="QC101" s="53"/>
      <c r="QD101" s="53"/>
      <c r="QE101" s="53"/>
      <c r="QF101" s="53"/>
      <c r="QG101" s="53"/>
      <c r="QH101" s="53"/>
      <c r="QI101" s="53"/>
      <c r="QJ101" s="53"/>
      <c r="QK101" s="53"/>
      <c r="QL101" s="53"/>
      <c r="QM101" s="53"/>
      <c r="QN101" s="53"/>
      <c r="QO101" s="53"/>
      <c r="QP101" s="53"/>
      <c r="QQ101" s="53"/>
      <c r="QR101" s="53"/>
      <c r="QS101" s="53"/>
      <c r="QT101" s="53"/>
      <c r="QU101" s="53"/>
      <c r="QV101" s="53"/>
      <c r="QW101" s="53"/>
      <c r="QX101" s="53"/>
      <c r="QY101" s="53"/>
      <c r="QZ101" s="53"/>
      <c r="RA101" s="53"/>
      <c r="RB101" s="53"/>
      <c r="RC101" s="53"/>
      <c r="RD101" s="53"/>
      <c r="RE101" s="53"/>
      <c r="RF101" s="53"/>
      <c r="RG101" s="53"/>
      <c r="RH101" s="53"/>
      <c r="RI101" s="53"/>
      <c r="RJ101" s="53"/>
      <c r="RK101" s="53"/>
      <c r="RL101" s="53"/>
      <c r="RM101" s="53"/>
      <c r="RN101" s="53"/>
      <c r="RO101" s="53"/>
      <c r="RP101" s="53"/>
      <c r="RQ101" s="53"/>
      <c r="RR101" s="53"/>
      <c r="RS101" s="53"/>
      <c r="RT101" s="53"/>
      <c r="RU101" s="53"/>
      <c r="RV101" s="53"/>
      <c r="RW101" s="53"/>
      <c r="RX101" s="53"/>
      <c r="RY101" s="53"/>
      <c r="RZ101" s="53"/>
      <c r="SA101" s="53"/>
      <c r="SB101" s="53"/>
      <c r="SC101" s="53"/>
      <c r="SD101" s="53"/>
      <c r="SE101" s="53"/>
      <c r="SF101" s="53"/>
      <c r="SG101" s="53"/>
      <c r="SH101" s="53"/>
      <c r="SI101" s="53"/>
      <c r="SJ101" s="53"/>
      <c r="SK101" s="53"/>
      <c r="SL101" s="53"/>
      <c r="SM101" s="53"/>
      <c r="SN101" s="53"/>
      <c r="SO101" s="53"/>
      <c r="SP101" s="53"/>
      <c r="SQ101" s="53"/>
      <c r="SR101" s="53"/>
      <c r="SS101" s="53"/>
      <c r="ST101" s="53"/>
      <c r="SU101" s="53"/>
      <c r="SV101" s="53"/>
      <c r="SW101" s="53"/>
      <c r="SX101" s="53"/>
      <c r="SY101" s="53"/>
      <c r="SZ101" s="53"/>
      <c r="TA101" s="53"/>
      <c r="TB101" s="53"/>
      <c r="TC101" s="53"/>
      <c r="TD101" s="53"/>
      <c r="TE101" s="53"/>
      <c r="TF101" s="53"/>
      <c r="TG101" s="53"/>
      <c r="TH101" s="53"/>
      <c r="TI101" s="53"/>
      <c r="TJ101" s="53"/>
      <c r="TK101" s="53"/>
      <c r="TL101" s="53"/>
      <c r="TM101" s="53"/>
      <c r="TN101" s="53"/>
      <c r="TO101" s="53"/>
      <c r="TP101" s="53"/>
      <c r="TQ101" s="53"/>
      <c r="TR101" s="53"/>
      <c r="TS101" s="53"/>
      <c r="TT101" s="53"/>
      <c r="TU101" s="53"/>
      <c r="TV101" s="53"/>
      <c r="TW101" s="53"/>
      <c r="TX101" s="53"/>
      <c r="TY101" s="53"/>
      <c r="TZ101" s="53"/>
      <c r="UA101" s="53"/>
      <c r="UB101" s="53"/>
      <c r="UC101" s="53"/>
      <c r="UD101" s="53"/>
      <c r="UE101" s="53"/>
      <c r="UF101" s="53"/>
      <c r="UG101" s="53"/>
      <c r="UH101" s="53"/>
      <c r="UI101" s="53"/>
      <c r="UJ101" s="53"/>
      <c r="UK101" s="53"/>
      <c r="UL101" s="53"/>
      <c r="UM101" s="53"/>
      <c r="UN101" s="53"/>
      <c r="UO101" s="53"/>
      <c r="UP101" s="53"/>
      <c r="UQ101" s="53"/>
      <c r="UR101" s="53"/>
      <c r="US101" s="53"/>
      <c r="UT101" s="53"/>
      <c r="UU101" s="53"/>
      <c r="UV101" s="53"/>
      <c r="UW101" s="53"/>
      <c r="UX101" s="53"/>
      <c r="UY101" s="53"/>
      <c r="UZ101" s="53"/>
      <c r="VA101" s="53"/>
      <c r="VB101" s="53"/>
      <c r="VC101" s="53"/>
      <c r="VD101" s="53"/>
      <c r="VE101" s="53"/>
      <c r="VF101" s="53"/>
      <c r="VG101" s="53"/>
      <c r="VH101" s="53"/>
      <c r="VI101" s="53"/>
      <c r="VJ101" s="53"/>
      <c r="VK101" s="53"/>
      <c r="VL101" s="53"/>
      <c r="VM101" s="53"/>
      <c r="VN101" s="53"/>
      <c r="VO101" s="53"/>
      <c r="VP101" s="53"/>
      <c r="VQ101" s="53"/>
      <c r="VR101" s="53"/>
      <c r="VS101" s="53"/>
      <c r="VT101" s="53"/>
      <c r="VU101" s="53"/>
      <c r="VV101" s="53"/>
      <c r="VW101" s="53"/>
      <c r="VX101" s="53"/>
      <c r="VY101" s="53"/>
      <c r="VZ101" s="53"/>
      <c r="WA101" s="53"/>
      <c r="WB101" s="53"/>
      <c r="WC101" s="53"/>
      <c r="WD101" s="53"/>
      <c r="WE101" s="53"/>
      <c r="WF101" s="53"/>
      <c r="WG101" s="53"/>
      <c r="WH101" s="53"/>
      <c r="WI101" s="53"/>
      <c r="WJ101" s="53"/>
      <c r="WK101" s="53"/>
      <c r="WL101" s="53"/>
      <c r="WM101" s="53"/>
      <c r="WN101" s="53"/>
      <c r="WO101" s="53"/>
      <c r="WP101" s="53"/>
      <c r="WQ101" s="53"/>
      <c r="WR101" s="53"/>
      <c r="WS101" s="53"/>
      <c r="WT101" s="53"/>
      <c r="WU101" s="53"/>
      <c r="WV101" s="53"/>
      <c r="WW101" s="53"/>
      <c r="WX101" s="53"/>
      <c r="WY101" s="53"/>
      <c r="WZ101" s="53"/>
      <c r="XA101" s="53"/>
      <c r="XB101" s="53"/>
      <c r="XC101" s="53"/>
      <c r="XD101" s="53"/>
      <c r="XE101" s="53"/>
      <c r="XF101" s="53"/>
      <c r="XG101" s="53"/>
      <c r="XH101" s="53"/>
      <c r="XI101" s="53"/>
      <c r="XJ101" s="53"/>
      <c r="XK101" s="53"/>
      <c r="XL101" s="53"/>
      <c r="XM101" s="53"/>
      <c r="XN101" s="53"/>
      <c r="XO101" s="53"/>
      <c r="XP101" s="53"/>
      <c r="XQ101" s="53"/>
      <c r="XR101" s="53"/>
      <c r="XS101" s="53"/>
      <c r="XT101" s="53"/>
      <c r="XU101" s="53"/>
      <c r="XV101" s="53"/>
      <c r="XW101" s="53"/>
      <c r="XX101" s="53"/>
      <c r="XY101" s="53"/>
      <c r="XZ101" s="53"/>
      <c r="YA101" s="53"/>
      <c r="YB101" s="53"/>
      <c r="YC101" s="53"/>
      <c r="YD101" s="53"/>
      <c r="YE101" s="53"/>
      <c r="YF101" s="53"/>
      <c r="YG101" s="53"/>
      <c r="YH101" s="53"/>
      <c r="YI101" s="53"/>
      <c r="YJ101" s="53"/>
      <c r="YK101" s="53"/>
      <c r="YL101" s="53"/>
      <c r="YM101" s="53"/>
      <c r="YN101" s="53"/>
      <c r="YO101" s="53"/>
      <c r="YP101" s="53"/>
      <c r="YQ101" s="53"/>
      <c r="YR101" s="53"/>
      <c r="YS101" s="53"/>
      <c r="YT101" s="53"/>
      <c r="YU101" s="53"/>
      <c r="YV101" s="53"/>
      <c r="YW101" s="53"/>
      <c r="YX101" s="53"/>
      <c r="YY101" s="53"/>
      <c r="YZ101" s="53"/>
      <c r="ZA101" s="53"/>
      <c r="ZB101" s="53"/>
      <c r="ZC101" s="53"/>
      <c r="ZD101" s="53"/>
      <c r="ZE101" s="53"/>
      <c r="ZF101" s="53"/>
      <c r="ZG101" s="53"/>
      <c r="ZH101" s="53"/>
      <c r="ZI101" s="53"/>
      <c r="ZJ101" s="53"/>
      <c r="ZK101" s="53"/>
      <c r="ZL101" s="53"/>
      <c r="ZM101" s="53"/>
      <c r="ZN101" s="53"/>
      <c r="ZO101" s="53"/>
      <c r="ZP101" s="53"/>
      <c r="ZQ101" s="53"/>
      <c r="ZR101" s="53"/>
      <c r="ZS101" s="53"/>
      <c r="ZT101" s="53"/>
      <c r="ZU101" s="53"/>
      <c r="ZV101" s="53"/>
      <c r="ZW101" s="53"/>
      <c r="ZX101" s="53"/>
      <c r="ZY101" s="53"/>
      <c r="ZZ101" s="53"/>
      <c r="AAA101" s="53"/>
      <c r="AAB101" s="53"/>
      <c r="AAC101" s="53"/>
      <c r="AAD101" s="53"/>
      <c r="AAE101" s="53"/>
      <c r="AAF101" s="53"/>
      <c r="AAG101" s="53"/>
      <c r="AAH101" s="53"/>
      <c r="AAI101" s="53"/>
      <c r="AAJ101" s="53"/>
      <c r="AAK101" s="53"/>
      <c r="AAL101" s="53"/>
      <c r="AAM101" s="53"/>
      <c r="AAN101" s="53"/>
      <c r="AAO101" s="53"/>
      <c r="AAP101" s="53"/>
      <c r="AAQ101" s="53"/>
      <c r="AAR101" s="53"/>
      <c r="AAS101" s="53"/>
      <c r="AAT101" s="53"/>
      <c r="AAU101" s="53"/>
      <c r="AAV101" s="53"/>
      <c r="AAW101" s="53"/>
      <c r="AAX101" s="53"/>
      <c r="AAY101" s="53"/>
      <c r="AAZ101" s="53"/>
      <c r="ABA101" s="53"/>
      <c r="ABB101" s="53"/>
      <c r="ABC101" s="53"/>
      <c r="ABD101" s="53"/>
      <c r="ABE101" s="53"/>
      <c r="ABF101" s="53"/>
      <c r="ABG101" s="53"/>
      <c r="ABH101" s="53"/>
      <c r="ABI101" s="53"/>
      <c r="ABJ101" s="53"/>
      <c r="ABK101" s="53"/>
      <c r="ABL101" s="53"/>
      <c r="ABM101" s="53"/>
      <c r="ABN101" s="53"/>
      <c r="ABO101" s="53"/>
      <c r="ABP101" s="53"/>
      <c r="ABQ101" s="53"/>
      <c r="ABR101" s="53"/>
      <c r="ABS101" s="53"/>
      <c r="ABT101" s="53"/>
      <c r="ABU101" s="53"/>
      <c r="ABV101" s="53"/>
      <c r="ABW101" s="53"/>
      <c r="ABX101" s="53"/>
      <c r="ABY101" s="53"/>
      <c r="ABZ101" s="53"/>
      <c r="ACA101" s="53"/>
      <c r="ACB101" s="53"/>
      <c r="ACC101" s="53"/>
      <c r="ACD101" s="53"/>
      <c r="ACE101" s="53"/>
      <c r="ACF101" s="53"/>
      <c r="ACG101" s="53"/>
      <c r="ACH101" s="53"/>
      <c r="ACI101" s="53"/>
      <c r="ACJ101" s="53"/>
      <c r="ACK101" s="53"/>
      <c r="ACL101" s="53"/>
      <c r="ACM101" s="53"/>
      <c r="ACN101" s="53"/>
      <c r="ACO101" s="53"/>
      <c r="ACP101" s="53"/>
      <c r="ACQ101" s="53"/>
      <c r="ACR101" s="53"/>
      <c r="ACS101" s="53"/>
      <c r="ACT101" s="53"/>
      <c r="ACU101" s="53"/>
      <c r="ACV101" s="53"/>
      <c r="ACW101" s="53"/>
      <c r="ACX101" s="53"/>
      <c r="ACY101" s="53"/>
      <c r="ACZ101" s="53"/>
      <c r="ADA101" s="53"/>
      <c r="ADB101" s="53"/>
      <c r="ADC101" s="53"/>
      <c r="ADD101" s="53"/>
      <c r="ADE101" s="53"/>
      <c r="ADF101" s="53"/>
      <c r="ADG101" s="53"/>
      <c r="ADH101" s="53"/>
      <c r="ADI101" s="53"/>
      <c r="ADJ101" s="53"/>
      <c r="ADK101" s="53"/>
      <c r="ADL101" s="53"/>
      <c r="ADM101" s="53"/>
      <c r="ADN101" s="53"/>
      <c r="ADO101" s="53"/>
      <c r="ADP101" s="53"/>
      <c r="ADQ101" s="53"/>
      <c r="ADR101" s="53"/>
      <c r="ADS101" s="53"/>
      <c r="ADT101" s="53"/>
      <c r="ADU101" s="53"/>
      <c r="ADV101" s="53"/>
      <c r="ADW101" s="53"/>
      <c r="ADX101" s="53"/>
      <c r="ADY101" s="53"/>
      <c r="ADZ101" s="53"/>
      <c r="AEA101" s="53"/>
      <c r="AEB101" s="53"/>
      <c r="AEC101" s="53"/>
      <c r="AED101" s="53"/>
      <c r="AEE101" s="53"/>
      <c r="AEF101" s="53"/>
      <c r="AEG101" s="53"/>
      <c r="AEH101" s="53"/>
      <c r="AEI101" s="53"/>
      <c r="AEJ101" s="53"/>
      <c r="AEK101" s="53"/>
      <c r="AEL101" s="53"/>
      <c r="AEM101" s="53"/>
      <c r="AEN101" s="53"/>
      <c r="AEO101" s="53"/>
      <c r="AEP101" s="53"/>
      <c r="AEQ101" s="53"/>
      <c r="AER101" s="53"/>
      <c r="AES101" s="53"/>
      <c r="AET101" s="53"/>
      <c r="AEU101" s="53"/>
      <c r="AEV101" s="53"/>
      <c r="AEW101" s="53"/>
      <c r="AEX101" s="53"/>
      <c r="AEY101" s="53"/>
      <c r="AEZ101" s="53"/>
      <c r="AFA101" s="53"/>
      <c r="AFB101" s="53"/>
      <c r="AFC101" s="53"/>
      <c r="AFD101" s="53"/>
      <c r="AFE101" s="53"/>
      <c r="AFF101" s="53"/>
      <c r="AFG101" s="53"/>
      <c r="AFH101" s="53"/>
      <c r="AFI101" s="53"/>
      <c r="AFJ101" s="53"/>
      <c r="AFK101" s="53"/>
      <c r="AFL101" s="53"/>
      <c r="AFM101" s="53"/>
      <c r="AFN101" s="53"/>
      <c r="AFO101" s="53"/>
      <c r="AFP101" s="53"/>
      <c r="AFQ101" s="53"/>
      <c r="AFR101" s="53"/>
      <c r="AFS101" s="53"/>
      <c r="AFT101" s="53"/>
      <c r="AFU101" s="53"/>
      <c r="AFV101" s="53"/>
      <c r="AFW101" s="53"/>
      <c r="AFX101" s="53"/>
      <c r="AFY101" s="53"/>
      <c r="AFZ101" s="53"/>
      <c r="AGA101" s="53"/>
      <c r="AGB101" s="53"/>
      <c r="AGC101" s="53"/>
      <c r="AGD101" s="53"/>
      <c r="AGE101" s="53"/>
      <c r="AGF101" s="53"/>
      <c r="AGG101" s="53"/>
      <c r="AGH101" s="53"/>
      <c r="AGI101" s="53"/>
      <c r="AGJ101" s="53"/>
      <c r="AGK101" s="53"/>
      <c r="AGL101" s="53"/>
      <c r="AGM101" s="53"/>
      <c r="AGN101" s="53"/>
      <c r="AGO101" s="53"/>
      <c r="AGP101" s="53"/>
      <c r="AGQ101" s="53"/>
      <c r="AGR101" s="53"/>
      <c r="AGS101" s="53"/>
      <c r="AGT101" s="53"/>
      <c r="AGU101" s="53"/>
      <c r="AGV101" s="53"/>
      <c r="AGW101" s="53"/>
      <c r="AGX101" s="53"/>
      <c r="AGY101" s="53"/>
      <c r="AGZ101" s="53"/>
      <c r="AHA101" s="53"/>
      <c r="AHB101" s="53"/>
      <c r="AHC101" s="53"/>
      <c r="AHD101" s="53"/>
      <c r="AHE101" s="53"/>
      <c r="AHF101" s="53"/>
      <c r="AHG101" s="53"/>
      <c r="AHH101" s="53"/>
      <c r="AHI101" s="53"/>
      <c r="AHJ101" s="53"/>
      <c r="AHK101" s="53"/>
      <c r="AHL101" s="53"/>
      <c r="AHM101" s="53"/>
      <c r="AHN101" s="53"/>
      <c r="AHO101" s="53"/>
      <c r="AHP101" s="53"/>
      <c r="AHQ101" s="53"/>
      <c r="AHR101" s="53"/>
      <c r="AHS101" s="53"/>
      <c r="AHT101" s="53"/>
      <c r="AHU101" s="53"/>
      <c r="AHV101" s="53"/>
      <c r="AHW101" s="53"/>
      <c r="AHX101" s="53"/>
      <c r="AHY101" s="53"/>
      <c r="AHZ101" s="53"/>
      <c r="AIA101" s="53"/>
      <c r="AIB101" s="53"/>
      <c r="AIC101" s="53"/>
      <c r="AID101" s="53"/>
      <c r="AIE101" s="53"/>
      <c r="AIF101" s="53"/>
      <c r="AIG101" s="53"/>
      <c r="AIH101" s="53"/>
      <c r="AII101" s="53"/>
      <c r="AIJ101" s="53"/>
      <c r="AIK101" s="53"/>
      <c r="AIL101" s="53"/>
      <c r="AIM101" s="53"/>
      <c r="AIN101" s="53"/>
      <c r="AIO101" s="53"/>
      <c r="AIP101" s="53"/>
      <c r="AIQ101" s="53"/>
      <c r="AIR101" s="53"/>
      <c r="AIS101" s="53"/>
      <c r="AIT101" s="53"/>
      <c r="AIU101" s="53"/>
      <c r="AIV101" s="53"/>
      <c r="AIW101" s="53"/>
      <c r="AIX101" s="53"/>
      <c r="AIY101" s="53"/>
      <c r="AIZ101" s="53"/>
      <c r="AJA101" s="53"/>
      <c r="AJB101" s="53"/>
      <c r="AJC101" s="53"/>
      <c r="AJD101" s="53"/>
      <c r="AJE101" s="53"/>
      <c r="AJF101" s="53"/>
      <c r="AJG101" s="53"/>
      <c r="AJH101" s="53"/>
      <c r="AJI101" s="53"/>
      <c r="AJJ101" s="53"/>
      <c r="AJK101" s="53"/>
      <c r="AJL101" s="53"/>
      <c r="AJM101" s="53"/>
      <c r="AJN101" s="53"/>
      <c r="AJO101" s="53"/>
      <c r="AJP101" s="53"/>
      <c r="AJQ101" s="53"/>
      <c r="AJR101" s="53"/>
      <c r="AJS101" s="53"/>
      <c r="AJT101" s="53"/>
      <c r="AJU101" s="53"/>
      <c r="AJV101" s="53"/>
      <c r="AJW101" s="53"/>
      <c r="AJX101" s="53"/>
      <c r="AJY101" s="53"/>
      <c r="AJZ101" s="53"/>
      <c r="AKA101" s="53"/>
      <c r="AKB101" s="53"/>
      <c r="AKC101" s="53"/>
      <c r="AKD101" s="53"/>
      <c r="AKE101" s="53"/>
      <c r="AKF101" s="53"/>
      <c r="AKG101" s="53"/>
      <c r="AKH101" s="53"/>
      <c r="AKI101" s="53"/>
      <c r="AKJ101" s="53"/>
      <c r="AKK101" s="53"/>
      <c r="AKL101" s="53"/>
      <c r="AKM101" s="53"/>
      <c r="AKN101" s="53"/>
      <c r="AKO101" s="53"/>
      <c r="AKP101" s="53"/>
      <c r="AKQ101" s="53"/>
      <c r="AKR101" s="53"/>
      <c r="AKS101" s="53"/>
      <c r="AKT101" s="53"/>
      <c r="AKU101" s="53"/>
      <c r="AKV101" s="53"/>
      <c r="AKW101" s="53"/>
      <c r="AKX101" s="53"/>
      <c r="AKY101" s="53"/>
      <c r="AKZ101" s="53"/>
      <c r="ALA101" s="53"/>
      <c r="ALB101" s="53"/>
      <c r="ALC101" s="53"/>
      <c r="ALD101" s="53"/>
      <c r="ALE101" s="53"/>
      <c r="ALF101" s="53"/>
      <c r="ALG101" s="53"/>
      <c r="ALH101" s="53"/>
      <c r="ALI101" s="53"/>
      <c r="ALJ101" s="53"/>
      <c r="ALK101" s="53"/>
      <c r="ALL101" s="53"/>
      <c r="ALM101" s="53"/>
      <c r="ALN101" s="53"/>
      <c r="ALO101" s="53"/>
      <c r="ALP101" s="53"/>
      <c r="ALQ101" s="53"/>
      <c r="ALR101" s="53"/>
      <c r="ALS101" s="53"/>
      <c r="ALT101" s="53"/>
      <c r="ALU101" s="53"/>
      <c r="ALV101" s="53"/>
      <c r="ALW101" s="53"/>
      <c r="ALX101" s="53"/>
      <c r="ALY101" s="53"/>
      <c r="ALZ101" s="53"/>
      <c r="AMA101" s="53"/>
      <c r="AMB101" s="53"/>
      <c r="AMC101" s="53"/>
      <c r="AMD101" s="53"/>
      <c r="AME101" s="53"/>
      <c r="AMF101" s="53"/>
      <c r="AMG101" s="53"/>
      <c r="AMH101" s="53"/>
      <c r="AMI101" s="53"/>
      <c r="AMJ101" s="53"/>
      <c r="AMK101" s="53"/>
      <c r="AML101" s="53"/>
      <c r="AMM101" s="53"/>
      <c r="AMN101" s="53"/>
      <c r="AMO101" s="53"/>
      <c r="AMP101" s="53"/>
      <c r="AMQ101" s="53"/>
      <c r="AMR101" s="53"/>
      <c r="AMS101" s="53"/>
      <c r="AMT101" s="53"/>
      <c r="AMU101" s="53"/>
      <c r="AMV101" s="53"/>
      <c r="AMW101" s="53"/>
      <c r="AMX101" s="53"/>
      <c r="AMY101" s="53"/>
      <c r="AMZ101" s="53"/>
      <c r="ANA101" s="53"/>
      <c r="ANB101" s="53"/>
      <c r="ANC101" s="53"/>
      <c r="AND101" s="53"/>
      <c r="ANE101" s="53"/>
      <c r="ANF101" s="53"/>
      <c r="ANG101" s="53"/>
      <c r="ANH101" s="53"/>
      <c r="ANI101" s="53"/>
      <c r="ANJ101" s="53"/>
      <c r="ANK101" s="53"/>
      <c r="ANL101" s="53"/>
      <c r="ANM101" s="53"/>
      <c r="ANN101" s="53"/>
      <c r="ANO101" s="53"/>
      <c r="ANP101" s="53"/>
      <c r="ANQ101" s="53"/>
      <c r="ANR101" s="53"/>
      <c r="ANS101" s="53"/>
      <c r="ANT101" s="53"/>
      <c r="ANU101" s="53"/>
      <c r="ANV101" s="53"/>
      <c r="ANW101" s="53"/>
      <c r="ANX101" s="53"/>
      <c r="ANY101" s="53"/>
      <c r="ANZ101" s="53"/>
      <c r="AOA101" s="53"/>
      <c r="AOB101" s="53"/>
      <c r="AOC101" s="53"/>
      <c r="AOD101" s="53"/>
      <c r="AOE101" s="53"/>
      <c r="AOF101" s="53"/>
      <c r="AOG101" s="53"/>
      <c r="AOH101" s="53"/>
      <c r="AOI101" s="53"/>
      <c r="AOJ101" s="53"/>
      <c r="AOK101" s="53"/>
      <c r="AOL101" s="53"/>
      <c r="AOM101" s="53"/>
      <c r="AON101" s="53"/>
      <c r="AOO101" s="53"/>
      <c r="AOP101" s="53"/>
      <c r="AOQ101" s="53"/>
      <c r="AOR101" s="53"/>
      <c r="AOS101" s="53"/>
      <c r="AOT101" s="53"/>
      <c r="AOU101" s="53"/>
      <c r="AOV101" s="53"/>
      <c r="AOW101" s="53"/>
      <c r="AOX101" s="53"/>
      <c r="AOY101" s="53"/>
      <c r="AOZ101" s="53"/>
      <c r="APA101" s="53"/>
      <c r="APB101" s="53"/>
      <c r="APC101" s="53"/>
      <c r="APD101" s="53"/>
      <c r="APE101" s="53"/>
      <c r="APF101" s="53"/>
      <c r="APG101" s="53"/>
      <c r="APH101" s="53"/>
      <c r="API101" s="53"/>
      <c r="APJ101" s="53"/>
      <c r="APK101" s="53"/>
      <c r="APL101" s="53"/>
      <c r="APM101" s="53"/>
      <c r="APN101" s="53"/>
      <c r="APO101" s="53"/>
      <c r="APP101" s="53"/>
      <c r="APQ101" s="53"/>
      <c r="APR101" s="53"/>
      <c r="APS101" s="53"/>
      <c r="APT101" s="53"/>
      <c r="APU101" s="53"/>
      <c r="APV101" s="53"/>
      <c r="APW101" s="53"/>
      <c r="APX101" s="53"/>
      <c r="APY101" s="53"/>
      <c r="APZ101" s="53"/>
      <c r="AQA101" s="53"/>
      <c r="AQB101" s="53"/>
      <c r="AQC101" s="53"/>
      <c r="AQD101" s="53"/>
      <c r="AQE101" s="53"/>
      <c r="AQF101" s="53"/>
      <c r="AQG101" s="53"/>
      <c r="AQH101" s="53"/>
      <c r="AQI101" s="53"/>
      <c r="AQJ101" s="53"/>
      <c r="AQK101" s="53"/>
      <c r="AQL101" s="53"/>
      <c r="AQM101" s="53"/>
      <c r="AQN101" s="53"/>
      <c r="AQO101" s="53"/>
      <c r="AQP101" s="53"/>
      <c r="AQQ101" s="53"/>
      <c r="AQR101" s="53"/>
      <c r="AQS101" s="53"/>
      <c r="AQT101" s="53"/>
      <c r="AQU101" s="53"/>
      <c r="AQV101" s="53"/>
      <c r="AQW101" s="53"/>
      <c r="AQX101" s="53"/>
      <c r="AQY101" s="53"/>
      <c r="AQZ101" s="53"/>
      <c r="ARA101" s="53"/>
      <c r="ARB101" s="53"/>
      <c r="ARC101" s="53"/>
      <c r="ARD101" s="53"/>
      <c r="ARE101" s="53"/>
      <c r="ARF101" s="53"/>
      <c r="ARG101" s="53"/>
      <c r="ARH101" s="53"/>
      <c r="ARI101" s="53"/>
      <c r="ARJ101" s="53"/>
      <c r="ARK101" s="53"/>
      <c r="ARL101" s="53"/>
      <c r="ARM101" s="53"/>
      <c r="ARN101" s="53"/>
      <c r="ARO101" s="53"/>
      <c r="ARP101" s="53"/>
      <c r="ARQ101" s="53"/>
      <c r="ARR101" s="53"/>
      <c r="ARS101" s="53"/>
      <c r="ART101" s="53"/>
      <c r="ARU101" s="53"/>
      <c r="ARV101" s="53"/>
      <c r="ARW101" s="53"/>
      <c r="ARX101" s="53"/>
      <c r="ARY101" s="53"/>
      <c r="ARZ101" s="53"/>
      <c r="ASA101" s="53"/>
      <c r="ASB101" s="53"/>
      <c r="ASC101" s="53"/>
      <c r="ASD101" s="53"/>
      <c r="ASE101" s="53"/>
      <c r="ASF101" s="53"/>
      <c r="ASG101" s="53"/>
      <c r="ASH101" s="53"/>
      <c r="ASI101" s="53"/>
      <c r="ASJ101" s="53"/>
      <c r="ASK101" s="53"/>
      <c r="ASL101" s="53"/>
      <c r="ASM101" s="53"/>
      <c r="ASN101" s="53"/>
      <c r="ASO101" s="53"/>
      <c r="ASP101" s="53"/>
      <c r="ASQ101" s="53"/>
      <c r="ASR101" s="53"/>
      <c r="ASS101" s="53"/>
      <c r="AST101" s="53"/>
      <c r="ASU101" s="53"/>
      <c r="ASV101" s="53"/>
      <c r="ASW101" s="53"/>
      <c r="ASX101" s="53"/>
      <c r="ASY101" s="53"/>
      <c r="ASZ101" s="53"/>
      <c r="ATA101" s="53"/>
      <c r="ATB101" s="53"/>
      <c r="ATC101" s="53"/>
      <c r="ATD101" s="53"/>
      <c r="ATE101" s="53"/>
      <c r="ATF101" s="53"/>
      <c r="ATG101" s="53"/>
      <c r="ATH101" s="53"/>
      <c r="ATI101" s="53"/>
      <c r="ATJ101" s="53"/>
      <c r="ATK101" s="53"/>
      <c r="ATL101" s="53"/>
      <c r="ATM101" s="53"/>
      <c r="ATN101" s="53"/>
      <c r="ATO101" s="53"/>
      <c r="ATP101" s="53"/>
      <c r="ATQ101" s="53"/>
      <c r="ATR101" s="53"/>
      <c r="ATS101" s="53"/>
      <c r="ATT101" s="53"/>
      <c r="ATU101" s="53"/>
      <c r="ATV101" s="53"/>
      <c r="ATW101" s="53"/>
      <c r="ATX101" s="53"/>
      <c r="ATY101" s="53"/>
      <c r="ATZ101" s="53"/>
      <c r="AUA101" s="53"/>
      <c r="AUB101" s="53"/>
      <c r="AUC101" s="53"/>
      <c r="AUD101" s="53"/>
      <c r="AUE101" s="53"/>
      <c r="AUF101" s="53"/>
      <c r="AUG101" s="53"/>
      <c r="AUH101" s="53"/>
      <c r="AUI101" s="53"/>
      <c r="AUJ101" s="53"/>
      <c r="AUK101" s="53"/>
      <c r="AUL101" s="53"/>
      <c r="AUM101" s="53"/>
      <c r="AUN101" s="53"/>
      <c r="AUO101" s="53"/>
      <c r="AUP101" s="53"/>
      <c r="AUQ101" s="53"/>
      <c r="AUR101" s="53"/>
      <c r="AUS101" s="53"/>
      <c r="AUT101" s="53"/>
      <c r="AUU101" s="53"/>
      <c r="AUV101" s="53"/>
      <c r="AUW101" s="53"/>
      <c r="AUX101" s="53"/>
      <c r="AUY101" s="53"/>
      <c r="AUZ101" s="53"/>
      <c r="AVA101" s="53"/>
      <c r="AVB101" s="53"/>
      <c r="AVC101" s="53"/>
      <c r="AVD101" s="53"/>
      <c r="AVE101" s="53"/>
      <c r="AVF101" s="53"/>
      <c r="AVG101" s="53"/>
      <c r="AVH101" s="53"/>
      <c r="AVI101" s="53"/>
      <c r="AVJ101" s="53"/>
      <c r="AVK101" s="53"/>
      <c r="AVL101" s="53"/>
      <c r="AVM101" s="53"/>
      <c r="AVN101" s="53"/>
      <c r="AVO101" s="53"/>
      <c r="AVP101" s="53"/>
      <c r="AVQ101" s="53"/>
      <c r="AVR101" s="53"/>
      <c r="AVS101" s="53"/>
      <c r="AVT101" s="53"/>
      <c r="AVU101" s="53"/>
      <c r="AVV101" s="53"/>
      <c r="AVW101" s="53"/>
      <c r="AVX101" s="53"/>
      <c r="AVY101" s="53"/>
      <c r="AVZ101" s="53"/>
      <c r="AWA101" s="53"/>
      <c r="AWB101" s="53"/>
      <c r="AWC101" s="53"/>
      <c r="AWD101" s="53"/>
      <c r="AWE101" s="53"/>
      <c r="AWF101" s="53"/>
      <c r="AWG101" s="53"/>
      <c r="AWH101" s="53"/>
      <c r="AWI101" s="53"/>
      <c r="AWJ101" s="53"/>
      <c r="AWK101" s="53"/>
      <c r="AWL101" s="53"/>
      <c r="AWM101" s="53"/>
      <c r="AWN101" s="53"/>
      <c r="AWO101" s="53"/>
      <c r="AWP101" s="53"/>
      <c r="AWQ101" s="53"/>
      <c r="AWR101" s="53"/>
      <c r="AWS101" s="53"/>
      <c r="AWT101" s="53"/>
      <c r="AWU101" s="53"/>
      <c r="AWV101" s="53"/>
      <c r="AWW101" s="53"/>
      <c r="AWX101" s="53"/>
      <c r="AWY101" s="53"/>
      <c r="AWZ101" s="53"/>
      <c r="AXA101" s="53"/>
      <c r="AXB101" s="53"/>
      <c r="AXC101" s="53"/>
      <c r="AXD101" s="53"/>
      <c r="AXE101" s="53"/>
      <c r="AXF101" s="53"/>
      <c r="AXG101" s="53"/>
      <c r="AXH101" s="53"/>
      <c r="AXI101" s="53"/>
      <c r="AXJ101" s="53"/>
      <c r="AXK101" s="53"/>
      <c r="AXL101" s="53"/>
      <c r="AXM101" s="53"/>
      <c r="AXN101" s="53"/>
      <c r="AXO101" s="53"/>
      <c r="AXP101" s="53"/>
      <c r="AXQ101" s="53"/>
      <c r="AXR101" s="53"/>
      <c r="AXS101" s="53"/>
      <c r="AXT101" s="53"/>
      <c r="AXU101" s="53"/>
      <c r="AXV101" s="53"/>
      <c r="AXW101" s="53"/>
      <c r="AXX101" s="53"/>
      <c r="AXY101" s="53"/>
      <c r="AXZ101" s="53"/>
      <c r="AYA101" s="53"/>
      <c r="AYB101" s="53"/>
      <c r="AYC101" s="53"/>
      <c r="AYD101" s="53"/>
      <c r="AYE101" s="53"/>
      <c r="AYF101" s="53"/>
      <c r="AYG101" s="53"/>
      <c r="AYH101" s="53"/>
      <c r="AYI101" s="53"/>
      <c r="AYJ101" s="53"/>
      <c r="AYK101" s="53"/>
      <c r="AYL101" s="53"/>
      <c r="AYM101" s="53"/>
      <c r="AYN101" s="53"/>
      <c r="AYO101" s="53"/>
      <c r="AYP101" s="53"/>
      <c r="AYQ101" s="53"/>
      <c r="AYR101" s="53"/>
      <c r="AYS101" s="53"/>
      <c r="AYT101" s="53"/>
      <c r="AYU101" s="53"/>
      <c r="AYV101" s="53"/>
      <c r="AYW101" s="53"/>
      <c r="AYX101" s="53"/>
      <c r="AYY101" s="53"/>
      <c r="AYZ101" s="53"/>
      <c r="AZA101" s="53"/>
      <c r="AZB101" s="53"/>
      <c r="AZC101" s="53"/>
      <c r="AZD101" s="53"/>
      <c r="AZE101" s="53"/>
      <c r="AZF101" s="53"/>
      <c r="AZG101" s="53"/>
      <c r="AZH101" s="53"/>
      <c r="AZI101" s="53"/>
      <c r="AZJ101" s="53"/>
      <c r="AZK101" s="53"/>
      <c r="AZL101" s="53"/>
      <c r="AZM101" s="53"/>
      <c r="AZN101" s="53"/>
      <c r="AZO101" s="53"/>
      <c r="AZP101" s="53"/>
      <c r="AZQ101" s="53"/>
      <c r="AZR101" s="53"/>
      <c r="AZS101" s="53"/>
      <c r="AZT101" s="53"/>
      <c r="AZU101" s="53"/>
      <c r="AZV101" s="53"/>
      <c r="AZW101" s="53"/>
      <c r="AZX101" s="53"/>
      <c r="AZY101" s="53"/>
      <c r="AZZ101" s="53"/>
      <c r="BAA101" s="53"/>
      <c r="BAB101" s="53"/>
      <c r="BAC101" s="53"/>
      <c r="BAD101" s="53"/>
      <c r="BAE101" s="53"/>
      <c r="BAF101" s="53"/>
      <c r="BAG101" s="53"/>
      <c r="BAH101" s="53"/>
      <c r="BAI101" s="53"/>
      <c r="BAJ101" s="53"/>
      <c r="BAK101" s="53"/>
      <c r="BAL101" s="53"/>
      <c r="BAM101" s="53"/>
      <c r="BAN101" s="53"/>
      <c r="BAO101" s="53"/>
      <c r="BAP101" s="53"/>
      <c r="BAQ101" s="53"/>
      <c r="BAR101" s="53"/>
      <c r="BAS101" s="53"/>
      <c r="BAT101" s="53"/>
      <c r="BAU101" s="53"/>
      <c r="BAV101" s="53"/>
      <c r="BAW101" s="53"/>
      <c r="BAX101" s="53"/>
      <c r="BAY101" s="53"/>
      <c r="BAZ101" s="53"/>
      <c r="BBA101" s="53"/>
      <c r="BBB101" s="53"/>
      <c r="BBC101" s="53"/>
      <c r="BBD101" s="53"/>
      <c r="BBE101" s="53"/>
      <c r="BBF101" s="53"/>
      <c r="BBG101" s="53"/>
      <c r="BBH101" s="53"/>
      <c r="BBI101" s="53"/>
      <c r="BBJ101" s="53"/>
      <c r="BBK101" s="53"/>
      <c r="BBL101" s="53"/>
      <c r="BBM101" s="53"/>
      <c r="BBN101" s="53"/>
      <c r="BBO101" s="53"/>
      <c r="BBP101" s="53"/>
      <c r="BBQ101" s="53"/>
      <c r="BBR101" s="53"/>
      <c r="BBS101" s="53"/>
      <c r="BBT101" s="53"/>
      <c r="BBU101" s="53"/>
      <c r="BBV101" s="53"/>
      <c r="BBW101" s="53"/>
      <c r="BBX101" s="53"/>
      <c r="BBY101" s="53"/>
      <c r="BBZ101" s="53"/>
      <c r="BCA101" s="53"/>
      <c r="BCB101" s="53"/>
      <c r="BCC101" s="53"/>
      <c r="BCD101" s="53"/>
      <c r="BCE101" s="53"/>
      <c r="BCF101" s="53"/>
      <c r="BCG101" s="53"/>
      <c r="BCH101" s="53"/>
      <c r="BCI101" s="53"/>
      <c r="BCJ101" s="53"/>
      <c r="BCK101" s="53"/>
      <c r="BCL101" s="53"/>
      <c r="BCM101" s="53"/>
      <c r="BCN101" s="53"/>
      <c r="BCO101" s="53"/>
      <c r="BCP101" s="53"/>
      <c r="BCQ101" s="53"/>
      <c r="BCR101" s="53"/>
      <c r="BCS101" s="53"/>
      <c r="BCT101" s="53"/>
      <c r="BCU101" s="53"/>
      <c r="BCV101" s="53"/>
      <c r="BCW101" s="53"/>
      <c r="BCX101" s="53"/>
      <c r="BCY101" s="53"/>
      <c r="BCZ101" s="53"/>
      <c r="BDA101" s="53"/>
      <c r="BDB101" s="53"/>
      <c r="BDC101" s="53"/>
      <c r="BDD101" s="53"/>
      <c r="BDE101" s="53"/>
      <c r="BDF101" s="53"/>
      <c r="BDG101" s="53"/>
      <c r="BDH101" s="53"/>
      <c r="BDI101" s="53"/>
      <c r="BDJ101" s="53"/>
      <c r="BDK101" s="53"/>
      <c r="BDL101" s="53"/>
      <c r="BDM101" s="53"/>
      <c r="BDN101" s="53"/>
      <c r="BDO101" s="53"/>
      <c r="BDP101" s="53"/>
      <c r="BDQ101" s="53"/>
      <c r="BDR101" s="53"/>
      <c r="BDS101" s="53"/>
      <c r="BDT101" s="53"/>
      <c r="BDU101" s="53"/>
      <c r="BDV101" s="53"/>
      <c r="BDW101" s="53"/>
      <c r="BDX101" s="53"/>
      <c r="BDY101" s="53"/>
      <c r="BDZ101" s="53"/>
      <c r="BEA101" s="53"/>
      <c r="BEB101" s="53"/>
      <c r="BEC101" s="53"/>
      <c r="BED101" s="53"/>
      <c r="BEE101" s="53"/>
      <c r="BEF101" s="53"/>
      <c r="BEG101" s="53"/>
      <c r="BEH101" s="53"/>
      <c r="BEI101" s="53"/>
      <c r="BEJ101" s="53"/>
      <c r="BEK101" s="53"/>
      <c r="BEL101" s="53"/>
      <c r="BEM101" s="53"/>
      <c r="BEN101" s="53"/>
      <c r="BEO101" s="53"/>
      <c r="BEP101" s="53"/>
      <c r="BEQ101" s="53"/>
      <c r="BER101" s="53"/>
      <c r="BES101" s="53"/>
      <c r="BET101" s="53"/>
      <c r="BEU101" s="53"/>
      <c r="BEV101" s="53"/>
      <c r="BEW101" s="53"/>
      <c r="BEX101" s="53"/>
      <c r="BEY101" s="53"/>
      <c r="BEZ101" s="53"/>
      <c r="BFA101" s="53"/>
      <c r="BFB101" s="53"/>
      <c r="BFC101" s="53"/>
      <c r="BFD101" s="53"/>
      <c r="BFE101" s="53"/>
      <c r="BFF101" s="53"/>
      <c r="BFG101" s="53"/>
      <c r="BFH101" s="53"/>
      <c r="BFI101" s="53"/>
      <c r="BFJ101" s="53"/>
      <c r="BFK101" s="53"/>
      <c r="BFL101" s="53"/>
      <c r="BFM101" s="53"/>
      <c r="BFN101" s="53"/>
      <c r="BFO101" s="53"/>
      <c r="BFP101" s="53"/>
      <c r="BFQ101" s="53"/>
      <c r="BFR101" s="53"/>
      <c r="BFS101" s="53"/>
      <c r="BFT101" s="53"/>
      <c r="BFU101" s="53"/>
      <c r="BFV101" s="53"/>
      <c r="BFW101" s="53"/>
      <c r="BFX101" s="53"/>
      <c r="BFY101" s="53"/>
      <c r="BFZ101" s="53"/>
      <c r="BGA101" s="53"/>
      <c r="BGB101" s="53"/>
      <c r="BGC101" s="53"/>
      <c r="BGD101" s="53"/>
      <c r="BGE101" s="53"/>
      <c r="BGF101" s="53"/>
      <c r="BGG101" s="53"/>
      <c r="BGH101" s="53"/>
      <c r="BGI101" s="53"/>
      <c r="BGJ101" s="53"/>
      <c r="BGK101" s="53"/>
      <c r="BGL101" s="53"/>
      <c r="BGM101" s="53"/>
      <c r="BGN101" s="53"/>
      <c r="BGO101" s="53"/>
      <c r="BGP101" s="53"/>
      <c r="BGQ101" s="53"/>
      <c r="BGR101" s="53"/>
      <c r="BGS101" s="53"/>
      <c r="BGT101" s="53"/>
      <c r="BGU101" s="53"/>
      <c r="BGV101" s="53"/>
      <c r="BGW101" s="53"/>
      <c r="BGX101" s="53"/>
      <c r="BGY101" s="53"/>
      <c r="BGZ101" s="53"/>
      <c r="BHA101" s="53"/>
      <c r="BHB101" s="53"/>
      <c r="BHC101" s="53"/>
      <c r="BHD101" s="53"/>
      <c r="BHE101" s="53"/>
      <c r="BHF101" s="53"/>
      <c r="BHG101" s="53"/>
      <c r="BHH101" s="53"/>
      <c r="BHI101" s="53"/>
      <c r="BHJ101" s="53"/>
      <c r="BHK101" s="53"/>
      <c r="BHL101" s="53"/>
      <c r="BHM101" s="53"/>
      <c r="BHN101" s="53"/>
      <c r="BHO101" s="53"/>
      <c r="BHP101" s="53"/>
      <c r="BHQ101" s="53"/>
      <c r="BHR101" s="53"/>
      <c r="BHS101" s="53"/>
      <c r="BHT101" s="53"/>
      <c r="BHU101" s="53"/>
      <c r="BHV101" s="53"/>
      <c r="BHW101" s="53"/>
      <c r="BHX101" s="53"/>
      <c r="BHY101" s="53"/>
      <c r="BHZ101" s="53"/>
      <c r="BIA101" s="53"/>
      <c r="BIB101" s="53"/>
      <c r="BIC101" s="53"/>
      <c r="BID101" s="53"/>
      <c r="BIE101" s="53"/>
      <c r="BIF101" s="53"/>
      <c r="BIG101" s="53"/>
      <c r="BIH101" s="53"/>
      <c r="BII101" s="53"/>
      <c r="BIJ101" s="53"/>
      <c r="BIK101" s="53"/>
      <c r="BIL101" s="53"/>
      <c r="BIM101" s="53"/>
      <c r="BIN101" s="53"/>
      <c r="BIO101" s="53"/>
      <c r="BIP101" s="53"/>
      <c r="BIQ101" s="53"/>
      <c r="BIR101" s="53"/>
      <c r="BIS101" s="53"/>
      <c r="BIT101" s="53"/>
      <c r="BIU101" s="53"/>
      <c r="BIV101" s="53"/>
      <c r="BIW101" s="53"/>
      <c r="BIX101" s="53"/>
      <c r="BIY101" s="53"/>
      <c r="BIZ101" s="53"/>
      <c r="BJA101" s="53"/>
      <c r="BJB101" s="53"/>
      <c r="BJC101" s="53"/>
      <c r="BJD101" s="53"/>
      <c r="BJE101" s="53"/>
      <c r="BJF101" s="53"/>
      <c r="BJG101" s="53"/>
      <c r="BJH101" s="53"/>
      <c r="BJI101" s="53"/>
      <c r="BJJ101" s="53"/>
      <c r="BJK101" s="53"/>
      <c r="BJL101" s="53"/>
      <c r="BJM101" s="53"/>
      <c r="BJN101" s="53"/>
      <c r="BJO101" s="53"/>
      <c r="BJP101" s="53"/>
      <c r="BJQ101" s="53"/>
      <c r="BJR101" s="53"/>
      <c r="BJS101" s="53"/>
      <c r="BJT101" s="53"/>
      <c r="BJU101" s="53"/>
      <c r="BJV101" s="53"/>
      <c r="BJW101" s="53"/>
      <c r="BJX101" s="53"/>
      <c r="BJY101" s="53"/>
      <c r="BJZ101" s="53"/>
      <c r="BKA101" s="53"/>
      <c r="BKB101" s="53"/>
      <c r="BKC101" s="53"/>
      <c r="BKD101" s="53"/>
      <c r="BKE101" s="53"/>
      <c r="BKF101" s="53"/>
      <c r="BKG101" s="53"/>
      <c r="BKH101" s="53"/>
      <c r="BKI101" s="53"/>
      <c r="BKJ101" s="53"/>
      <c r="BKK101" s="53"/>
      <c r="BKL101" s="53"/>
      <c r="BKM101" s="53"/>
      <c r="BKN101" s="53"/>
      <c r="BKO101" s="53"/>
      <c r="BKP101" s="53"/>
      <c r="BKQ101" s="53"/>
      <c r="BKR101" s="53"/>
      <c r="BKS101" s="53"/>
      <c r="BKT101" s="53"/>
      <c r="BKU101" s="53"/>
      <c r="BKV101" s="53"/>
      <c r="BKW101" s="53"/>
      <c r="BKX101" s="53"/>
      <c r="BKY101" s="53"/>
      <c r="BKZ101" s="53"/>
      <c r="BLA101" s="53"/>
      <c r="BLB101" s="53"/>
      <c r="BLC101" s="53"/>
      <c r="BLD101" s="53"/>
      <c r="BLE101" s="53"/>
      <c r="BLF101" s="53"/>
      <c r="BLG101" s="53"/>
      <c r="BLH101" s="53"/>
      <c r="BLI101" s="53"/>
      <c r="BLJ101" s="53"/>
      <c r="BLK101" s="53"/>
      <c r="BLL101" s="53"/>
      <c r="BLM101" s="53"/>
      <c r="BLN101" s="53"/>
      <c r="BLO101" s="53"/>
      <c r="BLP101" s="53"/>
      <c r="BLQ101" s="53"/>
      <c r="BLR101" s="53"/>
      <c r="BLS101" s="53"/>
      <c r="BLT101" s="53"/>
      <c r="BLU101" s="53"/>
      <c r="BLV101" s="53"/>
      <c r="BLW101" s="53"/>
      <c r="BLX101" s="53"/>
      <c r="BLY101" s="53"/>
      <c r="BLZ101" s="53"/>
      <c r="BMA101" s="53"/>
      <c r="BMB101" s="53"/>
      <c r="BMC101" s="53"/>
      <c r="BMD101" s="53"/>
      <c r="BME101" s="53"/>
      <c r="BMF101" s="53"/>
      <c r="BMG101" s="53"/>
      <c r="BMH101" s="53"/>
      <c r="BMI101" s="53"/>
      <c r="BMJ101" s="53"/>
      <c r="BMK101" s="53"/>
      <c r="BML101" s="53"/>
      <c r="BMM101" s="53"/>
      <c r="BMN101" s="53"/>
      <c r="BMO101" s="53"/>
      <c r="BMP101" s="53"/>
      <c r="BMQ101" s="53"/>
      <c r="BMR101" s="53"/>
      <c r="BMS101" s="53"/>
      <c r="BMT101" s="53"/>
      <c r="BMU101" s="53"/>
      <c r="BMV101" s="53"/>
      <c r="BMW101" s="53"/>
      <c r="BMX101" s="53"/>
      <c r="BMY101" s="53"/>
      <c r="BMZ101" s="53"/>
      <c r="BNA101" s="53"/>
      <c r="BNB101" s="53"/>
      <c r="BNC101" s="53"/>
      <c r="BND101" s="53"/>
      <c r="BNE101" s="53"/>
      <c r="BNF101" s="53"/>
      <c r="BNG101" s="53"/>
      <c r="BNH101" s="53"/>
      <c r="BNI101" s="53"/>
      <c r="BNJ101" s="53"/>
      <c r="BNK101" s="53"/>
      <c r="BNL101" s="53"/>
      <c r="BNM101" s="53"/>
      <c r="BNN101" s="53"/>
      <c r="BNO101" s="53"/>
      <c r="BNP101" s="53"/>
      <c r="BNQ101" s="53"/>
      <c r="BNR101" s="53"/>
      <c r="BNS101" s="53"/>
      <c r="BNT101" s="53"/>
      <c r="BNU101" s="53"/>
      <c r="BNV101" s="53"/>
      <c r="BNW101" s="53"/>
      <c r="BNX101" s="53"/>
      <c r="BNY101" s="53"/>
      <c r="BNZ101" s="53"/>
      <c r="BOA101" s="53"/>
      <c r="BOB101" s="53"/>
      <c r="BOC101" s="53"/>
      <c r="BOD101" s="53"/>
      <c r="BOE101" s="53"/>
      <c r="BOF101" s="53"/>
      <c r="BOG101" s="53"/>
      <c r="BOH101" s="53"/>
      <c r="BOI101" s="53"/>
      <c r="BOJ101" s="53"/>
      <c r="BOK101" s="53"/>
      <c r="BOL101" s="53"/>
      <c r="BOM101" s="53"/>
      <c r="BON101" s="53"/>
      <c r="BOO101" s="53"/>
      <c r="BOP101" s="53"/>
      <c r="BOQ101" s="53"/>
      <c r="BOR101" s="53"/>
      <c r="BOS101" s="53"/>
      <c r="BOT101" s="53"/>
      <c r="BOU101" s="53"/>
      <c r="BOV101" s="53"/>
      <c r="BOW101" s="53"/>
      <c r="BOX101" s="53"/>
      <c r="BOY101" s="53"/>
      <c r="BOZ101" s="53"/>
      <c r="BPA101" s="53"/>
      <c r="BPB101" s="53"/>
      <c r="BPC101" s="53"/>
      <c r="BPD101" s="53"/>
      <c r="BPE101" s="53"/>
      <c r="BPF101" s="53"/>
      <c r="BPG101" s="53"/>
      <c r="BPH101" s="53"/>
      <c r="BPI101" s="53"/>
      <c r="BPJ101" s="53"/>
      <c r="BPK101" s="53"/>
      <c r="BPL101" s="53"/>
      <c r="BPM101" s="53"/>
      <c r="BPN101" s="53"/>
      <c r="BPO101" s="53"/>
      <c r="BPP101" s="53"/>
      <c r="BPQ101" s="53"/>
      <c r="BPR101" s="53"/>
      <c r="BPS101" s="53"/>
      <c r="BPT101" s="53"/>
      <c r="BPU101" s="53"/>
      <c r="BPV101" s="53"/>
      <c r="BPW101" s="53"/>
      <c r="BPX101" s="53"/>
      <c r="BPY101" s="53"/>
      <c r="BPZ101" s="53"/>
      <c r="BQA101" s="53"/>
      <c r="BQB101" s="53"/>
      <c r="BQC101" s="53"/>
      <c r="BQD101" s="53"/>
      <c r="BQE101" s="53"/>
      <c r="BQF101" s="53"/>
      <c r="BQG101" s="53"/>
      <c r="BQH101" s="53"/>
      <c r="BQI101" s="53"/>
      <c r="BQJ101" s="53"/>
      <c r="BQK101" s="53"/>
      <c r="BQL101" s="53"/>
      <c r="BQM101" s="53"/>
      <c r="BQN101" s="53"/>
      <c r="BQO101" s="53"/>
      <c r="BQP101" s="53"/>
      <c r="BQQ101" s="53"/>
      <c r="BQR101" s="53"/>
      <c r="BQS101" s="53"/>
      <c r="BQT101" s="53"/>
      <c r="BQU101" s="53"/>
      <c r="BQV101" s="53"/>
      <c r="BQW101" s="53"/>
      <c r="BQX101" s="53"/>
      <c r="BQY101" s="53"/>
      <c r="BQZ101" s="53"/>
      <c r="BRA101" s="53"/>
      <c r="BRB101" s="53"/>
      <c r="BRC101" s="53"/>
      <c r="BRD101" s="53"/>
      <c r="BRE101" s="53"/>
      <c r="BRF101" s="53"/>
      <c r="BRG101" s="53"/>
      <c r="BRH101" s="53"/>
      <c r="BRI101" s="53"/>
      <c r="BRJ101" s="53"/>
      <c r="BRK101" s="53"/>
      <c r="BRL101" s="53"/>
      <c r="BRM101" s="53"/>
      <c r="BRN101" s="53"/>
      <c r="BRO101" s="53"/>
      <c r="BRP101" s="53"/>
      <c r="BRQ101" s="53"/>
      <c r="BRR101" s="53"/>
      <c r="BRS101" s="53"/>
      <c r="BRT101" s="53"/>
      <c r="BRU101" s="53"/>
      <c r="BRV101" s="53"/>
      <c r="BRW101" s="53"/>
      <c r="BRX101" s="53"/>
      <c r="BRY101" s="53"/>
      <c r="BRZ101" s="53"/>
      <c r="BSA101" s="53"/>
      <c r="BSB101" s="53"/>
      <c r="BSC101" s="53"/>
      <c r="BSD101" s="53"/>
      <c r="BSE101" s="53"/>
      <c r="BSF101" s="53"/>
      <c r="BSG101" s="53"/>
      <c r="BSH101" s="53"/>
      <c r="BSI101" s="53"/>
      <c r="BSJ101" s="53"/>
      <c r="BSK101" s="53"/>
      <c r="BSL101" s="53"/>
      <c r="BSM101" s="53"/>
      <c r="BSN101" s="53"/>
      <c r="BSO101" s="53"/>
      <c r="BSP101" s="53"/>
      <c r="BSQ101" s="53"/>
      <c r="BSR101" s="53"/>
      <c r="BSS101" s="53"/>
      <c r="BST101" s="53"/>
      <c r="BSU101" s="53"/>
      <c r="BSV101" s="53"/>
      <c r="BSW101" s="53"/>
      <c r="BSX101" s="53"/>
      <c r="BSY101" s="53"/>
      <c r="BSZ101" s="53"/>
      <c r="BTA101" s="53"/>
      <c r="BTB101" s="53"/>
      <c r="BTC101" s="53"/>
      <c r="BTD101" s="53"/>
      <c r="BTE101" s="53"/>
      <c r="BTF101" s="53"/>
      <c r="BTG101" s="53"/>
      <c r="BTH101" s="53"/>
      <c r="BTI101" s="53"/>
      <c r="BTJ101" s="53"/>
      <c r="BTK101" s="53"/>
      <c r="BTL101" s="53"/>
      <c r="BTM101" s="53"/>
      <c r="BTN101" s="53"/>
      <c r="BTO101" s="53"/>
      <c r="BTP101" s="53"/>
      <c r="BTQ101" s="53"/>
      <c r="BTR101" s="53"/>
      <c r="BTS101" s="53"/>
      <c r="BTT101" s="53"/>
      <c r="BTU101" s="53"/>
      <c r="BTV101" s="53"/>
      <c r="BTW101" s="53"/>
      <c r="BTX101" s="53"/>
      <c r="BTY101" s="53"/>
      <c r="BTZ101" s="53"/>
      <c r="BUA101" s="53"/>
      <c r="BUB101" s="53"/>
      <c r="BUC101" s="53"/>
      <c r="BUD101" s="53"/>
      <c r="BUE101" s="53"/>
      <c r="BUF101" s="53"/>
      <c r="BUG101" s="53"/>
      <c r="BUH101" s="53"/>
      <c r="BUI101" s="53"/>
      <c r="BUJ101" s="53"/>
      <c r="BUK101" s="53"/>
      <c r="BUL101" s="53"/>
      <c r="BUM101" s="53"/>
      <c r="BUN101" s="53"/>
      <c r="BUO101" s="53"/>
      <c r="BUP101" s="53"/>
      <c r="BUQ101" s="53"/>
      <c r="BUR101" s="53"/>
      <c r="BUS101" s="53"/>
      <c r="BUT101" s="53"/>
      <c r="BUU101" s="53"/>
      <c r="BUV101" s="53"/>
      <c r="BUW101" s="53"/>
      <c r="BUX101" s="53"/>
      <c r="BUY101" s="53"/>
      <c r="BUZ101" s="53"/>
      <c r="BVA101" s="53"/>
      <c r="BVB101" s="53"/>
      <c r="BVC101" s="53"/>
      <c r="BVD101" s="53"/>
      <c r="BVE101" s="53"/>
      <c r="BVF101" s="53"/>
      <c r="BVG101" s="53"/>
      <c r="BVH101" s="53"/>
      <c r="BVI101" s="53"/>
      <c r="BVJ101" s="53"/>
      <c r="BVK101" s="53"/>
      <c r="BVL101" s="53"/>
      <c r="BVM101" s="53"/>
      <c r="BVN101" s="53"/>
      <c r="BVO101" s="53"/>
      <c r="BVP101" s="53"/>
      <c r="BVQ101" s="53"/>
      <c r="BVR101" s="53"/>
      <c r="BVS101" s="53"/>
      <c r="BVT101" s="53"/>
      <c r="BVU101" s="53"/>
      <c r="BVV101" s="53"/>
      <c r="BVW101" s="53"/>
      <c r="BVX101" s="53"/>
      <c r="BVY101" s="53"/>
      <c r="BVZ101" s="53"/>
      <c r="BWA101" s="53"/>
      <c r="BWB101" s="53"/>
      <c r="BWC101" s="53"/>
      <c r="BWD101" s="53"/>
      <c r="BWE101" s="53"/>
      <c r="BWF101" s="53"/>
      <c r="BWG101" s="53"/>
      <c r="BWH101" s="53"/>
      <c r="BWI101" s="53"/>
      <c r="BWJ101" s="53"/>
      <c r="BWK101" s="53"/>
      <c r="BWL101" s="53"/>
      <c r="BWM101" s="53"/>
      <c r="BWN101" s="53"/>
      <c r="BWO101" s="53"/>
      <c r="BWP101" s="53"/>
      <c r="BWQ101" s="53"/>
      <c r="BWR101" s="53"/>
      <c r="BWS101" s="53"/>
      <c r="BWT101" s="53"/>
      <c r="BWU101" s="53"/>
      <c r="BWV101" s="53"/>
      <c r="BWW101" s="53"/>
      <c r="BWX101" s="53"/>
      <c r="BWY101" s="53"/>
      <c r="BWZ101" s="53"/>
      <c r="BXA101" s="53"/>
      <c r="BXB101" s="53"/>
      <c r="BXC101" s="53"/>
      <c r="BXD101" s="53"/>
      <c r="BXE101" s="53"/>
      <c r="BXF101" s="53"/>
      <c r="BXG101" s="53"/>
      <c r="BXH101" s="53"/>
      <c r="BXI101" s="53"/>
      <c r="BXJ101" s="53"/>
      <c r="BXK101" s="53"/>
      <c r="BXL101" s="53"/>
      <c r="BXM101" s="53"/>
      <c r="BXN101" s="53"/>
      <c r="BXO101" s="53"/>
      <c r="BXP101" s="53"/>
      <c r="BXQ101" s="53"/>
      <c r="BXR101" s="53"/>
      <c r="BXS101" s="53"/>
      <c r="BXT101" s="53"/>
      <c r="BXU101" s="53"/>
      <c r="BXV101" s="53"/>
      <c r="BXW101" s="53"/>
      <c r="BXX101" s="53"/>
      <c r="BXY101" s="53"/>
      <c r="BXZ101" s="53"/>
      <c r="BYA101" s="53"/>
      <c r="BYB101" s="53"/>
      <c r="BYC101" s="53"/>
      <c r="BYD101" s="53"/>
      <c r="BYE101" s="53"/>
      <c r="BYF101" s="53"/>
      <c r="BYG101" s="53"/>
      <c r="BYH101" s="53"/>
      <c r="BYI101" s="53"/>
      <c r="BYJ101" s="53"/>
      <c r="BYK101" s="53"/>
      <c r="BYL101" s="53"/>
      <c r="BYM101" s="53"/>
      <c r="BYN101" s="53"/>
      <c r="BYO101" s="53"/>
      <c r="BYP101" s="53"/>
      <c r="BYQ101" s="53"/>
      <c r="BYR101" s="53"/>
      <c r="BYS101" s="53"/>
      <c r="BYT101" s="53"/>
      <c r="BYU101" s="53"/>
      <c r="BYV101" s="53"/>
      <c r="BYW101" s="53"/>
      <c r="BYX101" s="53"/>
      <c r="BYY101" s="53"/>
      <c r="BYZ101" s="53"/>
      <c r="BZA101" s="53"/>
      <c r="BZB101" s="53"/>
      <c r="BZC101" s="53"/>
      <c r="BZD101" s="53"/>
      <c r="BZE101" s="53"/>
      <c r="BZF101" s="53"/>
      <c r="BZG101" s="53"/>
      <c r="BZH101" s="53"/>
      <c r="BZI101" s="53"/>
      <c r="BZJ101" s="53"/>
      <c r="BZK101" s="53"/>
      <c r="BZL101" s="53"/>
      <c r="BZM101" s="53"/>
      <c r="BZN101" s="53"/>
      <c r="BZO101" s="53"/>
      <c r="BZP101" s="53"/>
      <c r="BZQ101" s="53"/>
      <c r="BZR101" s="53"/>
      <c r="BZS101" s="53"/>
      <c r="BZT101" s="53"/>
      <c r="BZU101" s="53"/>
      <c r="BZV101" s="53"/>
      <c r="BZW101" s="53"/>
      <c r="BZX101" s="53"/>
      <c r="BZY101" s="53"/>
      <c r="BZZ101" s="53"/>
      <c r="CAA101" s="53"/>
      <c r="CAB101" s="53"/>
      <c r="CAC101" s="53"/>
      <c r="CAD101" s="53"/>
      <c r="CAE101" s="53"/>
      <c r="CAF101" s="53"/>
      <c r="CAG101" s="53"/>
      <c r="CAH101" s="53"/>
      <c r="CAI101" s="53"/>
      <c r="CAJ101" s="53"/>
      <c r="CAK101" s="53"/>
      <c r="CAL101" s="53"/>
      <c r="CAM101" s="53"/>
      <c r="CAN101" s="53"/>
      <c r="CAO101" s="53"/>
      <c r="CAP101" s="53"/>
      <c r="CAQ101" s="53"/>
      <c r="CAR101" s="53"/>
      <c r="CAS101" s="53"/>
      <c r="CAT101" s="53"/>
      <c r="CAU101" s="53"/>
      <c r="CAV101" s="53"/>
      <c r="CAW101" s="53"/>
      <c r="CAX101" s="53"/>
      <c r="CAY101" s="53"/>
      <c r="CAZ101" s="53"/>
      <c r="CBA101" s="53"/>
      <c r="CBB101" s="53"/>
      <c r="CBC101" s="53"/>
      <c r="CBD101" s="53"/>
      <c r="CBE101" s="53"/>
      <c r="CBF101" s="53"/>
      <c r="CBG101" s="53"/>
      <c r="CBH101" s="53"/>
      <c r="CBI101" s="53"/>
      <c r="CBJ101" s="53"/>
      <c r="CBK101" s="53"/>
      <c r="CBL101" s="53"/>
      <c r="CBM101" s="53"/>
      <c r="CBN101" s="53"/>
      <c r="CBO101" s="53"/>
      <c r="CBP101" s="53"/>
      <c r="CBQ101" s="53"/>
      <c r="CBR101" s="53"/>
      <c r="CBS101" s="53"/>
      <c r="CBT101" s="53"/>
      <c r="CBU101" s="53"/>
      <c r="CBV101" s="53"/>
      <c r="CBW101" s="53"/>
      <c r="CBX101" s="53"/>
      <c r="CBY101" s="53"/>
      <c r="CBZ101" s="53"/>
      <c r="CCA101" s="53"/>
      <c r="CCB101" s="53"/>
      <c r="CCC101" s="53"/>
      <c r="CCD101" s="53"/>
      <c r="CCE101" s="53"/>
      <c r="CCF101" s="53"/>
      <c r="CCG101" s="53"/>
      <c r="CCH101" s="53"/>
      <c r="CCI101" s="53"/>
      <c r="CCJ101" s="53"/>
      <c r="CCK101" s="53"/>
      <c r="CCL101" s="53"/>
      <c r="CCM101" s="53"/>
      <c r="CCN101" s="53"/>
      <c r="CCO101" s="53"/>
      <c r="CCP101" s="53"/>
      <c r="CCQ101" s="53"/>
      <c r="CCR101" s="53"/>
      <c r="CCS101" s="53"/>
      <c r="CCT101" s="53"/>
      <c r="CCU101" s="53"/>
      <c r="CCV101" s="53"/>
      <c r="CCW101" s="53"/>
      <c r="CCX101" s="53"/>
      <c r="CCY101" s="53"/>
      <c r="CCZ101" s="53"/>
      <c r="CDA101" s="53"/>
      <c r="CDB101" s="53"/>
      <c r="CDC101" s="53"/>
      <c r="CDD101" s="53"/>
      <c r="CDE101" s="53"/>
      <c r="CDF101" s="53"/>
      <c r="CDG101" s="53"/>
      <c r="CDH101" s="53"/>
      <c r="CDI101" s="53"/>
      <c r="CDJ101" s="53"/>
      <c r="CDK101" s="53"/>
      <c r="CDL101" s="53"/>
      <c r="CDM101" s="53"/>
      <c r="CDN101" s="53"/>
      <c r="CDO101" s="53"/>
      <c r="CDP101" s="53"/>
      <c r="CDQ101" s="53"/>
      <c r="CDR101" s="53"/>
      <c r="CDS101" s="53"/>
      <c r="CDT101" s="53"/>
      <c r="CDU101" s="53"/>
      <c r="CDV101" s="53"/>
      <c r="CDW101" s="53"/>
      <c r="CDX101" s="53"/>
      <c r="CDY101" s="53"/>
      <c r="CDZ101" s="53"/>
      <c r="CEA101" s="53"/>
      <c r="CEB101" s="53"/>
      <c r="CEC101" s="53"/>
      <c r="CED101" s="53"/>
      <c r="CEE101" s="53"/>
      <c r="CEF101" s="53"/>
      <c r="CEG101" s="53"/>
      <c r="CEH101" s="53"/>
      <c r="CEI101" s="53"/>
      <c r="CEJ101" s="53"/>
      <c r="CEK101" s="53"/>
      <c r="CEL101" s="53"/>
      <c r="CEM101" s="53"/>
      <c r="CEN101" s="53"/>
      <c r="CEO101" s="53"/>
      <c r="CEP101" s="53"/>
      <c r="CEQ101" s="53"/>
      <c r="CER101" s="53"/>
      <c r="CES101" s="53"/>
      <c r="CET101" s="53"/>
      <c r="CEU101" s="53"/>
      <c r="CEV101" s="53"/>
      <c r="CEW101" s="53"/>
      <c r="CEX101" s="53"/>
      <c r="CEY101" s="53"/>
      <c r="CEZ101" s="53"/>
      <c r="CFA101" s="53"/>
      <c r="CFB101" s="53"/>
      <c r="CFC101" s="53"/>
      <c r="CFD101" s="53"/>
      <c r="CFE101" s="53"/>
      <c r="CFF101" s="53"/>
      <c r="CFG101" s="53"/>
      <c r="CFH101" s="53"/>
      <c r="CFI101" s="53"/>
      <c r="CFJ101" s="53"/>
      <c r="CFK101" s="53"/>
      <c r="CFL101" s="53"/>
      <c r="CFM101" s="53"/>
      <c r="CFN101" s="53"/>
      <c r="CFO101" s="53"/>
      <c r="CFP101" s="53"/>
      <c r="CFQ101" s="53"/>
      <c r="CFR101" s="53"/>
      <c r="CFS101" s="53"/>
      <c r="CFT101" s="53"/>
      <c r="CFU101" s="53"/>
      <c r="CFV101" s="53"/>
      <c r="CFW101" s="53"/>
      <c r="CFX101" s="53"/>
      <c r="CFY101" s="53"/>
      <c r="CFZ101" s="53"/>
      <c r="CGA101" s="53"/>
      <c r="CGB101" s="53"/>
      <c r="CGC101" s="53"/>
      <c r="CGD101" s="53"/>
      <c r="CGE101" s="53"/>
      <c r="CGF101" s="53"/>
      <c r="CGG101" s="53"/>
      <c r="CGH101" s="53"/>
      <c r="CGI101" s="53"/>
      <c r="CGJ101" s="53"/>
      <c r="CGK101" s="53"/>
      <c r="CGL101" s="53"/>
      <c r="CGM101" s="53"/>
      <c r="CGN101" s="53"/>
      <c r="CGO101" s="53"/>
      <c r="CGP101" s="53"/>
      <c r="CGQ101" s="53"/>
      <c r="CGR101" s="53"/>
      <c r="CGS101" s="53"/>
      <c r="CGT101" s="53"/>
      <c r="CGU101" s="53"/>
      <c r="CGV101" s="53"/>
      <c r="CGW101" s="53"/>
      <c r="CGX101" s="53"/>
      <c r="CGY101" s="53"/>
      <c r="CGZ101" s="53"/>
      <c r="CHA101" s="53"/>
      <c r="CHB101" s="53"/>
      <c r="CHC101" s="53"/>
      <c r="CHD101" s="53"/>
      <c r="CHE101" s="53"/>
      <c r="CHF101" s="53"/>
      <c r="CHG101" s="53"/>
      <c r="CHH101" s="53"/>
      <c r="CHI101" s="53"/>
      <c r="CHJ101" s="53"/>
      <c r="CHK101" s="53"/>
      <c r="CHL101" s="53"/>
      <c r="CHM101" s="53"/>
      <c r="CHN101" s="53"/>
      <c r="CHO101" s="53"/>
      <c r="CHP101" s="53"/>
      <c r="CHQ101" s="53"/>
      <c r="CHR101" s="53"/>
      <c r="CHS101" s="53"/>
      <c r="CHT101" s="53"/>
      <c r="CHU101" s="53"/>
      <c r="CHV101" s="53"/>
      <c r="CHW101" s="53"/>
      <c r="CHX101" s="53"/>
      <c r="CHY101" s="53"/>
      <c r="CHZ101" s="53"/>
      <c r="CIA101" s="53"/>
      <c r="CIB101" s="53"/>
      <c r="CIC101" s="53"/>
      <c r="CID101" s="53"/>
      <c r="CIE101" s="53"/>
      <c r="CIF101" s="53"/>
      <c r="CIG101" s="53"/>
      <c r="CIH101" s="53"/>
      <c r="CII101" s="53"/>
      <c r="CIJ101" s="53"/>
      <c r="CIK101" s="53"/>
      <c r="CIL101" s="53"/>
      <c r="CIM101" s="53"/>
      <c r="CIN101" s="53"/>
      <c r="CIO101" s="53"/>
      <c r="CIP101" s="53"/>
      <c r="CIQ101" s="53"/>
      <c r="CIR101" s="53"/>
      <c r="CIS101" s="53"/>
      <c r="CIT101" s="53"/>
      <c r="CIU101" s="53"/>
      <c r="CIV101" s="53"/>
      <c r="CIW101" s="53"/>
      <c r="CIX101" s="53"/>
      <c r="CIY101" s="53"/>
      <c r="CIZ101" s="53"/>
      <c r="CJA101" s="53"/>
      <c r="CJB101" s="53"/>
      <c r="CJC101" s="53"/>
      <c r="CJD101" s="53"/>
      <c r="CJE101" s="53"/>
      <c r="CJF101" s="53"/>
      <c r="CJG101" s="53"/>
      <c r="CJH101" s="53"/>
      <c r="CJI101" s="53"/>
      <c r="CJJ101" s="53"/>
      <c r="CJK101" s="53"/>
      <c r="CJL101" s="53"/>
      <c r="CJM101" s="53"/>
      <c r="CJN101" s="53"/>
      <c r="CJO101" s="53"/>
      <c r="CJP101" s="53"/>
      <c r="CJQ101" s="53"/>
      <c r="CJR101" s="53"/>
      <c r="CJS101" s="53"/>
      <c r="CJT101" s="53"/>
      <c r="CJU101" s="53"/>
      <c r="CJV101" s="53"/>
      <c r="CJW101" s="53"/>
      <c r="CJX101" s="53"/>
      <c r="CJY101" s="53"/>
      <c r="CJZ101" s="53"/>
      <c r="CKA101" s="53"/>
      <c r="CKB101" s="53"/>
      <c r="CKC101" s="53"/>
      <c r="CKD101" s="53"/>
      <c r="CKE101" s="53"/>
      <c r="CKF101" s="53"/>
      <c r="CKG101" s="53"/>
      <c r="CKH101" s="53"/>
      <c r="CKI101" s="53"/>
      <c r="CKJ101" s="53"/>
      <c r="CKK101" s="53"/>
      <c r="CKL101" s="53"/>
      <c r="CKM101" s="53"/>
      <c r="CKN101" s="53"/>
      <c r="CKO101" s="53"/>
      <c r="CKP101" s="53"/>
      <c r="CKQ101" s="53"/>
      <c r="CKR101" s="53"/>
      <c r="CKS101" s="53"/>
      <c r="CKT101" s="53"/>
      <c r="CKU101" s="53"/>
      <c r="CKV101" s="53"/>
      <c r="CKW101" s="53"/>
      <c r="CKX101" s="53"/>
      <c r="CKY101" s="53"/>
      <c r="CKZ101" s="53"/>
      <c r="CLA101" s="53"/>
      <c r="CLB101" s="53"/>
      <c r="CLC101" s="53"/>
      <c r="CLD101" s="53"/>
      <c r="CLE101" s="53"/>
      <c r="CLF101" s="53"/>
      <c r="CLG101" s="53"/>
      <c r="CLH101" s="53"/>
      <c r="CLI101" s="53"/>
      <c r="CLJ101" s="53"/>
      <c r="CLK101" s="53"/>
      <c r="CLL101" s="53"/>
      <c r="CLM101" s="53"/>
      <c r="CLN101" s="53"/>
      <c r="CLO101" s="53"/>
      <c r="CLP101" s="53"/>
      <c r="CLQ101" s="53"/>
      <c r="CLR101" s="53"/>
      <c r="CLS101" s="53"/>
      <c r="CLT101" s="53"/>
      <c r="CLU101" s="53"/>
      <c r="CLV101" s="53"/>
      <c r="CLW101" s="53"/>
      <c r="CLX101" s="53"/>
      <c r="CLY101" s="53"/>
      <c r="CLZ101" s="53"/>
      <c r="CMA101" s="53"/>
      <c r="CMB101" s="53"/>
      <c r="CMC101" s="53"/>
      <c r="CMD101" s="53"/>
      <c r="CME101" s="53"/>
      <c r="CMF101" s="53"/>
      <c r="CMG101" s="53"/>
      <c r="CMH101" s="53"/>
      <c r="CMI101" s="53"/>
      <c r="CMJ101" s="53"/>
      <c r="CMK101" s="53"/>
      <c r="CML101" s="53"/>
      <c r="CMM101" s="53"/>
      <c r="CMN101" s="53"/>
      <c r="CMO101" s="53"/>
      <c r="CMP101" s="53"/>
      <c r="CMQ101" s="53"/>
      <c r="CMR101" s="53"/>
      <c r="CMS101" s="53"/>
      <c r="CMT101" s="53"/>
      <c r="CMU101" s="53"/>
      <c r="CMV101" s="53"/>
      <c r="CMW101" s="53"/>
      <c r="CMX101" s="53"/>
      <c r="CMY101" s="53"/>
      <c r="CMZ101" s="53"/>
      <c r="CNA101" s="53"/>
      <c r="CNB101" s="53"/>
      <c r="CNC101" s="53"/>
      <c r="CND101" s="53"/>
      <c r="CNE101" s="53"/>
      <c r="CNF101" s="53"/>
      <c r="CNG101" s="53"/>
      <c r="CNH101" s="53"/>
      <c r="CNI101" s="53"/>
      <c r="CNJ101" s="53"/>
      <c r="CNK101" s="53"/>
      <c r="CNL101" s="53"/>
      <c r="CNM101" s="53"/>
      <c r="CNN101" s="53"/>
      <c r="CNO101" s="53"/>
      <c r="CNP101" s="53"/>
      <c r="CNQ101" s="53"/>
      <c r="CNR101" s="53"/>
      <c r="CNS101" s="53"/>
      <c r="CNT101" s="53"/>
      <c r="CNU101" s="53"/>
      <c r="CNV101" s="53"/>
      <c r="CNW101" s="53"/>
      <c r="CNX101" s="53"/>
      <c r="CNY101" s="53"/>
      <c r="CNZ101" s="53"/>
      <c r="COA101" s="53"/>
      <c r="COB101" s="53"/>
      <c r="COC101" s="53"/>
      <c r="COD101" s="53"/>
      <c r="COE101" s="53"/>
      <c r="COF101" s="53"/>
      <c r="COG101" s="53"/>
      <c r="COH101" s="53"/>
      <c r="COI101" s="53"/>
      <c r="COJ101" s="53"/>
      <c r="COK101" s="53"/>
      <c r="COL101" s="53"/>
      <c r="COM101" s="53"/>
      <c r="CON101" s="53"/>
      <c r="COO101" s="53"/>
      <c r="COP101" s="53"/>
      <c r="COQ101" s="53"/>
      <c r="COR101" s="53"/>
      <c r="COS101" s="53"/>
      <c r="COT101" s="53"/>
      <c r="COU101" s="53"/>
      <c r="COV101" s="53"/>
      <c r="COW101" s="53"/>
      <c r="COX101" s="53"/>
      <c r="COY101" s="53"/>
      <c r="COZ101" s="53"/>
      <c r="CPA101" s="53"/>
      <c r="CPB101" s="53"/>
      <c r="CPC101" s="53"/>
      <c r="CPD101" s="53"/>
      <c r="CPE101" s="53"/>
      <c r="CPF101" s="53"/>
      <c r="CPG101" s="53"/>
      <c r="CPH101" s="53"/>
      <c r="CPI101" s="53"/>
      <c r="CPJ101" s="53"/>
      <c r="CPK101" s="53"/>
      <c r="CPL101" s="53"/>
      <c r="CPM101" s="53"/>
      <c r="CPN101" s="53"/>
      <c r="CPO101" s="53"/>
      <c r="CPP101" s="53"/>
      <c r="CPQ101" s="53"/>
      <c r="CPR101" s="53"/>
      <c r="CPS101" s="53"/>
      <c r="CPT101" s="53"/>
      <c r="CPU101" s="53"/>
      <c r="CPV101" s="53"/>
      <c r="CPW101" s="53"/>
      <c r="CPX101" s="53"/>
      <c r="CPY101" s="53"/>
      <c r="CPZ101" s="53"/>
      <c r="CQA101" s="53"/>
      <c r="CQB101" s="53"/>
      <c r="CQC101" s="53"/>
      <c r="CQD101" s="53"/>
      <c r="CQE101" s="53"/>
      <c r="CQF101" s="53"/>
      <c r="CQG101" s="53"/>
      <c r="CQH101" s="53"/>
      <c r="CQI101" s="53"/>
      <c r="CQJ101" s="53"/>
      <c r="CQK101" s="53"/>
      <c r="CQL101" s="53"/>
      <c r="CQM101" s="53"/>
      <c r="CQN101" s="53"/>
      <c r="CQO101" s="53"/>
      <c r="CQP101" s="53"/>
      <c r="CQQ101" s="53"/>
      <c r="CQR101" s="53"/>
      <c r="CQS101" s="53"/>
      <c r="CQT101" s="53"/>
      <c r="CQU101" s="53"/>
      <c r="CQV101" s="53"/>
      <c r="CQW101" s="53"/>
      <c r="CQX101" s="53"/>
      <c r="CQY101" s="53"/>
      <c r="CQZ101" s="53"/>
      <c r="CRA101" s="53"/>
      <c r="CRB101" s="53"/>
      <c r="CRC101" s="53"/>
      <c r="CRD101" s="53"/>
      <c r="CRE101" s="53"/>
      <c r="CRF101" s="53"/>
      <c r="CRG101" s="53"/>
      <c r="CRH101" s="53"/>
      <c r="CRI101" s="53"/>
      <c r="CRJ101" s="53"/>
      <c r="CRK101" s="53"/>
      <c r="CRL101" s="53"/>
      <c r="CRM101" s="53"/>
      <c r="CRN101" s="53"/>
      <c r="CRO101" s="53"/>
      <c r="CRP101" s="53"/>
      <c r="CRQ101" s="53"/>
      <c r="CRR101" s="53"/>
      <c r="CRS101" s="53"/>
      <c r="CRT101" s="53"/>
      <c r="CRU101" s="53"/>
      <c r="CRV101" s="53"/>
      <c r="CRW101" s="53"/>
      <c r="CRX101" s="53"/>
      <c r="CRY101" s="53"/>
      <c r="CRZ101" s="53"/>
      <c r="CSA101" s="53"/>
      <c r="CSB101" s="53"/>
      <c r="CSC101" s="53"/>
      <c r="CSD101" s="53"/>
      <c r="CSE101" s="53"/>
      <c r="CSF101" s="53"/>
      <c r="CSG101" s="53"/>
      <c r="CSH101" s="53"/>
      <c r="CSI101" s="53"/>
      <c r="CSJ101" s="53"/>
      <c r="CSK101" s="53"/>
      <c r="CSL101" s="53"/>
      <c r="CSM101" s="53"/>
      <c r="CSN101" s="53"/>
      <c r="CSO101" s="53"/>
      <c r="CSP101" s="53"/>
      <c r="CSQ101" s="53"/>
      <c r="CSR101" s="53"/>
      <c r="CSS101" s="53"/>
      <c r="CST101" s="53"/>
      <c r="CSU101" s="53"/>
      <c r="CSV101" s="53"/>
      <c r="CSW101" s="53"/>
      <c r="CSX101" s="53"/>
      <c r="CSY101" s="53"/>
      <c r="CSZ101" s="53"/>
      <c r="CTA101" s="53"/>
      <c r="CTB101" s="53"/>
      <c r="CTC101" s="53"/>
      <c r="CTD101" s="53"/>
      <c r="CTE101" s="53"/>
      <c r="CTF101" s="53"/>
      <c r="CTG101" s="53"/>
      <c r="CTH101" s="53"/>
      <c r="CTI101" s="53"/>
      <c r="CTJ101" s="53"/>
      <c r="CTK101" s="53"/>
      <c r="CTL101" s="53"/>
      <c r="CTM101" s="53"/>
      <c r="CTN101" s="53"/>
      <c r="CTO101" s="53"/>
      <c r="CTP101" s="53"/>
      <c r="CTQ101" s="53"/>
      <c r="CTR101" s="53"/>
      <c r="CTS101" s="53"/>
      <c r="CTT101" s="53"/>
      <c r="CTU101" s="53"/>
      <c r="CTV101" s="53"/>
      <c r="CTW101" s="53"/>
      <c r="CTX101" s="53"/>
      <c r="CTY101" s="53"/>
      <c r="CTZ101" s="53"/>
      <c r="CUA101" s="53"/>
      <c r="CUB101" s="53"/>
      <c r="CUC101" s="53"/>
      <c r="CUD101" s="53"/>
      <c r="CUE101" s="53"/>
      <c r="CUF101" s="53"/>
      <c r="CUG101" s="53"/>
      <c r="CUH101" s="53"/>
      <c r="CUI101" s="53"/>
      <c r="CUJ101" s="53"/>
      <c r="CUK101" s="53"/>
      <c r="CUL101" s="53"/>
      <c r="CUM101" s="53"/>
      <c r="CUN101" s="53"/>
      <c r="CUO101" s="53"/>
      <c r="CUP101" s="53"/>
      <c r="CUQ101" s="53"/>
      <c r="CUR101" s="53"/>
      <c r="CUS101" s="53"/>
      <c r="CUT101" s="53"/>
      <c r="CUU101" s="53"/>
      <c r="CUV101" s="53"/>
      <c r="CUW101" s="53"/>
      <c r="CUX101" s="53"/>
      <c r="CUY101" s="53"/>
      <c r="CUZ101" s="53"/>
      <c r="CVA101" s="53"/>
      <c r="CVB101" s="53"/>
      <c r="CVC101" s="53"/>
      <c r="CVD101" s="53"/>
      <c r="CVE101" s="53"/>
      <c r="CVF101" s="53"/>
      <c r="CVG101" s="53"/>
      <c r="CVH101" s="53"/>
      <c r="CVI101" s="53"/>
      <c r="CVJ101" s="53"/>
      <c r="CVK101" s="53"/>
      <c r="CVL101" s="53"/>
      <c r="CVM101" s="53"/>
      <c r="CVN101" s="53"/>
      <c r="CVO101" s="53"/>
      <c r="CVP101" s="53"/>
      <c r="CVQ101" s="53"/>
      <c r="CVR101" s="53"/>
      <c r="CVS101" s="53"/>
      <c r="CVT101" s="53"/>
      <c r="CVU101" s="53"/>
      <c r="CVV101" s="53"/>
      <c r="CVW101" s="53"/>
      <c r="CVX101" s="53"/>
      <c r="CVY101" s="53"/>
      <c r="CVZ101" s="53"/>
      <c r="CWA101" s="53"/>
      <c r="CWB101" s="53"/>
      <c r="CWC101" s="53"/>
      <c r="CWD101" s="53"/>
      <c r="CWE101" s="53"/>
      <c r="CWF101" s="53"/>
      <c r="CWG101" s="53"/>
      <c r="CWH101" s="53"/>
      <c r="CWI101" s="53"/>
      <c r="CWJ101" s="53"/>
      <c r="CWK101" s="53"/>
      <c r="CWL101" s="53"/>
      <c r="CWM101" s="53"/>
      <c r="CWN101" s="53"/>
      <c r="CWO101" s="53"/>
      <c r="CWP101" s="53"/>
      <c r="CWQ101" s="53"/>
      <c r="CWR101" s="53"/>
      <c r="CWS101" s="53"/>
      <c r="CWT101" s="53"/>
      <c r="CWU101" s="53"/>
      <c r="CWV101" s="53"/>
      <c r="CWW101" s="53"/>
      <c r="CWX101" s="53"/>
      <c r="CWY101" s="53"/>
      <c r="CWZ101" s="53"/>
      <c r="CXA101" s="53"/>
      <c r="CXB101" s="53"/>
      <c r="CXC101" s="53"/>
      <c r="CXD101" s="53"/>
      <c r="CXE101" s="53"/>
      <c r="CXF101" s="53"/>
      <c r="CXG101" s="53"/>
      <c r="CXH101" s="53"/>
      <c r="CXI101" s="53"/>
      <c r="CXJ101" s="53"/>
      <c r="CXK101" s="53"/>
      <c r="CXL101" s="53"/>
      <c r="CXM101" s="53"/>
      <c r="CXN101" s="53"/>
      <c r="CXO101" s="53"/>
      <c r="CXP101" s="53"/>
      <c r="CXQ101" s="53"/>
      <c r="CXR101" s="53"/>
      <c r="CXS101" s="53"/>
      <c r="CXT101" s="53"/>
      <c r="CXU101" s="53"/>
      <c r="CXV101" s="53"/>
      <c r="CXW101" s="53"/>
      <c r="CXX101" s="53"/>
      <c r="CXY101" s="53"/>
      <c r="CXZ101" s="53"/>
      <c r="CYA101" s="53"/>
      <c r="CYB101" s="53"/>
      <c r="CYC101" s="53"/>
      <c r="CYD101" s="53"/>
      <c r="CYE101" s="53"/>
      <c r="CYF101" s="53"/>
      <c r="CYG101" s="53"/>
      <c r="CYH101" s="53"/>
      <c r="CYI101" s="53"/>
      <c r="CYJ101" s="53"/>
      <c r="CYK101" s="53"/>
      <c r="CYL101" s="53"/>
      <c r="CYM101" s="53"/>
      <c r="CYN101" s="53"/>
      <c r="CYO101" s="53"/>
      <c r="CYP101" s="53"/>
      <c r="CYQ101" s="53"/>
      <c r="CYR101" s="53"/>
      <c r="CYS101" s="53"/>
      <c r="CYT101" s="53"/>
      <c r="CYU101" s="53"/>
      <c r="CYV101" s="53"/>
      <c r="CYW101" s="53"/>
      <c r="CYX101" s="53"/>
      <c r="CYY101" s="53"/>
      <c r="CYZ101" s="53"/>
      <c r="CZA101" s="53"/>
      <c r="CZB101" s="53"/>
      <c r="CZC101" s="53"/>
      <c r="CZD101" s="53"/>
      <c r="CZE101" s="53"/>
      <c r="CZF101" s="53"/>
      <c r="CZG101" s="53"/>
      <c r="CZH101" s="53"/>
      <c r="CZI101" s="53"/>
      <c r="CZJ101" s="53"/>
      <c r="CZK101" s="53"/>
      <c r="CZL101" s="53"/>
      <c r="CZM101" s="53"/>
      <c r="CZN101" s="53"/>
      <c r="CZO101" s="53"/>
      <c r="CZP101" s="53"/>
      <c r="CZQ101" s="53"/>
      <c r="CZR101" s="53"/>
      <c r="CZS101" s="53"/>
      <c r="CZT101" s="53"/>
      <c r="CZU101" s="53"/>
      <c r="CZV101" s="53"/>
      <c r="CZW101" s="53"/>
      <c r="CZX101" s="53"/>
      <c r="CZY101" s="53"/>
      <c r="CZZ101" s="53"/>
      <c r="DAA101" s="53"/>
      <c r="DAB101" s="53"/>
      <c r="DAC101" s="53"/>
      <c r="DAD101" s="53"/>
      <c r="DAE101" s="53"/>
      <c r="DAF101" s="53"/>
      <c r="DAG101" s="53"/>
      <c r="DAH101" s="53"/>
      <c r="DAI101" s="53"/>
      <c r="DAJ101" s="53"/>
      <c r="DAK101" s="53"/>
      <c r="DAL101" s="53"/>
      <c r="DAM101" s="53"/>
      <c r="DAN101" s="53"/>
      <c r="DAO101" s="53"/>
      <c r="DAP101" s="53"/>
      <c r="DAQ101" s="53"/>
      <c r="DAR101" s="53"/>
      <c r="DAS101" s="53"/>
      <c r="DAT101" s="53"/>
      <c r="DAU101" s="53"/>
      <c r="DAV101" s="53"/>
      <c r="DAW101" s="53"/>
      <c r="DAX101" s="53"/>
      <c r="DAY101" s="53"/>
      <c r="DAZ101" s="53"/>
      <c r="DBA101" s="53"/>
      <c r="DBB101" s="53"/>
      <c r="DBC101" s="53"/>
      <c r="DBD101" s="53"/>
      <c r="DBE101" s="53"/>
      <c r="DBF101" s="53"/>
      <c r="DBG101" s="53"/>
      <c r="DBH101" s="53"/>
      <c r="DBI101" s="53"/>
      <c r="DBJ101" s="53"/>
      <c r="DBK101" s="53"/>
      <c r="DBL101" s="53"/>
      <c r="DBM101" s="53"/>
      <c r="DBN101" s="53"/>
      <c r="DBO101" s="53"/>
      <c r="DBP101" s="53"/>
      <c r="DBQ101" s="53"/>
      <c r="DBR101" s="53"/>
      <c r="DBS101" s="53"/>
      <c r="DBT101" s="53"/>
      <c r="DBU101" s="53"/>
      <c r="DBV101" s="53"/>
      <c r="DBW101" s="53"/>
      <c r="DBX101" s="53"/>
      <c r="DBY101" s="53"/>
      <c r="DBZ101" s="53"/>
      <c r="DCA101" s="53"/>
      <c r="DCB101" s="53"/>
      <c r="DCC101" s="53"/>
      <c r="DCD101" s="53"/>
      <c r="DCE101" s="53"/>
      <c r="DCF101" s="53"/>
      <c r="DCG101" s="53"/>
      <c r="DCH101" s="53"/>
      <c r="DCI101" s="53"/>
      <c r="DCJ101" s="53"/>
      <c r="DCK101" s="53"/>
      <c r="DCL101" s="53"/>
      <c r="DCM101" s="53"/>
      <c r="DCN101" s="53"/>
      <c r="DCO101" s="53"/>
      <c r="DCP101" s="53"/>
      <c r="DCQ101" s="53"/>
      <c r="DCR101" s="53"/>
      <c r="DCS101" s="53"/>
      <c r="DCT101" s="53"/>
      <c r="DCU101" s="53"/>
      <c r="DCV101" s="53"/>
      <c r="DCW101" s="53"/>
      <c r="DCX101" s="53"/>
      <c r="DCY101" s="53"/>
      <c r="DCZ101" s="53"/>
      <c r="DDA101" s="53"/>
      <c r="DDB101" s="53"/>
      <c r="DDC101" s="53"/>
      <c r="DDD101" s="53"/>
      <c r="DDE101" s="53"/>
      <c r="DDF101" s="53"/>
      <c r="DDG101" s="53"/>
      <c r="DDH101" s="53"/>
      <c r="DDI101" s="53"/>
      <c r="DDJ101" s="53"/>
      <c r="DDK101" s="53"/>
      <c r="DDL101" s="53"/>
      <c r="DDM101" s="53"/>
      <c r="DDN101" s="53"/>
      <c r="DDO101" s="53"/>
      <c r="DDP101" s="53"/>
      <c r="DDQ101" s="53"/>
      <c r="DDR101" s="53"/>
      <c r="DDS101" s="53"/>
      <c r="DDT101" s="53"/>
      <c r="DDU101" s="53"/>
      <c r="DDV101" s="53"/>
      <c r="DDW101" s="53"/>
      <c r="DDX101" s="53"/>
      <c r="DDY101" s="53"/>
      <c r="DDZ101" s="53"/>
      <c r="DEA101" s="53"/>
      <c r="DEB101" s="53"/>
      <c r="DEC101" s="53"/>
      <c r="DED101" s="53"/>
      <c r="DEE101" s="53"/>
      <c r="DEF101" s="53"/>
      <c r="DEG101" s="53"/>
      <c r="DEH101" s="53"/>
      <c r="DEI101" s="53"/>
      <c r="DEJ101" s="53"/>
      <c r="DEK101" s="53"/>
      <c r="DEL101" s="53"/>
      <c r="DEM101" s="53"/>
      <c r="DEN101" s="53"/>
      <c r="DEO101" s="53"/>
      <c r="DEP101" s="53"/>
      <c r="DEQ101" s="53"/>
      <c r="DER101" s="53"/>
      <c r="DES101" s="53"/>
      <c r="DET101" s="53"/>
      <c r="DEU101" s="53"/>
      <c r="DEV101" s="53"/>
      <c r="DEW101" s="53"/>
      <c r="DEX101" s="53"/>
      <c r="DEY101" s="53"/>
      <c r="DEZ101" s="53"/>
      <c r="DFA101" s="53"/>
      <c r="DFB101" s="53"/>
      <c r="DFC101" s="53"/>
      <c r="DFD101" s="53"/>
      <c r="DFE101" s="53"/>
      <c r="DFF101" s="53"/>
      <c r="DFG101" s="53"/>
      <c r="DFH101" s="53"/>
      <c r="DFI101" s="53"/>
      <c r="DFJ101" s="53"/>
      <c r="DFK101" s="53"/>
      <c r="DFL101" s="53"/>
      <c r="DFM101" s="53"/>
      <c r="DFN101" s="53"/>
      <c r="DFO101" s="53"/>
      <c r="DFP101" s="53"/>
      <c r="DFQ101" s="53"/>
      <c r="DFR101" s="53"/>
      <c r="DFS101" s="53"/>
      <c r="DFT101" s="53"/>
      <c r="DFU101" s="53"/>
      <c r="DFV101" s="53"/>
      <c r="DFW101" s="53"/>
      <c r="DFX101" s="53"/>
      <c r="DFY101" s="53"/>
      <c r="DFZ101" s="53"/>
      <c r="DGA101" s="53"/>
      <c r="DGB101" s="53"/>
      <c r="DGC101" s="53"/>
      <c r="DGD101" s="53"/>
      <c r="DGE101" s="53"/>
      <c r="DGF101" s="53"/>
      <c r="DGG101" s="53"/>
      <c r="DGH101" s="53"/>
      <c r="DGI101" s="53"/>
      <c r="DGJ101" s="53"/>
      <c r="DGK101" s="53"/>
      <c r="DGL101" s="53"/>
      <c r="DGM101" s="53"/>
      <c r="DGN101" s="53"/>
      <c r="DGO101" s="53"/>
      <c r="DGP101" s="53"/>
      <c r="DGQ101" s="53"/>
      <c r="DGR101" s="53"/>
      <c r="DGS101" s="53"/>
      <c r="DGT101" s="53"/>
      <c r="DGU101" s="53"/>
      <c r="DGV101" s="53"/>
      <c r="DGW101" s="53"/>
      <c r="DGX101" s="53"/>
      <c r="DGY101" s="53"/>
      <c r="DGZ101" s="53"/>
      <c r="DHA101" s="53"/>
      <c r="DHB101" s="53"/>
      <c r="DHC101" s="53"/>
      <c r="DHD101" s="53"/>
      <c r="DHE101" s="53"/>
      <c r="DHF101" s="53"/>
      <c r="DHG101" s="53"/>
      <c r="DHH101" s="53"/>
      <c r="DHI101" s="53"/>
      <c r="DHJ101" s="53"/>
      <c r="DHK101" s="53"/>
      <c r="DHL101" s="53"/>
      <c r="DHM101" s="53"/>
      <c r="DHN101" s="53"/>
      <c r="DHO101" s="53"/>
      <c r="DHP101" s="53"/>
      <c r="DHQ101" s="53"/>
      <c r="DHR101" s="53"/>
      <c r="DHS101" s="53"/>
      <c r="DHT101" s="53"/>
      <c r="DHU101" s="53"/>
      <c r="DHV101" s="53"/>
      <c r="DHW101" s="53"/>
      <c r="DHX101" s="53"/>
      <c r="DHY101" s="53"/>
      <c r="DHZ101" s="53"/>
      <c r="DIA101" s="53"/>
      <c r="DIB101" s="53"/>
      <c r="DIC101" s="53"/>
      <c r="DID101" s="53"/>
      <c r="DIE101" s="53"/>
      <c r="DIF101" s="53"/>
      <c r="DIG101" s="53"/>
      <c r="DIH101" s="53"/>
      <c r="DII101" s="53"/>
      <c r="DIJ101" s="53"/>
      <c r="DIK101" s="53"/>
      <c r="DIL101" s="53"/>
      <c r="DIM101" s="53"/>
      <c r="DIN101" s="53"/>
      <c r="DIO101" s="53"/>
      <c r="DIP101" s="53"/>
      <c r="DIQ101" s="53"/>
      <c r="DIR101" s="53"/>
      <c r="DIS101" s="53"/>
      <c r="DIT101" s="53"/>
      <c r="DIU101" s="53"/>
      <c r="DIV101" s="53"/>
      <c r="DIW101" s="53"/>
      <c r="DIX101" s="53"/>
      <c r="DIY101" s="53"/>
      <c r="DIZ101" s="53"/>
      <c r="DJA101" s="53"/>
      <c r="DJB101" s="53"/>
      <c r="DJC101" s="53"/>
      <c r="DJD101" s="53"/>
      <c r="DJE101" s="53"/>
      <c r="DJF101" s="53"/>
      <c r="DJG101" s="53"/>
      <c r="DJH101" s="53"/>
      <c r="DJI101" s="53"/>
      <c r="DJJ101" s="53"/>
      <c r="DJK101" s="53"/>
      <c r="DJL101" s="53"/>
      <c r="DJM101" s="53"/>
      <c r="DJN101" s="53"/>
      <c r="DJO101" s="53"/>
      <c r="DJP101" s="53"/>
      <c r="DJQ101" s="53"/>
      <c r="DJR101" s="53"/>
      <c r="DJS101" s="53"/>
      <c r="DJT101" s="53"/>
      <c r="DJU101" s="53"/>
      <c r="DJV101" s="53"/>
      <c r="DJW101" s="53"/>
      <c r="DJX101" s="53"/>
      <c r="DJY101" s="53"/>
      <c r="DJZ101" s="53"/>
      <c r="DKA101" s="53"/>
      <c r="DKB101" s="53"/>
      <c r="DKC101" s="53"/>
      <c r="DKD101" s="53"/>
      <c r="DKE101" s="53"/>
      <c r="DKF101" s="53"/>
      <c r="DKG101" s="53"/>
      <c r="DKH101" s="53"/>
      <c r="DKI101" s="53"/>
      <c r="DKJ101" s="53"/>
      <c r="DKK101" s="53"/>
      <c r="DKL101" s="53"/>
      <c r="DKM101" s="53"/>
      <c r="DKN101" s="53"/>
      <c r="DKO101" s="53"/>
      <c r="DKP101" s="53"/>
      <c r="DKQ101" s="53"/>
      <c r="DKR101" s="53"/>
      <c r="DKS101" s="53"/>
      <c r="DKT101" s="53"/>
      <c r="DKU101" s="53"/>
      <c r="DKV101" s="53"/>
      <c r="DKW101" s="53"/>
      <c r="DKX101" s="53"/>
      <c r="DKY101" s="53"/>
      <c r="DKZ101" s="53"/>
      <c r="DLA101" s="53"/>
      <c r="DLB101" s="53"/>
      <c r="DLC101" s="53"/>
      <c r="DLD101" s="53"/>
      <c r="DLE101" s="53"/>
      <c r="DLF101" s="53"/>
      <c r="DLG101" s="53"/>
      <c r="DLH101" s="53"/>
      <c r="DLI101" s="53"/>
      <c r="DLJ101" s="53"/>
      <c r="DLK101" s="53"/>
      <c r="DLL101" s="53"/>
      <c r="DLM101" s="53"/>
      <c r="DLN101" s="53"/>
      <c r="DLO101" s="53"/>
      <c r="DLP101" s="53"/>
      <c r="DLQ101" s="53"/>
      <c r="DLR101" s="53"/>
      <c r="DLS101" s="53"/>
      <c r="DLT101" s="53"/>
      <c r="DLU101" s="53"/>
      <c r="DLV101" s="53"/>
      <c r="DLW101" s="53"/>
      <c r="DLX101" s="53"/>
      <c r="DLY101" s="53"/>
      <c r="DLZ101" s="53"/>
      <c r="DMA101" s="53"/>
      <c r="DMB101" s="53"/>
      <c r="DMC101" s="53"/>
      <c r="DMD101" s="53"/>
      <c r="DME101" s="53"/>
      <c r="DMF101" s="53"/>
      <c r="DMG101" s="53"/>
      <c r="DMH101" s="53"/>
      <c r="DMI101" s="53"/>
      <c r="DMJ101" s="53"/>
      <c r="DMK101" s="53"/>
      <c r="DML101" s="53"/>
      <c r="DMM101" s="53"/>
      <c r="DMN101" s="53"/>
      <c r="DMO101" s="53"/>
      <c r="DMP101" s="53"/>
      <c r="DMQ101" s="53"/>
      <c r="DMR101" s="53"/>
      <c r="DMS101" s="53"/>
      <c r="DMT101" s="53"/>
      <c r="DMU101" s="53"/>
      <c r="DMV101" s="53"/>
      <c r="DMW101" s="53"/>
      <c r="DMX101" s="53"/>
      <c r="DMY101" s="53"/>
      <c r="DMZ101" s="53"/>
      <c r="DNA101" s="53"/>
      <c r="DNB101" s="53"/>
      <c r="DNC101" s="53"/>
      <c r="DND101" s="53"/>
      <c r="DNE101" s="53"/>
      <c r="DNF101" s="53"/>
      <c r="DNG101" s="53"/>
      <c r="DNH101" s="53"/>
      <c r="DNI101" s="53"/>
      <c r="DNJ101" s="53"/>
      <c r="DNK101" s="53"/>
      <c r="DNL101" s="53"/>
      <c r="DNM101" s="53"/>
      <c r="DNN101" s="53"/>
      <c r="DNO101" s="53"/>
      <c r="DNP101" s="53"/>
      <c r="DNQ101" s="53"/>
      <c r="DNR101" s="53"/>
      <c r="DNS101" s="53"/>
      <c r="DNT101" s="53"/>
      <c r="DNU101" s="53"/>
      <c r="DNV101" s="53"/>
      <c r="DNW101" s="53"/>
      <c r="DNX101" s="53"/>
      <c r="DNY101" s="53"/>
      <c r="DNZ101" s="53"/>
      <c r="DOA101" s="53"/>
      <c r="DOB101" s="53"/>
      <c r="DOC101" s="53"/>
      <c r="DOD101" s="53"/>
      <c r="DOE101" s="53"/>
      <c r="DOF101" s="53"/>
      <c r="DOG101" s="53"/>
      <c r="DOH101" s="53"/>
      <c r="DOI101" s="53"/>
      <c r="DOJ101" s="53"/>
      <c r="DOK101" s="53"/>
      <c r="DOL101" s="53"/>
      <c r="DOM101" s="53"/>
      <c r="DON101" s="53"/>
      <c r="DOO101" s="53"/>
      <c r="DOP101" s="53"/>
      <c r="DOQ101" s="53"/>
      <c r="DOR101" s="53"/>
      <c r="DOS101" s="53"/>
      <c r="DOT101" s="53"/>
      <c r="DOU101" s="53"/>
      <c r="DOV101" s="53"/>
      <c r="DOW101" s="53"/>
      <c r="DOX101" s="53"/>
      <c r="DOY101" s="53"/>
      <c r="DOZ101" s="53"/>
      <c r="DPA101" s="53"/>
      <c r="DPB101" s="53"/>
      <c r="DPC101" s="53"/>
      <c r="DPD101" s="53"/>
      <c r="DPE101" s="53"/>
      <c r="DPF101" s="53"/>
      <c r="DPG101" s="53"/>
      <c r="DPH101" s="53"/>
      <c r="DPI101" s="53"/>
      <c r="DPJ101" s="53"/>
      <c r="DPK101" s="53"/>
      <c r="DPL101" s="53"/>
      <c r="DPM101" s="53"/>
      <c r="DPN101" s="53"/>
      <c r="DPO101" s="53"/>
      <c r="DPP101" s="53"/>
      <c r="DPQ101" s="53"/>
      <c r="DPR101" s="53"/>
      <c r="DPS101" s="53"/>
      <c r="DPT101" s="53"/>
      <c r="DPU101" s="53"/>
      <c r="DPV101" s="53"/>
      <c r="DPW101" s="53"/>
      <c r="DPX101" s="53"/>
      <c r="DPY101" s="53"/>
      <c r="DPZ101" s="53"/>
      <c r="DQA101" s="53"/>
      <c r="DQB101" s="53"/>
      <c r="DQC101" s="53"/>
      <c r="DQD101" s="53"/>
      <c r="DQE101" s="53"/>
      <c r="DQF101" s="53"/>
      <c r="DQG101" s="53"/>
      <c r="DQH101" s="53"/>
      <c r="DQI101" s="53"/>
      <c r="DQJ101" s="53"/>
      <c r="DQK101" s="53"/>
      <c r="DQL101" s="53"/>
      <c r="DQM101" s="53"/>
      <c r="DQN101" s="53"/>
      <c r="DQO101" s="53"/>
      <c r="DQP101" s="53"/>
      <c r="DQQ101" s="53"/>
      <c r="DQR101" s="53"/>
      <c r="DQS101" s="53"/>
      <c r="DQT101" s="53"/>
      <c r="DQU101" s="53"/>
      <c r="DQV101" s="53"/>
      <c r="DQW101" s="53"/>
      <c r="DQX101" s="53"/>
      <c r="DQY101" s="53"/>
      <c r="DQZ101" s="53"/>
      <c r="DRA101" s="53"/>
      <c r="DRB101" s="53"/>
      <c r="DRC101" s="53"/>
      <c r="DRD101" s="53"/>
      <c r="DRE101" s="53"/>
      <c r="DRF101" s="53"/>
      <c r="DRG101" s="53"/>
      <c r="DRH101" s="53"/>
      <c r="DRI101" s="53"/>
      <c r="DRJ101" s="53"/>
      <c r="DRK101" s="53"/>
      <c r="DRL101" s="53"/>
      <c r="DRM101" s="53"/>
      <c r="DRN101" s="53"/>
      <c r="DRO101" s="53"/>
      <c r="DRP101" s="53"/>
      <c r="DRQ101" s="53"/>
      <c r="DRR101" s="53"/>
      <c r="DRS101" s="53"/>
      <c r="DRT101" s="53"/>
      <c r="DRU101" s="53"/>
      <c r="DRV101" s="53"/>
      <c r="DRW101" s="53"/>
      <c r="DRX101" s="53"/>
      <c r="DRY101" s="53"/>
      <c r="DRZ101" s="53"/>
      <c r="DSA101" s="53"/>
      <c r="DSB101" s="53"/>
      <c r="DSC101" s="53"/>
      <c r="DSD101" s="53"/>
      <c r="DSE101" s="53"/>
      <c r="DSF101" s="53"/>
      <c r="DSG101" s="53"/>
      <c r="DSH101" s="53"/>
      <c r="DSI101" s="53"/>
      <c r="DSJ101" s="53"/>
      <c r="DSK101" s="53"/>
      <c r="DSL101" s="53"/>
      <c r="DSM101" s="53"/>
      <c r="DSN101" s="53"/>
      <c r="DSO101" s="53"/>
      <c r="DSP101" s="53"/>
      <c r="DSQ101" s="53"/>
      <c r="DSR101" s="53"/>
      <c r="DSS101" s="53"/>
      <c r="DST101" s="53"/>
      <c r="DSU101" s="53"/>
      <c r="DSV101" s="53"/>
      <c r="DSW101" s="53"/>
      <c r="DSX101" s="53"/>
      <c r="DSY101" s="53"/>
      <c r="DSZ101" s="53"/>
      <c r="DTA101" s="53"/>
      <c r="DTB101" s="53"/>
      <c r="DTC101" s="53"/>
      <c r="DTD101" s="53"/>
      <c r="DTE101" s="53"/>
      <c r="DTF101" s="53"/>
      <c r="DTG101" s="53"/>
      <c r="DTH101" s="53"/>
      <c r="DTI101" s="53"/>
      <c r="DTJ101" s="53"/>
      <c r="DTK101" s="53"/>
      <c r="DTL101" s="53"/>
      <c r="DTM101" s="53"/>
      <c r="DTN101" s="53"/>
      <c r="DTO101" s="53"/>
      <c r="DTP101" s="53"/>
      <c r="DTQ101" s="53"/>
      <c r="DTR101" s="53"/>
      <c r="DTS101" s="53"/>
      <c r="DTT101" s="53"/>
      <c r="DTU101" s="53"/>
      <c r="DTV101" s="53"/>
      <c r="DTW101" s="53"/>
      <c r="DTX101" s="53"/>
      <c r="DTY101" s="53"/>
      <c r="DTZ101" s="53"/>
      <c r="DUA101" s="53"/>
      <c r="DUB101" s="53"/>
      <c r="DUC101" s="53"/>
      <c r="DUD101" s="53"/>
      <c r="DUE101" s="53"/>
      <c r="DUF101" s="53"/>
      <c r="DUG101" s="53"/>
      <c r="DUH101" s="53"/>
      <c r="DUI101" s="53"/>
      <c r="DUJ101" s="53"/>
      <c r="DUK101" s="53"/>
      <c r="DUL101" s="53"/>
      <c r="DUM101" s="53"/>
      <c r="DUN101" s="53"/>
      <c r="DUO101" s="53"/>
      <c r="DUP101" s="53"/>
      <c r="DUQ101" s="53"/>
      <c r="DUR101" s="53"/>
      <c r="DUS101" s="53"/>
      <c r="DUT101" s="53"/>
      <c r="DUU101" s="53"/>
      <c r="DUV101" s="53"/>
      <c r="DUW101" s="53"/>
      <c r="DUX101" s="53"/>
      <c r="DUY101" s="53"/>
      <c r="DUZ101" s="53"/>
      <c r="DVA101" s="53"/>
      <c r="DVB101" s="53"/>
      <c r="DVC101" s="53"/>
      <c r="DVD101" s="53"/>
      <c r="DVE101" s="53"/>
      <c r="DVF101" s="53"/>
      <c r="DVG101" s="53"/>
      <c r="DVH101" s="53"/>
      <c r="DVI101" s="53"/>
      <c r="DVJ101" s="53"/>
      <c r="DVK101" s="53"/>
      <c r="DVL101" s="53"/>
      <c r="DVM101" s="53"/>
      <c r="DVN101" s="53"/>
      <c r="DVO101" s="53"/>
      <c r="DVP101" s="53"/>
      <c r="DVQ101" s="53"/>
      <c r="DVR101" s="53"/>
      <c r="DVS101" s="53"/>
      <c r="DVT101" s="53"/>
      <c r="DVU101" s="53"/>
      <c r="DVV101" s="53"/>
      <c r="DVW101" s="53"/>
      <c r="DVX101" s="53"/>
      <c r="DVY101" s="53"/>
      <c r="DVZ101" s="53"/>
      <c r="DWA101" s="53"/>
      <c r="DWB101" s="53"/>
      <c r="DWC101" s="53"/>
      <c r="DWD101" s="53"/>
      <c r="DWE101" s="53"/>
      <c r="DWF101" s="53"/>
      <c r="DWG101" s="53"/>
      <c r="DWH101" s="53"/>
      <c r="DWI101" s="53"/>
      <c r="DWJ101" s="53"/>
      <c r="DWK101" s="53"/>
      <c r="DWL101" s="53"/>
      <c r="DWM101" s="53"/>
      <c r="DWN101" s="53"/>
      <c r="DWO101" s="53"/>
      <c r="DWP101" s="53"/>
      <c r="DWQ101" s="53"/>
      <c r="DWR101" s="53"/>
      <c r="DWS101" s="53"/>
      <c r="DWT101" s="53"/>
      <c r="DWU101" s="53"/>
      <c r="DWV101" s="53"/>
      <c r="DWW101" s="53"/>
      <c r="DWX101" s="53"/>
      <c r="DWY101" s="53"/>
      <c r="DWZ101" s="53"/>
      <c r="DXA101" s="53"/>
      <c r="DXB101" s="53"/>
      <c r="DXC101" s="53"/>
      <c r="DXD101" s="53"/>
      <c r="DXE101" s="53"/>
      <c r="DXF101" s="53"/>
      <c r="DXG101" s="53"/>
      <c r="DXH101" s="53"/>
      <c r="DXI101" s="53"/>
      <c r="DXJ101" s="53"/>
      <c r="DXK101" s="53"/>
      <c r="DXL101" s="53"/>
      <c r="DXM101" s="53"/>
      <c r="DXN101" s="53"/>
      <c r="DXO101" s="53"/>
      <c r="DXP101" s="53"/>
      <c r="DXQ101" s="53"/>
      <c r="DXR101" s="53"/>
      <c r="DXS101" s="53"/>
      <c r="DXT101" s="53"/>
      <c r="DXU101" s="53"/>
      <c r="DXV101" s="53"/>
      <c r="DXW101" s="53"/>
      <c r="DXX101" s="53"/>
      <c r="DXY101" s="53"/>
      <c r="DXZ101" s="53"/>
      <c r="DYA101" s="53"/>
      <c r="DYB101" s="53"/>
      <c r="DYC101" s="53"/>
      <c r="DYD101" s="53"/>
      <c r="DYE101" s="53"/>
      <c r="DYF101" s="53"/>
      <c r="DYG101" s="53"/>
      <c r="DYH101" s="53"/>
      <c r="DYI101" s="53"/>
      <c r="DYJ101" s="53"/>
      <c r="DYK101" s="53"/>
      <c r="DYL101" s="53"/>
      <c r="DYM101" s="53"/>
      <c r="DYN101" s="53"/>
      <c r="DYO101" s="53"/>
      <c r="DYP101" s="53"/>
      <c r="DYQ101" s="53"/>
      <c r="DYR101" s="53"/>
      <c r="DYS101" s="53"/>
      <c r="DYT101" s="53"/>
      <c r="DYU101" s="53"/>
      <c r="DYV101" s="53"/>
      <c r="DYW101" s="53"/>
      <c r="DYX101" s="53"/>
      <c r="DYY101" s="53"/>
      <c r="DYZ101" s="53"/>
      <c r="DZA101" s="53"/>
      <c r="DZB101" s="53"/>
      <c r="DZC101" s="53"/>
      <c r="DZD101" s="53"/>
      <c r="DZE101" s="53"/>
      <c r="DZF101" s="53"/>
      <c r="DZG101" s="53"/>
      <c r="DZH101" s="53"/>
      <c r="DZI101" s="53"/>
      <c r="DZJ101" s="53"/>
      <c r="DZK101" s="53"/>
      <c r="DZL101" s="53"/>
      <c r="DZM101" s="53"/>
      <c r="DZN101" s="53"/>
      <c r="DZO101" s="53"/>
      <c r="DZP101" s="53"/>
      <c r="DZQ101" s="53"/>
      <c r="DZR101" s="53"/>
      <c r="DZS101" s="53"/>
      <c r="DZT101" s="53"/>
      <c r="DZU101" s="53"/>
      <c r="DZV101" s="53"/>
      <c r="DZW101" s="53"/>
      <c r="DZX101" s="53"/>
      <c r="DZY101" s="53"/>
      <c r="DZZ101" s="53"/>
      <c r="EAA101" s="53"/>
      <c r="EAB101" s="53"/>
      <c r="EAC101" s="53"/>
      <c r="EAD101" s="53"/>
      <c r="EAE101" s="53"/>
      <c r="EAF101" s="53"/>
      <c r="EAG101" s="53"/>
      <c r="EAH101" s="53"/>
      <c r="EAI101" s="53"/>
      <c r="EAJ101" s="53"/>
      <c r="EAK101" s="53"/>
      <c r="EAL101" s="53"/>
      <c r="EAM101" s="53"/>
      <c r="EAN101" s="53"/>
      <c r="EAO101" s="53"/>
      <c r="EAP101" s="53"/>
      <c r="EAQ101" s="53"/>
      <c r="EAR101" s="53"/>
      <c r="EAS101" s="53"/>
      <c r="EAT101" s="53"/>
      <c r="EAU101" s="53"/>
      <c r="EAV101" s="53"/>
      <c r="EAW101" s="53"/>
      <c r="EAX101" s="53"/>
      <c r="EAY101" s="53"/>
      <c r="EAZ101" s="53"/>
      <c r="EBA101" s="53"/>
      <c r="EBB101" s="53"/>
      <c r="EBC101" s="53"/>
      <c r="EBD101" s="53"/>
      <c r="EBE101" s="53"/>
      <c r="EBF101" s="53"/>
      <c r="EBG101" s="53"/>
      <c r="EBH101" s="53"/>
      <c r="EBI101" s="53"/>
      <c r="EBJ101" s="53"/>
      <c r="EBK101" s="53"/>
      <c r="EBL101" s="53"/>
      <c r="EBM101" s="53"/>
      <c r="EBN101" s="53"/>
      <c r="EBO101" s="53"/>
      <c r="EBP101" s="53"/>
      <c r="EBQ101" s="53"/>
      <c r="EBR101" s="53"/>
      <c r="EBS101" s="53"/>
      <c r="EBT101" s="53"/>
      <c r="EBU101" s="53"/>
      <c r="EBV101" s="53"/>
      <c r="EBW101" s="53"/>
      <c r="EBX101" s="53"/>
      <c r="EBY101" s="53"/>
      <c r="EBZ101" s="53"/>
      <c r="ECA101" s="53"/>
      <c r="ECB101" s="53"/>
      <c r="ECC101" s="53"/>
      <c r="ECD101" s="53"/>
      <c r="ECE101" s="53"/>
      <c r="ECF101" s="53"/>
      <c r="ECG101" s="53"/>
      <c r="ECH101" s="53"/>
      <c r="ECI101" s="53"/>
      <c r="ECJ101" s="53"/>
      <c r="ECK101" s="53"/>
      <c r="ECL101" s="53"/>
      <c r="ECM101" s="53"/>
      <c r="ECN101" s="53"/>
      <c r="ECO101" s="53"/>
      <c r="ECP101" s="53"/>
      <c r="ECQ101" s="53"/>
      <c r="ECR101" s="53"/>
      <c r="ECS101" s="53"/>
      <c r="ECT101" s="53"/>
      <c r="ECU101" s="53"/>
      <c r="ECV101" s="53"/>
      <c r="ECW101" s="53"/>
      <c r="ECX101" s="53"/>
      <c r="ECY101" s="53"/>
      <c r="ECZ101" s="53"/>
      <c r="EDA101" s="53"/>
      <c r="EDB101" s="53"/>
      <c r="EDC101" s="53"/>
      <c r="EDD101" s="53"/>
      <c r="EDE101" s="53"/>
      <c r="EDF101" s="53"/>
      <c r="EDG101" s="53"/>
      <c r="EDH101" s="53"/>
      <c r="EDI101" s="53"/>
      <c r="EDJ101" s="53"/>
      <c r="EDK101" s="53"/>
      <c r="EDL101" s="53"/>
      <c r="EDM101" s="53"/>
      <c r="EDN101" s="53"/>
      <c r="EDO101" s="53"/>
      <c r="EDP101" s="53"/>
      <c r="EDQ101" s="53"/>
      <c r="EDR101" s="53"/>
      <c r="EDS101" s="53"/>
      <c r="EDT101" s="53"/>
      <c r="EDU101" s="53"/>
      <c r="EDV101" s="53"/>
      <c r="EDW101" s="53"/>
      <c r="EDX101" s="53"/>
      <c r="EDY101" s="53"/>
      <c r="EDZ101" s="53"/>
      <c r="EEA101" s="53"/>
      <c r="EEB101" s="53"/>
      <c r="EEC101" s="53"/>
      <c r="EED101" s="53"/>
      <c r="EEE101" s="53"/>
      <c r="EEF101" s="53"/>
      <c r="EEG101" s="53"/>
      <c r="EEH101" s="53"/>
      <c r="EEI101" s="53"/>
      <c r="EEJ101" s="53"/>
      <c r="EEK101" s="53"/>
      <c r="EEL101" s="53"/>
      <c r="EEM101" s="53"/>
      <c r="EEN101" s="53"/>
      <c r="EEO101" s="53"/>
      <c r="EEP101" s="53"/>
      <c r="EEQ101" s="53"/>
      <c r="EER101" s="53"/>
      <c r="EES101" s="53"/>
      <c r="EET101" s="53"/>
      <c r="EEU101" s="53"/>
      <c r="EEV101" s="53"/>
      <c r="EEW101" s="53"/>
      <c r="EEX101" s="53"/>
      <c r="EEY101" s="53"/>
      <c r="EEZ101" s="53"/>
      <c r="EFA101" s="53"/>
      <c r="EFB101" s="53"/>
      <c r="EFC101" s="53"/>
      <c r="EFD101" s="53"/>
      <c r="EFE101" s="53"/>
      <c r="EFF101" s="53"/>
      <c r="EFG101" s="53"/>
      <c r="EFH101" s="53"/>
      <c r="EFI101" s="53"/>
      <c r="EFJ101" s="53"/>
      <c r="EFK101" s="53"/>
      <c r="EFL101" s="53"/>
      <c r="EFM101" s="53"/>
      <c r="EFN101" s="53"/>
      <c r="EFO101" s="53"/>
      <c r="EFP101" s="53"/>
      <c r="EFQ101" s="53"/>
      <c r="EFR101" s="53"/>
      <c r="EFS101" s="53"/>
      <c r="EFT101" s="53"/>
      <c r="EFU101" s="53"/>
      <c r="EFV101" s="53"/>
      <c r="EFW101" s="53"/>
      <c r="EFX101" s="53"/>
      <c r="EFY101" s="53"/>
      <c r="EFZ101" s="53"/>
      <c r="EGA101" s="53"/>
      <c r="EGB101" s="53"/>
      <c r="EGC101" s="53"/>
      <c r="EGD101" s="53"/>
      <c r="EGE101" s="53"/>
      <c r="EGF101" s="53"/>
      <c r="EGG101" s="53"/>
      <c r="EGH101" s="53"/>
      <c r="EGI101" s="53"/>
      <c r="EGJ101" s="53"/>
      <c r="EGK101" s="53"/>
      <c r="EGL101" s="53"/>
      <c r="EGM101" s="53"/>
      <c r="EGN101" s="53"/>
      <c r="EGO101" s="53"/>
      <c r="EGP101" s="53"/>
      <c r="EGQ101" s="53"/>
      <c r="EGR101" s="53"/>
      <c r="EGS101" s="53"/>
      <c r="EGT101" s="53"/>
      <c r="EGU101" s="53"/>
      <c r="EGV101" s="53"/>
      <c r="EGW101" s="53"/>
      <c r="EGX101" s="53"/>
      <c r="EGY101" s="53"/>
      <c r="EGZ101" s="53"/>
      <c r="EHA101" s="53"/>
      <c r="EHB101" s="53"/>
      <c r="EHC101" s="53"/>
      <c r="EHD101" s="53"/>
      <c r="EHE101" s="53"/>
      <c r="EHF101" s="53"/>
      <c r="EHG101" s="53"/>
      <c r="EHH101" s="53"/>
      <c r="EHI101" s="53"/>
      <c r="EHJ101" s="53"/>
      <c r="EHK101" s="53"/>
      <c r="EHL101" s="53"/>
      <c r="EHM101" s="53"/>
      <c r="EHN101" s="53"/>
      <c r="EHO101" s="53"/>
      <c r="EHP101" s="53"/>
      <c r="EHQ101" s="53"/>
      <c r="EHR101" s="53"/>
      <c r="EHS101" s="53"/>
      <c r="EHT101" s="53"/>
      <c r="EHU101" s="53"/>
      <c r="EHV101" s="53"/>
      <c r="EHW101" s="53"/>
      <c r="EHX101" s="53"/>
      <c r="EHY101" s="53"/>
      <c r="EHZ101" s="53"/>
      <c r="EIA101" s="53"/>
      <c r="EIB101" s="53"/>
      <c r="EIC101" s="53"/>
      <c r="EID101" s="53"/>
      <c r="EIE101" s="53"/>
      <c r="EIF101" s="53"/>
      <c r="EIG101" s="53"/>
      <c r="EIH101" s="53"/>
      <c r="EII101" s="53"/>
      <c r="EIJ101" s="53"/>
      <c r="EIK101" s="53"/>
      <c r="EIL101" s="53"/>
      <c r="EIM101" s="53"/>
      <c r="EIN101" s="53"/>
      <c r="EIO101" s="53"/>
      <c r="EIP101" s="53"/>
      <c r="EIQ101" s="53"/>
      <c r="EIR101" s="53"/>
      <c r="EIS101" s="53"/>
      <c r="EIT101" s="53"/>
      <c r="EIU101" s="53"/>
      <c r="EIV101" s="53"/>
      <c r="EIW101" s="53"/>
      <c r="EIX101" s="53"/>
      <c r="EIY101" s="53"/>
      <c r="EIZ101" s="53"/>
      <c r="EJA101" s="53"/>
      <c r="EJB101" s="53"/>
      <c r="EJC101" s="53"/>
      <c r="EJD101" s="53"/>
      <c r="EJE101" s="53"/>
      <c r="EJF101" s="53"/>
      <c r="EJG101" s="53"/>
      <c r="EJH101" s="53"/>
      <c r="EJI101" s="53"/>
      <c r="EJJ101" s="53"/>
      <c r="EJK101" s="53"/>
      <c r="EJL101" s="53"/>
      <c r="EJM101" s="53"/>
      <c r="EJN101" s="53"/>
      <c r="EJO101" s="53"/>
      <c r="EJP101" s="53"/>
      <c r="EJQ101" s="53"/>
      <c r="EJR101" s="53"/>
      <c r="EJS101" s="53"/>
      <c r="EJT101" s="53"/>
      <c r="EJU101" s="53"/>
      <c r="EJV101" s="53"/>
      <c r="EJW101" s="53"/>
      <c r="EJX101" s="53"/>
      <c r="EJY101" s="53"/>
      <c r="EJZ101" s="53"/>
      <c r="EKA101" s="53"/>
      <c r="EKB101" s="53"/>
      <c r="EKC101" s="53"/>
      <c r="EKD101" s="53"/>
      <c r="EKE101" s="53"/>
      <c r="EKF101" s="53"/>
      <c r="EKG101" s="53"/>
      <c r="EKH101" s="53"/>
      <c r="EKI101" s="53"/>
      <c r="EKJ101" s="53"/>
      <c r="EKK101" s="53"/>
      <c r="EKL101" s="53"/>
      <c r="EKM101" s="53"/>
      <c r="EKN101" s="53"/>
      <c r="EKO101" s="53"/>
      <c r="EKP101" s="53"/>
      <c r="EKQ101" s="53"/>
      <c r="EKR101" s="53"/>
      <c r="EKS101" s="53"/>
      <c r="EKT101" s="53"/>
      <c r="EKU101" s="53"/>
      <c r="EKV101" s="53"/>
      <c r="EKW101" s="53"/>
      <c r="EKX101" s="53"/>
      <c r="EKY101" s="53"/>
      <c r="EKZ101" s="53"/>
      <c r="ELA101" s="53"/>
      <c r="ELB101" s="53"/>
      <c r="ELC101" s="53"/>
      <c r="ELD101" s="53"/>
      <c r="ELE101" s="53"/>
      <c r="ELF101" s="53"/>
      <c r="ELG101" s="53"/>
      <c r="ELH101" s="53"/>
      <c r="ELI101" s="53"/>
      <c r="ELJ101" s="53"/>
      <c r="ELK101" s="53"/>
      <c r="ELL101" s="53"/>
      <c r="ELM101" s="53"/>
      <c r="ELN101" s="53"/>
      <c r="ELO101" s="53"/>
      <c r="ELP101" s="53"/>
      <c r="ELQ101" s="53"/>
      <c r="ELR101" s="53"/>
      <c r="ELS101" s="53"/>
      <c r="ELT101" s="53"/>
      <c r="ELU101" s="53"/>
      <c r="ELV101" s="53"/>
      <c r="ELW101" s="53"/>
      <c r="ELX101" s="53"/>
      <c r="ELY101" s="53"/>
      <c r="ELZ101" s="53"/>
      <c r="EMA101" s="53"/>
      <c r="EMB101" s="53"/>
      <c r="EMC101" s="53"/>
      <c r="EMD101" s="53"/>
      <c r="EME101" s="53"/>
      <c r="EMF101" s="53"/>
      <c r="EMG101" s="53"/>
      <c r="EMH101" s="53"/>
      <c r="EMI101" s="53"/>
      <c r="EMJ101" s="53"/>
      <c r="EMK101" s="53"/>
      <c r="EML101" s="53"/>
      <c r="EMM101" s="53"/>
      <c r="EMN101" s="53"/>
      <c r="EMO101" s="53"/>
      <c r="EMP101" s="53"/>
      <c r="EMQ101" s="53"/>
      <c r="EMR101" s="53"/>
      <c r="EMS101" s="53"/>
      <c r="EMT101" s="53"/>
      <c r="EMU101" s="53"/>
      <c r="EMV101" s="53"/>
      <c r="EMW101" s="53"/>
      <c r="EMX101" s="53"/>
      <c r="EMY101" s="53"/>
      <c r="EMZ101" s="53"/>
      <c r="ENA101" s="53"/>
      <c r="ENB101" s="53"/>
      <c r="ENC101" s="53"/>
      <c r="END101" s="53"/>
      <c r="ENE101" s="53"/>
      <c r="ENF101" s="53"/>
      <c r="ENG101" s="53"/>
      <c r="ENH101" s="53"/>
      <c r="ENI101" s="53"/>
      <c r="ENJ101" s="53"/>
      <c r="ENK101" s="53"/>
      <c r="ENL101" s="53"/>
      <c r="ENM101" s="53"/>
      <c r="ENN101" s="53"/>
      <c r="ENO101" s="53"/>
      <c r="ENP101" s="53"/>
      <c r="ENQ101" s="53"/>
      <c r="ENR101" s="53"/>
      <c r="ENS101" s="53"/>
      <c r="ENT101" s="53"/>
      <c r="ENU101" s="53"/>
      <c r="ENV101" s="53"/>
      <c r="ENW101" s="53"/>
      <c r="ENX101" s="53"/>
      <c r="ENY101" s="53"/>
      <c r="ENZ101" s="53"/>
      <c r="EOA101" s="53"/>
      <c r="EOB101" s="53"/>
      <c r="EOC101" s="53"/>
      <c r="EOD101" s="53"/>
      <c r="EOE101" s="53"/>
      <c r="EOF101" s="53"/>
      <c r="EOG101" s="53"/>
      <c r="EOH101" s="53"/>
      <c r="EOI101" s="53"/>
      <c r="EOJ101" s="53"/>
      <c r="EOK101" s="53"/>
      <c r="EOL101" s="53"/>
      <c r="EOM101" s="53"/>
      <c r="EON101" s="53"/>
      <c r="EOO101" s="53"/>
      <c r="EOP101" s="53"/>
      <c r="EOQ101" s="53"/>
      <c r="EOR101" s="53"/>
      <c r="EOS101" s="53"/>
      <c r="EOT101" s="53"/>
      <c r="EOU101" s="53"/>
      <c r="EOV101" s="53"/>
      <c r="EOW101" s="53"/>
      <c r="EOX101" s="53"/>
      <c r="EOY101" s="53"/>
      <c r="EOZ101" s="53"/>
      <c r="EPA101" s="53"/>
      <c r="EPB101" s="53"/>
      <c r="EPC101" s="53"/>
      <c r="EPD101" s="53"/>
      <c r="EPE101" s="53"/>
      <c r="EPF101" s="53"/>
      <c r="EPG101" s="53"/>
      <c r="EPH101" s="53"/>
      <c r="EPI101" s="53"/>
      <c r="EPJ101" s="53"/>
      <c r="EPK101" s="53"/>
      <c r="EPL101" s="53"/>
      <c r="EPM101" s="53"/>
      <c r="EPN101" s="53"/>
      <c r="EPO101" s="53"/>
      <c r="EPP101" s="53"/>
      <c r="EPQ101" s="53"/>
      <c r="EPR101" s="53"/>
      <c r="EPS101" s="53"/>
      <c r="EPT101" s="53"/>
      <c r="EPU101" s="53"/>
      <c r="EPV101" s="53"/>
      <c r="EPW101" s="53"/>
      <c r="EPX101" s="53"/>
      <c r="EPY101" s="53"/>
      <c r="EPZ101" s="53"/>
      <c r="EQA101" s="53"/>
      <c r="EQB101" s="53"/>
      <c r="EQC101" s="53"/>
      <c r="EQD101" s="53"/>
      <c r="EQE101" s="53"/>
      <c r="EQF101" s="53"/>
      <c r="EQG101" s="53"/>
      <c r="EQH101" s="53"/>
      <c r="EQI101" s="53"/>
      <c r="EQJ101" s="53"/>
      <c r="EQK101" s="53"/>
      <c r="EQL101" s="53"/>
      <c r="EQM101" s="53"/>
      <c r="EQN101" s="53"/>
      <c r="EQO101" s="53"/>
      <c r="EQP101" s="53"/>
      <c r="EQQ101" s="53"/>
      <c r="EQR101" s="53"/>
      <c r="EQS101" s="53"/>
      <c r="EQT101" s="53"/>
      <c r="EQU101" s="53"/>
      <c r="EQV101" s="53"/>
      <c r="EQW101" s="53"/>
      <c r="EQX101" s="53"/>
      <c r="EQY101" s="53"/>
      <c r="EQZ101" s="53"/>
      <c r="ERA101" s="53"/>
      <c r="ERB101" s="53"/>
      <c r="ERC101" s="53"/>
      <c r="ERD101" s="53"/>
      <c r="ERE101" s="53"/>
      <c r="ERF101" s="53"/>
      <c r="ERG101" s="53"/>
      <c r="ERH101" s="53"/>
      <c r="ERI101" s="53"/>
      <c r="ERJ101" s="53"/>
      <c r="ERK101" s="53"/>
      <c r="ERL101" s="53"/>
      <c r="ERM101" s="53"/>
      <c r="ERN101" s="53"/>
      <c r="ERO101" s="53"/>
      <c r="ERP101" s="53"/>
      <c r="ERQ101" s="53"/>
      <c r="ERR101" s="53"/>
      <c r="ERS101" s="53"/>
      <c r="ERT101" s="53"/>
      <c r="ERU101" s="53"/>
      <c r="ERV101" s="53"/>
      <c r="ERW101" s="53"/>
      <c r="ERX101" s="53"/>
      <c r="ERY101" s="53"/>
      <c r="ERZ101" s="53"/>
      <c r="ESA101" s="53"/>
      <c r="ESB101" s="53"/>
      <c r="ESC101" s="53"/>
      <c r="ESD101" s="53"/>
      <c r="ESE101" s="53"/>
      <c r="ESF101" s="53"/>
      <c r="ESG101" s="53"/>
      <c r="ESH101" s="53"/>
      <c r="ESI101" s="53"/>
      <c r="ESJ101" s="53"/>
      <c r="ESK101" s="53"/>
      <c r="ESL101" s="53"/>
      <c r="ESM101" s="53"/>
      <c r="ESN101" s="53"/>
      <c r="ESO101" s="53"/>
      <c r="ESP101" s="53"/>
      <c r="ESQ101" s="53"/>
      <c r="ESR101" s="53"/>
      <c r="ESS101" s="53"/>
      <c r="EST101" s="53"/>
      <c r="ESU101" s="53"/>
      <c r="ESV101" s="53"/>
      <c r="ESW101" s="53"/>
      <c r="ESX101" s="53"/>
      <c r="ESY101" s="53"/>
      <c r="ESZ101" s="53"/>
      <c r="ETA101" s="53"/>
      <c r="ETB101" s="53"/>
      <c r="ETC101" s="53"/>
      <c r="ETD101" s="53"/>
      <c r="ETE101" s="53"/>
      <c r="ETF101" s="53"/>
      <c r="ETG101" s="53"/>
      <c r="ETH101" s="53"/>
      <c r="ETI101" s="53"/>
      <c r="ETJ101" s="53"/>
      <c r="ETK101" s="53"/>
      <c r="ETL101" s="53"/>
      <c r="ETM101" s="53"/>
      <c r="ETN101" s="53"/>
      <c r="ETO101" s="53"/>
      <c r="ETP101" s="53"/>
      <c r="ETQ101" s="53"/>
      <c r="ETR101" s="53"/>
      <c r="ETS101" s="53"/>
      <c r="ETT101" s="53"/>
      <c r="ETU101" s="53"/>
      <c r="ETV101" s="53"/>
      <c r="ETW101" s="53"/>
      <c r="ETX101" s="53"/>
      <c r="ETY101" s="53"/>
      <c r="ETZ101" s="53"/>
      <c r="EUA101" s="53"/>
      <c r="EUB101" s="53"/>
      <c r="EUC101" s="53"/>
      <c r="EUD101" s="53"/>
      <c r="EUE101" s="53"/>
      <c r="EUF101" s="53"/>
      <c r="EUG101" s="53"/>
      <c r="EUH101" s="53"/>
      <c r="EUI101" s="53"/>
      <c r="EUJ101" s="53"/>
      <c r="EUK101" s="53"/>
      <c r="EUL101" s="53"/>
      <c r="EUM101" s="53"/>
      <c r="EUN101" s="53"/>
      <c r="EUO101" s="53"/>
      <c r="EUP101" s="53"/>
      <c r="EUQ101" s="53"/>
      <c r="EUR101" s="53"/>
      <c r="EUS101" s="53"/>
      <c r="EUT101" s="53"/>
      <c r="EUU101" s="53"/>
      <c r="EUV101" s="53"/>
      <c r="EUW101" s="53"/>
      <c r="EUX101" s="53"/>
      <c r="EUY101" s="53"/>
      <c r="EUZ101" s="53"/>
      <c r="EVA101" s="53"/>
      <c r="EVB101" s="53"/>
      <c r="EVC101" s="53"/>
      <c r="EVD101" s="53"/>
      <c r="EVE101" s="53"/>
      <c r="EVF101" s="53"/>
      <c r="EVG101" s="53"/>
      <c r="EVH101" s="53"/>
      <c r="EVI101" s="53"/>
      <c r="EVJ101" s="53"/>
      <c r="EVK101" s="53"/>
      <c r="EVL101" s="53"/>
      <c r="EVM101" s="53"/>
      <c r="EVN101" s="53"/>
      <c r="EVO101" s="53"/>
      <c r="EVP101" s="53"/>
      <c r="EVQ101" s="53"/>
      <c r="EVR101" s="53"/>
      <c r="EVS101" s="53"/>
      <c r="EVT101" s="53"/>
      <c r="EVU101" s="53"/>
      <c r="EVV101" s="53"/>
      <c r="EVW101" s="53"/>
      <c r="EVX101" s="53"/>
      <c r="EVY101" s="53"/>
      <c r="EVZ101" s="53"/>
      <c r="EWA101" s="53"/>
      <c r="EWB101" s="53"/>
      <c r="EWC101" s="53"/>
      <c r="EWD101" s="53"/>
      <c r="EWE101" s="53"/>
      <c r="EWF101" s="53"/>
      <c r="EWG101" s="53"/>
      <c r="EWH101" s="53"/>
      <c r="EWI101" s="53"/>
      <c r="EWJ101" s="53"/>
      <c r="EWK101" s="53"/>
      <c r="EWL101" s="53"/>
      <c r="EWM101" s="53"/>
      <c r="EWN101" s="53"/>
      <c r="EWO101" s="53"/>
      <c r="EWP101" s="53"/>
      <c r="EWQ101" s="53"/>
      <c r="EWR101" s="53"/>
      <c r="EWS101" s="53"/>
      <c r="EWT101" s="53"/>
      <c r="EWU101" s="53"/>
      <c r="EWV101" s="53"/>
      <c r="EWW101" s="53"/>
      <c r="EWX101" s="53"/>
      <c r="EWY101" s="53"/>
      <c r="EWZ101" s="53"/>
      <c r="EXA101" s="53"/>
      <c r="EXB101" s="53"/>
      <c r="EXC101" s="53"/>
      <c r="EXD101" s="53"/>
      <c r="EXE101" s="53"/>
      <c r="EXF101" s="53"/>
      <c r="EXG101" s="53"/>
      <c r="EXH101" s="53"/>
      <c r="EXI101" s="53"/>
      <c r="EXJ101" s="53"/>
      <c r="EXK101" s="53"/>
      <c r="EXL101" s="53"/>
      <c r="EXM101" s="53"/>
      <c r="EXN101" s="53"/>
      <c r="EXO101" s="53"/>
      <c r="EXP101" s="53"/>
      <c r="EXQ101" s="53"/>
      <c r="EXR101" s="53"/>
      <c r="EXS101" s="53"/>
      <c r="EXT101" s="53"/>
      <c r="EXU101" s="53"/>
      <c r="EXV101" s="53"/>
      <c r="EXW101" s="53"/>
      <c r="EXX101" s="53"/>
      <c r="EXY101" s="53"/>
      <c r="EXZ101" s="53"/>
      <c r="EYA101" s="53"/>
      <c r="EYB101" s="53"/>
      <c r="EYC101" s="53"/>
      <c r="EYD101" s="53"/>
      <c r="EYE101" s="53"/>
      <c r="EYF101" s="53"/>
      <c r="EYG101" s="53"/>
      <c r="EYH101" s="53"/>
      <c r="EYI101" s="53"/>
      <c r="EYJ101" s="53"/>
      <c r="EYK101" s="53"/>
      <c r="EYL101" s="53"/>
      <c r="EYM101" s="53"/>
      <c r="EYN101" s="53"/>
      <c r="EYO101" s="53"/>
      <c r="EYP101" s="53"/>
      <c r="EYQ101" s="53"/>
      <c r="EYR101" s="53"/>
      <c r="EYS101" s="53"/>
      <c r="EYT101" s="53"/>
      <c r="EYU101" s="53"/>
      <c r="EYV101" s="53"/>
      <c r="EYW101" s="53"/>
      <c r="EYX101" s="53"/>
      <c r="EYY101" s="53"/>
      <c r="EYZ101" s="53"/>
      <c r="EZA101" s="53"/>
      <c r="EZB101" s="53"/>
      <c r="EZC101" s="53"/>
      <c r="EZD101" s="53"/>
      <c r="EZE101" s="53"/>
      <c r="EZF101" s="53"/>
      <c r="EZG101" s="53"/>
      <c r="EZH101" s="53"/>
      <c r="EZI101" s="53"/>
      <c r="EZJ101" s="53"/>
      <c r="EZK101" s="53"/>
      <c r="EZL101" s="53"/>
      <c r="EZM101" s="53"/>
      <c r="EZN101" s="53"/>
      <c r="EZO101" s="53"/>
      <c r="EZP101" s="53"/>
      <c r="EZQ101" s="53"/>
      <c r="EZR101" s="53"/>
      <c r="EZS101" s="53"/>
      <c r="EZT101" s="53"/>
      <c r="EZU101" s="53"/>
      <c r="EZV101" s="53"/>
      <c r="EZW101" s="53"/>
      <c r="EZX101" s="53"/>
      <c r="EZY101" s="53"/>
      <c r="EZZ101" s="53"/>
      <c r="FAA101" s="53"/>
      <c r="FAB101" s="53"/>
      <c r="FAC101" s="53"/>
      <c r="FAD101" s="53"/>
      <c r="FAE101" s="53"/>
      <c r="FAF101" s="53"/>
      <c r="FAG101" s="53"/>
      <c r="FAH101" s="53"/>
      <c r="FAI101" s="53"/>
      <c r="FAJ101" s="53"/>
      <c r="FAK101" s="53"/>
      <c r="FAL101" s="53"/>
      <c r="FAM101" s="53"/>
      <c r="FAN101" s="53"/>
      <c r="FAO101" s="53"/>
      <c r="FAP101" s="53"/>
      <c r="FAQ101" s="53"/>
      <c r="FAR101" s="53"/>
      <c r="FAS101" s="53"/>
      <c r="FAT101" s="53"/>
      <c r="FAU101" s="53"/>
      <c r="FAV101" s="53"/>
      <c r="FAW101" s="53"/>
      <c r="FAX101" s="53"/>
      <c r="FAY101" s="53"/>
      <c r="FAZ101" s="53"/>
      <c r="FBA101" s="53"/>
      <c r="FBB101" s="53"/>
      <c r="FBC101" s="53"/>
      <c r="FBD101" s="53"/>
      <c r="FBE101" s="53"/>
      <c r="FBF101" s="53"/>
      <c r="FBG101" s="53"/>
      <c r="FBH101" s="53"/>
      <c r="FBI101" s="53"/>
      <c r="FBJ101" s="53"/>
      <c r="FBK101" s="53"/>
      <c r="FBL101" s="53"/>
      <c r="FBM101" s="53"/>
      <c r="FBN101" s="53"/>
      <c r="FBO101" s="53"/>
      <c r="FBP101" s="53"/>
      <c r="FBQ101" s="53"/>
      <c r="FBR101" s="53"/>
      <c r="FBS101" s="53"/>
      <c r="FBT101" s="53"/>
      <c r="FBU101" s="53"/>
      <c r="FBV101" s="53"/>
      <c r="FBW101" s="53"/>
      <c r="FBX101" s="53"/>
      <c r="FBY101" s="53"/>
      <c r="FBZ101" s="53"/>
      <c r="FCA101" s="53"/>
      <c r="FCB101" s="53"/>
      <c r="FCC101" s="53"/>
      <c r="FCD101" s="53"/>
      <c r="FCE101" s="53"/>
      <c r="FCF101" s="53"/>
      <c r="FCG101" s="53"/>
      <c r="FCH101" s="53"/>
      <c r="FCI101" s="53"/>
      <c r="FCJ101" s="53"/>
      <c r="FCK101" s="53"/>
      <c r="FCL101" s="53"/>
      <c r="FCM101" s="53"/>
      <c r="FCN101" s="53"/>
      <c r="FCO101" s="53"/>
      <c r="FCP101" s="53"/>
      <c r="FCQ101" s="53"/>
      <c r="FCR101" s="53"/>
      <c r="FCS101" s="53"/>
      <c r="FCT101" s="53"/>
      <c r="FCU101" s="53"/>
      <c r="FCV101" s="53"/>
      <c r="FCW101" s="53"/>
      <c r="FCX101" s="53"/>
      <c r="FCY101" s="53"/>
      <c r="FCZ101" s="53"/>
      <c r="FDA101" s="53"/>
      <c r="FDB101" s="53"/>
      <c r="FDC101" s="53"/>
      <c r="FDD101" s="53"/>
      <c r="FDE101" s="53"/>
      <c r="FDF101" s="53"/>
      <c r="FDG101" s="53"/>
      <c r="FDH101" s="53"/>
      <c r="FDI101" s="53"/>
      <c r="FDJ101" s="53"/>
      <c r="FDK101" s="53"/>
      <c r="FDL101" s="53"/>
      <c r="FDM101" s="53"/>
      <c r="FDN101" s="53"/>
      <c r="FDO101" s="53"/>
      <c r="FDP101" s="53"/>
      <c r="FDQ101" s="53"/>
      <c r="FDR101" s="53"/>
      <c r="FDS101" s="53"/>
      <c r="FDT101" s="53"/>
      <c r="FDU101" s="53"/>
      <c r="FDV101" s="53"/>
      <c r="FDW101" s="53"/>
      <c r="FDX101" s="53"/>
      <c r="FDY101" s="53"/>
      <c r="FDZ101" s="53"/>
      <c r="FEA101" s="53"/>
      <c r="FEB101" s="53"/>
      <c r="FEC101" s="53"/>
      <c r="FED101" s="53"/>
      <c r="FEE101" s="53"/>
      <c r="FEF101" s="53"/>
      <c r="FEG101" s="53"/>
      <c r="FEH101" s="53"/>
      <c r="FEI101" s="53"/>
      <c r="FEJ101" s="53"/>
      <c r="FEK101" s="53"/>
      <c r="FEL101" s="53"/>
      <c r="FEM101" s="53"/>
      <c r="FEN101" s="53"/>
      <c r="FEO101" s="53"/>
      <c r="FEP101" s="53"/>
      <c r="FEQ101" s="53"/>
      <c r="FER101" s="53"/>
      <c r="FES101" s="53"/>
      <c r="FET101" s="53"/>
      <c r="FEU101" s="53"/>
      <c r="FEV101" s="53"/>
      <c r="FEW101" s="53"/>
      <c r="FEX101" s="53"/>
      <c r="FEY101" s="53"/>
      <c r="FEZ101" s="53"/>
      <c r="FFA101" s="53"/>
      <c r="FFB101" s="53"/>
      <c r="FFC101" s="53"/>
      <c r="FFD101" s="53"/>
      <c r="FFE101" s="53"/>
      <c r="FFF101" s="53"/>
      <c r="FFG101" s="53"/>
      <c r="FFH101" s="53"/>
      <c r="FFI101" s="53"/>
      <c r="FFJ101" s="53"/>
      <c r="FFK101" s="53"/>
      <c r="FFL101" s="53"/>
      <c r="FFM101" s="53"/>
      <c r="FFN101" s="53"/>
      <c r="FFO101" s="53"/>
      <c r="FFP101" s="53"/>
      <c r="FFQ101" s="53"/>
      <c r="FFR101" s="53"/>
      <c r="FFS101" s="53"/>
      <c r="FFT101" s="53"/>
      <c r="FFU101" s="53"/>
      <c r="FFV101" s="53"/>
      <c r="FFW101" s="53"/>
      <c r="FFX101" s="53"/>
      <c r="FFY101" s="53"/>
      <c r="FFZ101" s="53"/>
      <c r="FGA101" s="53"/>
      <c r="FGB101" s="53"/>
      <c r="FGC101" s="53"/>
      <c r="FGD101" s="53"/>
      <c r="FGE101" s="53"/>
      <c r="FGF101" s="53"/>
      <c r="FGG101" s="53"/>
      <c r="FGH101" s="53"/>
      <c r="FGI101" s="53"/>
      <c r="FGJ101" s="53"/>
      <c r="FGK101" s="53"/>
      <c r="FGL101" s="53"/>
      <c r="FGM101" s="53"/>
      <c r="FGN101" s="53"/>
      <c r="FGO101" s="53"/>
      <c r="FGP101" s="53"/>
      <c r="FGQ101" s="53"/>
      <c r="FGR101" s="53"/>
      <c r="FGS101" s="53"/>
      <c r="FGT101" s="53"/>
      <c r="FGU101" s="53"/>
      <c r="FGV101" s="53"/>
      <c r="FGW101" s="53"/>
      <c r="FGX101" s="53"/>
      <c r="FGY101" s="53"/>
      <c r="FGZ101" s="53"/>
      <c r="FHA101" s="53"/>
      <c r="FHB101" s="53"/>
      <c r="FHC101" s="53"/>
      <c r="FHD101" s="53"/>
      <c r="FHE101" s="53"/>
      <c r="FHF101" s="53"/>
      <c r="FHG101" s="53"/>
      <c r="FHH101" s="53"/>
      <c r="FHI101" s="53"/>
      <c r="FHJ101" s="53"/>
      <c r="FHK101" s="53"/>
      <c r="FHL101" s="53"/>
      <c r="FHM101" s="53"/>
      <c r="FHN101" s="53"/>
      <c r="FHO101" s="53"/>
      <c r="FHP101" s="53"/>
      <c r="FHQ101" s="53"/>
      <c r="FHR101" s="53"/>
      <c r="FHS101" s="53"/>
      <c r="FHT101" s="53"/>
      <c r="FHU101" s="53"/>
      <c r="FHV101" s="53"/>
      <c r="FHW101" s="53"/>
      <c r="FHX101" s="53"/>
      <c r="FHY101" s="53"/>
      <c r="FHZ101" s="53"/>
      <c r="FIA101" s="53"/>
      <c r="FIB101" s="53"/>
      <c r="FIC101" s="53"/>
      <c r="FID101" s="53"/>
      <c r="FIE101" s="53"/>
      <c r="FIF101" s="53"/>
      <c r="FIG101" s="53"/>
      <c r="FIH101" s="53"/>
      <c r="FII101" s="53"/>
      <c r="FIJ101" s="53"/>
      <c r="FIK101" s="53"/>
      <c r="FIL101" s="53"/>
      <c r="FIM101" s="53"/>
      <c r="FIN101" s="53"/>
      <c r="FIO101" s="53"/>
      <c r="FIP101" s="53"/>
      <c r="FIQ101" s="53"/>
      <c r="FIR101" s="53"/>
      <c r="FIS101" s="53"/>
      <c r="FIT101" s="53"/>
      <c r="FIU101" s="53"/>
      <c r="FIV101" s="53"/>
      <c r="FIW101" s="53"/>
      <c r="FIX101" s="53"/>
      <c r="FIY101" s="53"/>
      <c r="FIZ101" s="53"/>
      <c r="FJA101" s="53"/>
      <c r="FJB101" s="53"/>
      <c r="FJC101" s="53"/>
      <c r="FJD101" s="53"/>
      <c r="FJE101" s="53"/>
      <c r="FJF101" s="53"/>
      <c r="FJG101" s="53"/>
      <c r="FJH101" s="53"/>
      <c r="FJI101" s="53"/>
      <c r="FJJ101" s="53"/>
      <c r="FJK101" s="53"/>
      <c r="FJL101" s="53"/>
      <c r="FJM101" s="53"/>
      <c r="FJN101" s="53"/>
      <c r="FJO101" s="53"/>
      <c r="FJP101" s="53"/>
      <c r="FJQ101" s="53"/>
      <c r="FJR101" s="53"/>
      <c r="FJS101" s="53"/>
      <c r="FJT101" s="53"/>
      <c r="FJU101" s="53"/>
      <c r="FJV101" s="53"/>
      <c r="FJW101" s="53"/>
      <c r="FJX101" s="53"/>
      <c r="FJY101" s="53"/>
      <c r="FJZ101" s="53"/>
      <c r="FKA101" s="53"/>
      <c r="FKB101" s="53"/>
      <c r="FKC101" s="53"/>
      <c r="FKD101" s="53"/>
      <c r="FKE101" s="53"/>
      <c r="FKF101" s="53"/>
      <c r="FKG101" s="53"/>
      <c r="FKH101" s="53"/>
      <c r="FKI101" s="53"/>
      <c r="FKJ101" s="53"/>
      <c r="FKK101" s="53"/>
      <c r="FKL101" s="53"/>
      <c r="FKM101" s="53"/>
      <c r="FKN101" s="53"/>
      <c r="FKO101" s="53"/>
      <c r="FKP101" s="53"/>
      <c r="FKQ101" s="53"/>
      <c r="FKR101" s="53"/>
      <c r="FKS101" s="53"/>
      <c r="FKT101" s="53"/>
      <c r="FKU101" s="53"/>
      <c r="FKV101" s="53"/>
      <c r="FKW101" s="53"/>
      <c r="FKX101" s="53"/>
      <c r="FKY101" s="53"/>
      <c r="FKZ101" s="53"/>
      <c r="FLA101" s="53"/>
      <c r="FLB101" s="53"/>
      <c r="FLC101" s="53"/>
      <c r="FLD101" s="53"/>
      <c r="FLE101" s="53"/>
      <c r="FLF101" s="53"/>
      <c r="FLG101" s="53"/>
      <c r="FLH101" s="53"/>
      <c r="FLI101" s="53"/>
      <c r="FLJ101" s="53"/>
      <c r="FLK101" s="53"/>
      <c r="FLL101" s="53"/>
      <c r="FLM101" s="53"/>
      <c r="FLN101" s="53"/>
      <c r="FLO101" s="53"/>
      <c r="FLP101" s="53"/>
      <c r="FLQ101" s="53"/>
      <c r="FLR101" s="53"/>
      <c r="FLS101" s="53"/>
      <c r="FLT101" s="53"/>
      <c r="FLU101" s="53"/>
      <c r="FLV101" s="53"/>
      <c r="FLW101" s="53"/>
      <c r="FLX101" s="53"/>
      <c r="FLY101" s="53"/>
      <c r="FLZ101" s="53"/>
      <c r="FMA101" s="53"/>
      <c r="FMB101" s="53"/>
      <c r="FMC101" s="53"/>
      <c r="FMD101" s="53"/>
      <c r="FME101" s="53"/>
      <c r="FMF101" s="53"/>
      <c r="FMG101" s="53"/>
      <c r="FMH101" s="53"/>
      <c r="FMI101" s="53"/>
      <c r="FMJ101" s="53"/>
      <c r="FMK101" s="53"/>
      <c r="FML101" s="53"/>
      <c r="FMM101" s="53"/>
      <c r="FMN101" s="53"/>
      <c r="FMO101" s="53"/>
      <c r="FMP101" s="53"/>
      <c r="FMQ101" s="53"/>
      <c r="FMR101" s="53"/>
      <c r="FMS101" s="53"/>
      <c r="FMT101" s="53"/>
      <c r="FMU101" s="53"/>
      <c r="FMV101" s="53"/>
      <c r="FMW101" s="53"/>
      <c r="FMX101" s="53"/>
      <c r="FMY101" s="53"/>
      <c r="FMZ101" s="53"/>
      <c r="FNA101" s="53"/>
      <c r="FNB101" s="53"/>
      <c r="FNC101" s="53"/>
      <c r="FND101" s="53"/>
      <c r="FNE101" s="53"/>
      <c r="FNF101" s="53"/>
      <c r="FNG101" s="53"/>
      <c r="FNH101" s="53"/>
      <c r="FNI101" s="53"/>
      <c r="FNJ101" s="53"/>
      <c r="FNK101" s="53"/>
      <c r="FNL101" s="53"/>
      <c r="FNM101" s="53"/>
      <c r="FNN101" s="53"/>
      <c r="FNO101" s="53"/>
      <c r="FNP101" s="53"/>
      <c r="FNQ101" s="53"/>
      <c r="FNR101" s="53"/>
      <c r="FNS101" s="53"/>
      <c r="FNT101" s="53"/>
      <c r="FNU101" s="53"/>
      <c r="FNV101" s="53"/>
      <c r="FNW101" s="53"/>
      <c r="FNX101" s="53"/>
      <c r="FNY101" s="53"/>
      <c r="FNZ101" s="53"/>
      <c r="FOA101" s="53"/>
      <c r="FOB101" s="53"/>
      <c r="FOC101" s="53"/>
      <c r="FOD101" s="53"/>
      <c r="FOE101" s="53"/>
      <c r="FOF101" s="53"/>
      <c r="FOG101" s="53"/>
      <c r="FOH101" s="53"/>
      <c r="FOI101" s="53"/>
      <c r="FOJ101" s="53"/>
      <c r="FOK101" s="53"/>
      <c r="FOL101" s="53"/>
      <c r="FOM101" s="53"/>
      <c r="FON101" s="53"/>
      <c r="FOO101" s="53"/>
      <c r="FOP101" s="53"/>
      <c r="FOQ101" s="53"/>
      <c r="FOR101" s="53"/>
      <c r="FOS101" s="53"/>
      <c r="FOT101" s="53"/>
      <c r="FOU101" s="53"/>
      <c r="FOV101" s="53"/>
      <c r="FOW101" s="53"/>
      <c r="FOX101" s="53"/>
      <c r="FOY101" s="53"/>
      <c r="FOZ101" s="53"/>
      <c r="FPA101" s="53"/>
      <c r="FPB101" s="53"/>
      <c r="FPC101" s="53"/>
      <c r="FPD101" s="53"/>
      <c r="FPE101" s="53"/>
      <c r="FPF101" s="53"/>
      <c r="FPG101" s="53"/>
      <c r="FPH101" s="53"/>
      <c r="FPI101" s="53"/>
      <c r="FPJ101" s="53"/>
      <c r="FPK101" s="53"/>
      <c r="FPL101" s="53"/>
      <c r="FPM101" s="53"/>
      <c r="FPN101" s="53"/>
      <c r="FPO101" s="53"/>
      <c r="FPP101" s="53"/>
      <c r="FPQ101" s="53"/>
      <c r="FPR101" s="53"/>
      <c r="FPS101" s="53"/>
      <c r="FPT101" s="53"/>
      <c r="FPU101" s="53"/>
      <c r="FPV101" s="53"/>
      <c r="FPW101" s="53"/>
      <c r="FPX101" s="53"/>
      <c r="FPY101" s="53"/>
      <c r="FPZ101" s="53"/>
      <c r="FQA101" s="53"/>
      <c r="FQB101" s="53"/>
      <c r="FQC101" s="53"/>
      <c r="FQD101" s="53"/>
      <c r="FQE101" s="53"/>
      <c r="FQF101" s="53"/>
      <c r="FQG101" s="53"/>
      <c r="FQH101" s="53"/>
      <c r="FQI101" s="53"/>
      <c r="FQJ101" s="53"/>
      <c r="FQK101" s="53"/>
      <c r="FQL101" s="53"/>
      <c r="FQM101" s="53"/>
      <c r="FQN101" s="53"/>
      <c r="FQO101" s="53"/>
      <c r="FQP101" s="53"/>
      <c r="FQQ101" s="53"/>
      <c r="FQR101" s="53"/>
      <c r="FQS101" s="53"/>
      <c r="FQT101" s="53"/>
      <c r="FQU101" s="53"/>
      <c r="FQV101" s="53"/>
      <c r="FQW101" s="53"/>
      <c r="FQX101" s="53"/>
      <c r="FQY101" s="53"/>
      <c r="FQZ101" s="53"/>
      <c r="FRA101" s="53"/>
      <c r="FRB101" s="53"/>
      <c r="FRC101" s="53"/>
      <c r="FRD101" s="53"/>
      <c r="FRE101" s="53"/>
      <c r="FRF101" s="53"/>
      <c r="FRG101" s="53"/>
      <c r="FRH101" s="53"/>
      <c r="FRI101" s="53"/>
      <c r="FRJ101" s="53"/>
      <c r="FRK101" s="53"/>
      <c r="FRL101" s="53"/>
      <c r="FRM101" s="53"/>
      <c r="FRN101" s="53"/>
      <c r="FRO101" s="53"/>
      <c r="FRP101" s="53"/>
      <c r="FRQ101" s="53"/>
      <c r="FRR101" s="53"/>
      <c r="FRS101" s="53"/>
      <c r="FRT101" s="53"/>
      <c r="FRU101" s="53"/>
      <c r="FRV101" s="53"/>
      <c r="FRW101" s="53"/>
      <c r="FRX101" s="53"/>
      <c r="FRY101" s="53"/>
      <c r="FRZ101" s="53"/>
      <c r="FSA101" s="53"/>
      <c r="FSB101" s="53"/>
      <c r="FSC101" s="53"/>
      <c r="FSD101" s="53"/>
      <c r="FSE101" s="53"/>
      <c r="FSF101" s="53"/>
      <c r="FSG101" s="53"/>
      <c r="FSH101" s="53"/>
      <c r="FSI101" s="53"/>
      <c r="FSJ101" s="53"/>
      <c r="FSK101" s="53"/>
      <c r="FSL101" s="53"/>
      <c r="FSM101" s="53"/>
      <c r="FSN101" s="53"/>
      <c r="FSO101" s="53"/>
      <c r="FSP101" s="53"/>
      <c r="FSQ101" s="53"/>
      <c r="FSR101" s="53"/>
      <c r="FSS101" s="53"/>
      <c r="FST101" s="53"/>
      <c r="FSU101" s="53"/>
      <c r="FSV101" s="53"/>
      <c r="FSW101" s="53"/>
      <c r="FSX101" s="53"/>
      <c r="FSY101" s="53"/>
      <c r="FSZ101" s="53"/>
      <c r="FTA101" s="53"/>
      <c r="FTB101" s="53"/>
      <c r="FTC101" s="53"/>
      <c r="FTD101" s="53"/>
      <c r="FTE101" s="53"/>
      <c r="FTF101" s="53"/>
      <c r="FTG101" s="53"/>
      <c r="FTH101" s="53"/>
      <c r="FTI101" s="53"/>
      <c r="FTJ101" s="53"/>
      <c r="FTK101" s="53"/>
      <c r="FTL101" s="53"/>
      <c r="FTM101" s="53"/>
      <c r="FTN101" s="53"/>
      <c r="FTO101" s="53"/>
      <c r="FTP101" s="53"/>
      <c r="FTQ101" s="53"/>
      <c r="FTR101" s="53"/>
      <c r="FTS101" s="53"/>
      <c r="FTT101" s="53"/>
      <c r="FTU101" s="53"/>
      <c r="FTV101" s="53"/>
      <c r="FTW101" s="53"/>
      <c r="FTX101" s="53"/>
      <c r="FTY101" s="53"/>
      <c r="FTZ101" s="53"/>
      <c r="FUA101" s="53"/>
      <c r="FUB101" s="53"/>
      <c r="FUC101" s="53"/>
      <c r="FUD101" s="53"/>
      <c r="FUE101" s="53"/>
      <c r="FUF101" s="53"/>
      <c r="FUG101" s="53"/>
      <c r="FUH101" s="53"/>
      <c r="FUI101" s="53"/>
      <c r="FUJ101" s="53"/>
      <c r="FUK101" s="53"/>
      <c r="FUL101" s="53"/>
      <c r="FUM101" s="53"/>
      <c r="FUN101" s="53"/>
      <c r="FUO101" s="53"/>
      <c r="FUP101" s="53"/>
      <c r="FUQ101" s="53"/>
      <c r="FUR101" s="53"/>
      <c r="FUS101" s="53"/>
      <c r="FUT101" s="53"/>
      <c r="FUU101" s="53"/>
      <c r="FUV101" s="53"/>
      <c r="FUW101" s="53"/>
      <c r="FUX101" s="53"/>
      <c r="FUY101" s="53"/>
      <c r="FUZ101" s="53"/>
      <c r="FVA101" s="53"/>
      <c r="FVB101" s="53"/>
      <c r="FVC101" s="53"/>
      <c r="FVD101" s="53"/>
      <c r="FVE101" s="53"/>
      <c r="FVF101" s="53"/>
      <c r="FVG101" s="53"/>
      <c r="FVH101" s="53"/>
      <c r="FVI101" s="53"/>
      <c r="FVJ101" s="53"/>
      <c r="FVK101" s="53"/>
      <c r="FVL101" s="53"/>
      <c r="FVM101" s="53"/>
      <c r="FVN101" s="53"/>
      <c r="FVO101" s="53"/>
      <c r="FVP101" s="53"/>
      <c r="FVQ101" s="53"/>
      <c r="FVR101" s="53"/>
      <c r="FVS101" s="53"/>
      <c r="FVT101" s="53"/>
      <c r="FVU101" s="53"/>
      <c r="FVV101" s="53"/>
      <c r="FVW101" s="53"/>
      <c r="FVX101" s="53"/>
      <c r="FVY101" s="53"/>
      <c r="FVZ101" s="53"/>
      <c r="FWA101" s="53"/>
      <c r="FWB101" s="53"/>
      <c r="FWC101" s="53"/>
      <c r="FWD101" s="53"/>
      <c r="FWE101" s="53"/>
      <c r="FWF101" s="53"/>
      <c r="FWG101" s="53"/>
      <c r="FWH101" s="53"/>
      <c r="FWI101" s="53"/>
      <c r="FWJ101" s="53"/>
      <c r="FWK101" s="53"/>
      <c r="FWL101" s="53"/>
      <c r="FWM101" s="53"/>
      <c r="FWN101" s="53"/>
      <c r="FWO101" s="53"/>
      <c r="FWP101" s="53"/>
      <c r="FWQ101" s="53"/>
      <c r="FWR101" s="53"/>
      <c r="FWS101" s="53"/>
      <c r="FWT101" s="53"/>
      <c r="FWU101" s="53"/>
      <c r="FWV101" s="53"/>
      <c r="FWW101" s="53"/>
      <c r="FWX101" s="53"/>
      <c r="FWY101" s="53"/>
      <c r="FWZ101" s="53"/>
      <c r="FXA101" s="53"/>
      <c r="FXB101" s="53"/>
      <c r="FXC101" s="53"/>
      <c r="FXD101" s="53"/>
      <c r="FXE101" s="53"/>
      <c r="FXF101" s="53"/>
      <c r="FXG101" s="53"/>
      <c r="FXH101" s="53"/>
      <c r="FXI101" s="53"/>
      <c r="FXJ101" s="53"/>
      <c r="FXK101" s="53"/>
      <c r="FXL101" s="53"/>
      <c r="FXM101" s="53"/>
      <c r="FXN101" s="53"/>
      <c r="FXO101" s="53"/>
      <c r="FXP101" s="53"/>
      <c r="FXQ101" s="53"/>
      <c r="FXR101" s="53"/>
      <c r="FXS101" s="53"/>
      <c r="FXT101" s="53"/>
      <c r="FXU101" s="53"/>
      <c r="FXV101" s="53"/>
      <c r="FXW101" s="53"/>
      <c r="FXX101" s="53"/>
      <c r="FXY101" s="53"/>
      <c r="FXZ101" s="53"/>
      <c r="FYA101" s="53"/>
      <c r="FYB101" s="53"/>
      <c r="FYC101" s="53"/>
      <c r="FYD101" s="53"/>
      <c r="FYE101" s="53"/>
      <c r="FYF101" s="53"/>
      <c r="FYG101" s="53"/>
      <c r="FYH101" s="53"/>
      <c r="FYI101" s="53"/>
      <c r="FYJ101" s="53"/>
      <c r="FYK101" s="53"/>
      <c r="FYL101" s="53"/>
      <c r="FYM101" s="53"/>
      <c r="FYN101" s="53"/>
      <c r="FYO101" s="53"/>
      <c r="FYP101" s="53"/>
      <c r="FYQ101" s="53"/>
      <c r="FYR101" s="53"/>
      <c r="FYS101" s="53"/>
      <c r="FYT101" s="53"/>
      <c r="FYU101" s="53"/>
      <c r="FYV101" s="53"/>
      <c r="FYW101" s="53"/>
      <c r="FYX101" s="53"/>
      <c r="FYY101" s="53"/>
      <c r="FYZ101" s="53"/>
      <c r="FZA101" s="53"/>
      <c r="FZB101" s="53"/>
      <c r="FZC101" s="53"/>
      <c r="FZD101" s="53"/>
      <c r="FZE101" s="53"/>
      <c r="FZF101" s="53"/>
      <c r="FZG101" s="53"/>
      <c r="FZH101" s="53"/>
      <c r="FZI101" s="53"/>
      <c r="FZJ101" s="53"/>
      <c r="FZK101" s="53"/>
      <c r="FZL101" s="53"/>
      <c r="FZM101" s="53"/>
      <c r="FZN101" s="53"/>
      <c r="FZO101" s="53"/>
      <c r="FZP101" s="53"/>
      <c r="FZQ101" s="53"/>
      <c r="FZR101" s="53"/>
      <c r="FZS101" s="53"/>
      <c r="FZT101" s="53"/>
      <c r="FZU101" s="53"/>
      <c r="FZV101" s="53"/>
      <c r="FZW101" s="53"/>
      <c r="FZX101" s="53"/>
      <c r="FZY101" s="53"/>
      <c r="FZZ101" s="53"/>
      <c r="GAA101" s="53"/>
      <c r="GAB101" s="53"/>
      <c r="GAC101" s="53"/>
      <c r="GAD101" s="53"/>
      <c r="GAE101" s="53"/>
      <c r="GAF101" s="53"/>
      <c r="GAG101" s="53"/>
      <c r="GAH101" s="53"/>
      <c r="GAI101" s="53"/>
      <c r="GAJ101" s="53"/>
      <c r="GAK101" s="53"/>
      <c r="GAL101" s="53"/>
      <c r="GAM101" s="53"/>
      <c r="GAN101" s="53"/>
      <c r="GAO101" s="53"/>
      <c r="GAP101" s="53"/>
      <c r="GAQ101" s="53"/>
      <c r="GAR101" s="53"/>
      <c r="GAS101" s="53"/>
      <c r="GAT101" s="53"/>
      <c r="GAU101" s="53"/>
      <c r="GAV101" s="53"/>
      <c r="GAW101" s="53"/>
      <c r="GAX101" s="53"/>
      <c r="GAY101" s="53"/>
      <c r="GAZ101" s="53"/>
      <c r="GBA101" s="53"/>
      <c r="GBB101" s="53"/>
      <c r="GBC101" s="53"/>
      <c r="GBD101" s="53"/>
      <c r="GBE101" s="53"/>
      <c r="GBF101" s="53"/>
      <c r="GBG101" s="53"/>
      <c r="GBH101" s="53"/>
      <c r="GBI101" s="53"/>
      <c r="GBJ101" s="53"/>
      <c r="GBK101" s="53"/>
      <c r="GBL101" s="53"/>
      <c r="GBM101" s="53"/>
      <c r="GBN101" s="53"/>
      <c r="GBO101" s="53"/>
      <c r="GBP101" s="53"/>
      <c r="GBQ101" s="53"/>
      <c r="GBR101" s="53"/>
      <c r="GBS101" s="53"/>
      <c r="GBT101" s="53"/>
      <c r="GBU101" s="53"/>
      <c r="GBV101" s="53"/>
      <c r="GBW101" s="53"/>
      <c r="GBX101" s="53"/>
      <c r="GBY101" s="53"/>
      <c r="GBZ101" s="53"/>
      <c r="GCA101" s="53"/>
      <c r="GCB101" s="53"/>
      <c r="GCC101" s="53"/>
      <c r="GCD101" s="53"/>
      <c r="GCE101" s="53"/>
      <c r="GCF101" s="53"/>
      <c r="GCG101" s="53"/>
      <c r="GCH101" s="53"/>
      <c r="GCI101" s="53"/>
      <c r="GCJ101" s="53"/>
      <c r="GCK101" s="53"/>
      <c r="GCL101" s="53"/>
      <c r="GCM101" s="53"/>
      <c r="GCN101" s="53"/>
      <c r="GCO101" s="53"/>
      <c r="GCP101" s="53"/>
      <c r="GCQ101" s="53"/>
      <c r="GCR101" s="53"/>
      <c r="GCS101" s="53"/>
      <c r="GCT101" s="53"/>
      <c r="GCU101" s="53"/>
      <c r="GCV101" s="53"/>
      <c r="GCW101" s="53"/>
      <c r="GCX101" s="53"/>
      <c r="GCY101" s="53"/>
      <c r="GCZ101" s="53"/>
      <c r="GDA101" s="53"/>
      <c r="GDB101" s="53"/>
      <c r="GDC101" s="53"/>
      <c r="GDD101" s="53"/>
      <c r="GDE101" s="53"/>
      <c r="GDF101" s="53"/>
      <c r="GDG101" s="53"/>
      <c r="GDH101" s="53"/>
      <c r="GDI101" s="53"/>
      <c r="GDJ101" s="53"/>
      <c r="GDK101" s="53"/>
      <c r="GDL101" s="53"/>
      <c r="GDM101" s="53"/>
      <c r="GDN101" s="53"/>
      <c r="GDO101" s="53"/>
      <c r="GDP101" s="53"/>
      <c r="GDQ101" s="53"/>
      <c r="GDR101" s="53"/>
      <c r="GDS101" s="53"/>
      <c r="GDT101" s="53"/>
      <c r="GDU101" s="53"/>
      <c r="GDV101" s="53"/>
      <c r="GDW101" s="53"/>
      <c r="GDX101" s="53"/>
      <c r="GDY101" s="53"/>
      <c r="GDZ101" s="53"/>
      <c r="GEA101" s="53"/>
      <c r="GEB101" s="53"/>
      <c r="GEC101" s="53"/>
      <c r="GED101" s="53"/>
      <c r="GEE101" s="53"/>
      <c r="GEF101" s="53"/>
      <c r="GEG101" s="53"/>
      <c r="GEH101" s="53"/>
      <c r="GEI101" s="53"/>
      <c r="GEJ101" s="53"/>
      <c r="GEK101" s="53"/>
      <c r="GEL101" s="53"/>
      <c r="GEM101" s="53"/>
      <c r="GEN101" s="53"/>
      <c r="GEO101" s="53"/>
      <c r="GEP101" s="53"/>
      <c r="GEQ101" s="53"/>
      <c r="GER101" s="53"/>
      <c r="GES101" s="53"/>
      <c r="GET101" s="53"/>
      <c r="GEU101" s="53"/>
      <c r="GEV101" s="53"/>
      <c r="GEW101" s="53"/>
      <c r="GEX101" s="53"/>
      <c r="GEY101" s="53"/>
      <c r="GEZ101" s="53"/>
      <c r="GFA101" s="53"/>
      <c r="GFB101" s="53"/>
      <c r="GFC101" s="53"/>
      <c r="GFD101" s="53"/>
      <c r="GFE101" s="53"/>
      <c r="GFF101" s="53"/>
      <c r="GFG101" s="53"/>
      <c r="GFH101" s="53"/>
      <c r="GFI101" s="53"/>
      <c r="GFJ101" s="53"/>
      <c r="GFK101" s="53"/>
      <c r="GFL101" s="53"/>
      <c r="GFM101" s="53"/>
      <c r="GFN101" s="53"/>
      <c r="GFO101" s="53"/>
      <c r="GFP101" s="53"/>
      <c r="GFQ101" s="53"/>
      <c r="GFR101" s="53"/>
      <c r="GFS101" s="53"/>
      <c r="GFT101" s="53"/>
      <c r="GFU101" s="53"/>
      <c r="GFV101" s="53"/>
      <c r="GFW101" s="53"/>
      <c r="GFX101" s="53"/>
      <c r="GFY101" s="53"/>
      <c r="GFZ101" s="53"/>
      <c r="GGA101" s="53"/>
      <c r="GGB101" s="53"/>
      <c r="GGC101" s="53"/>
      <c r="GGD101" s="53"/>
      <c r="GGE101" s="53"/>
      <c r="GGF101" s="53"/>
      <c r="GGG101" s="53"/>
      <c r="GGH101" s="53"/>
      <c r="GGI101" s="53"/>
      <c r="GGJ101" s="53"/>
      <c r="GGK101" s="53"/>
      <c r="GGL101" s="53"/>
      <c r="GGM101" s="53"/>
      <c r="GGN101" s="53"/>
      <c r="GGO101" s="53"/>
      <c r="GGP101" s="53"/>
      <c r="GGQ101" s="53"/>
      <c r="GGR101" s="53"/>
      <c r="GGS101" s="53"/>
      <c r="GGT101" s="53"/>
      <c r="GGU101" s="53"/>
      <c r="GGV101" s="53"/>
      <c r="GGW101" s="53"/>
      <c r="GGX101" s="53"/>
      <c r="GGY101" s="53"/>
      <c r="GGZ101" s="53"/>
      <c r="GHA101" s="53"/>
      <c r="GHB101" s="53"/>
      <c r="GHC101" s="53"/>
      <c r="GHD101" s="53"/>
      <c r="GHE101" s="53"/>
      <c r="GHF101" s="53"/>
      <c r="GHG101" s="53"/>
      <c r="GHH101" s="53"/>
      <c r="GHI101" s="53"/>
      <c r="GHJ101" s="53"/>
      <c r="GHK101" s="53"/>
      <c r="GHL101" s="53"/>
      <c r="GHM101" s="53"/>
      <c r="GHN101" s="53"/>
      <c r="GHO101" s="53"/>
      <c r="GHP101" s="53"/>
      <c r="GHQ101" s="53"/>
      <c r="GHR101" s="53"/>
      <c r="GHS101" s="53"/>
      <c r="GHT101" s="53"/>
      <c r="GHU101" s="53"/>
      <c r="GHV101" s="53"/>
      <c r="GHW101" s="53"/>
      <c r="GHX101" s="53"/>
      <c r="GHY101" s="53"/>
      <c r="GHZ101" s="53"/>
      <c r="GIA101" s="53"/>
      <c r="GIB101" s="53"/>
      <c r="GIC101" s="53"/>
      <c r="GID101" s="53"/>
      <c r="GIE101" s="53"/>
      <c r="GIF101" s="53"/>
      <c r="GIG101" s="53"/>
      <c r="GIH101" s="53"/>
      <c r="GII101" s="53"/>
      <c r="GIJ101" s="53"/>
      <c r="GIK101" s="53"/>
      <c r="GIL101" s="53"/>
      <c r="GIM101" s="53"/>
      <c r="GIN101" s="53"/>
      <c r="GIO101" s="53"/>
      <c r="GIP101" s="53"/>
      <c r="GIQ101" s="53"/>
      <c r="GIR101" s="53"/>
      <c r="GIS101" s="53"/>
      <c r="GIT101" s="53"/>
      <c r="GIU101" s="53"/>
      <c r="GIV101" s="53"/>
      <c r="GIW101" s="53"/>
      <c r="GIX101" s="53"/>
      <c r="GIY101" s="53"/>
      <c r="GIZ101" s="53"/>
      <c r="GJA101" s="53"/>
      <c r="GJB101" s="53"/>
      <c r="GJC101" s="53"/>
      <c r="GJD101" s="53"/>
      <c r="GJE101" s="53"/>
      <c r="GJF101" s="53"/>
      <c r="GJG101" s="53"/>
      <c r="GJH101" s="53"/>
      <c r="GJI101" s="53"/>
      <c r="GJJ101" s="53"/>
      <c r="GJK101" s="53"/>
      <c r="GJL101" s="53"/>
      <c r="GJM101" s="53"/>
      <c r="GJN101" s="53"/>
      <c r="GJO101" s="53"/>
      <c r="GJP101" s="53"/>
      <c r="GJQ101" s="53"/>
      <c r="GJR101" s="53"/>
      <c r="GJS101" s="53"/>
      <c r="GJT101" s="53"/>
      <c r="GJU101" s="53"/>
      <c r="GJV101" s="53"/>
      <c r="GJW101" s="53"/>
      <c r="GJX101" s="53"/>
      <c r="GJY101" s="53"/>
      <c r="GJZ101" s="53"/>
      <c r="GKA101" s="53"/>
      <c r="GKB101" s="53"/>
      <c r="GKC101" s="53"/>
      <c r="GKD101" s="53"/>
      <c r="GKE101" s="53"/>
      <c r="GKF101" s="53"/>
      <c r="GKG101" s="53"/>
      <c r="GKH101" s="53"/>
      <c r="GKI101" s="53"/>
      <c r="GKJ101" s="53"/>
      <c r="GKK101" s="53"/>
      <c r="GKL101" s="53"/>
      <c r="GKM101" s="53"/>
      <c r="GKN101" s="53"/>
      <c r="GKO101" s="53"/>
      <c r="GKP101" s="53"/>
      <c r="GKQ101" s="53"/>
      <c r="GKR101" s="53"/>
      <c r="GKS101" s="53"/>
      <c r="GKT101" s="53"/>
      <c r="GKU101" s="53"/>
      <c r="GKV101" s="53"/>
      <c r="GKW101" s="53"/>
      <c r="GKX101" s="53"/>
      <c r="GKY101" s="53"/>
      <c r="GKZ101" s="53"/>
      <c r="GLA101" s="53"/>
      <c r="GLB101" s="53"/>
      <c r="GLC101" s="53"/>
      <c r="GLD101" s="53"/>
      <c r="GLE101" s="53"/>
      <c r="GLF101" s="53"/>
      <c r="GLG101" s="53"/>
      <c r="GLH101" s="53"/>
      <c r="GLI101" s="53"/>
      <c r="GLJ101" s="53"/>
      <c r="GLK101" s="53"/>
      <c r="GLL101" s="53"/>
      <c r="GLM101" s="53"/>
      <c r="GLN101" s="53"/>
      <c r="GLO101" s="53"/>
      <c r="GLP101" s="53"/>
      <c r="GLQ101" s="53"/>
      <c r="GLR101" s="53"/>
      <c r="GLS101" s="53"/>
      <c r="GLT101" s="53"/>
      <c r="GLU101" s="53"/>
      <c r="GLV101" s="53"/>
      <c r="GLW101" s="53"/>
      <c r="GLX101" s="53"/>
      <c r="GLY101" s="53"/>
      <c r="GLZ101" s="53"/>
      <c r="GMA101" s="53"/>
      <c r="GMB101" s="53"/>
      <c r="GMC101" s="53"/>
      <c r="GMD101" s="53"/>
      <c r="GME101" s="53"/>
      <c r="GMF101" s="53"/>
      <c r="GMG101" s="53"/>
      <c r="GMH101" s="53"/>
      <c r="GMI101" s="53"/>
      <c r="GMJ101" s="53"/>
      <c r="GMK101" s="53"/>
      <c r="GML101" s="53"/>
      <c r="GMM101" s="53"/>
      <c r="GMN101" s="53"/>
      <c r="GMO101" s="53"/>
      <c r="GMP101" s="53"/>
      <c r="GMQ101" s="53"/>
      <c r="GMR101" s="53"/>
      <c r="GMS101" s="53"/>
      <c r="GMT101" s="53"/>
      <c r="GMU101" s="53"/>
      <c r="GMV101" s="53"/>
      <c r="GMW101" s="53"/>
      <c r="GMX101" s="53"/>
      <c r="GMY101" s="53"/>
      <c r="GMZ101" s="53"/>
      <c r="GNA101" s="53"/>
      <c r="GNB101" s="53"/>
      <c r="GNC101" s="53"/>
      <c r="GND101" s="53"/>
      <c r="GNE101" s="53"/>
      <c r="GNF101" s="53"/>
      <c r="GNG101" s="53"/>
      <c r="GNH101" s="53"/>
      <c r="GNI101" s="53"/>
      <c r="GNJ101" s="53"/>
      <c r="GNK101" s="53"/>
      <c r="GNL101" s="53"/>
      <c r="GNM101" s="53"/>
      <c r="GNN101" s="53"/>
      <c r="GNO101" s="53"/>
      <c r="GNP101" s="53"/>
      <c r="GNQ101" s="53"/>
      <c r="GNR101" s="53"/>
      <c r="GNS101" s="53"/>
      <c r="GNT101" s="53"/>
      <c r="GNU101" s="53"/>
      <c r="GNV101" s="53"/>
      <c r="GNW101" s="53"/>
      <c r="GNX101" s="53"/>
      <c r="GNY101" s="53"/>
      <c r="GNZ101" s="53"/>
      <c r="GOA101" s="53"/>
      <c r="GOB101" s="53"/>
      <c r="GOC101" s="53"/>
      <c r="GOD101" s="53"/>
      <c r="GOE101" s="53"/>
      <c r="GOF101" s="53"/>
      <c r="GOG101" s="53"/>
      <c r="GOH101" s="53"/>
      <c r="GOI101" s="53"/>
      <c r="GOJ101" s="53"/>
      <c r="GOK101" s="53"/>
      <c r="GOL101" s="53"/>
      <c r="GOM101" s="53"/>
      <c r="GON101" s="53"/>
      <c r="GOO101" s="53"/>
      <c r="GOP101" s="53"/>
      <c r="GOQ101" s="53"/>
      <c r="GOR101" s="53"/>
      <c r="GOS101" s="53"/>
      <c r="GOT101" s="53"/>
      <c r="GOU101" s="53"/>
      <c r="GOV101" s="53"/>
      <c r="GOW101" s="53"/>
      <c r="GOX101" s="53"/>
      <c r="GOY101" s="53"/>
      <c r="GOZ101" s="53"/>
      <c r="GPA101" s="53"/>
      <c r="GPB101" s="53"/>
      <c r="GPC101" s="53"/>
      <c r="GPD101" s="53"/>
      <c r="GPE101" s="53"/>
      <c r="GPF101" s="53"/>
      <c r="GPG101" s="53"/>
      <c r="GPH101" s="53"/>
      <c r="GPI101" s="53"/>
      <c r="GPJ101" s="53"/>
      <c r="GPK101" s="53"/>
      <c r="GPL101" s="53"/>
      <c r="GPM101" s="53"/>
      <c r="GPN101" s="53"/>
      <c r="GPO101" s="53"/>
      <c r="GPP101" s="53"/>
      <c r="GPQ101" s="53"/>
      <c r="GPR101" s="53"/>
      <c r="GPS101" s="53"/>
      <c r="GPT101" s="53"/>
      <c r="GPU101" s="53"/>
      <c r="GPV101" s="53"/>
      <c r="GPW101" s="53"/>
      <c r="GPX101" s="53"/>
      <c r="GPY101" s="53"/>
      <c r="GPZ101" s="53"/>
      <c r="GQA101" s="53"/>
      <c r="GQB101" s="53"/>
      <c r="GQC101" s="53"/>
      <c r="GQD101" s="53"/>
      <c r="GQE101" s="53"/>
      <c r="GQF101" s="53"/>
      <c r="GQG101" s="53"/>
      <c r="GQH101" s="53"/>
      <c r="GQI101" s="53"/>
      <c r="GQJ101" s="53"/>
      <c r="GQK101" s="53"/>
      <c r="GQL101" s="53"/>
      <c r="GQM101" s="53"/>
      <c r="GQN101" s="53"/>
      <c r="GQO101" s="53"/>
      <c r="GQP101" s="53"/>
      <c r="GQQ101" s="53"/>
      <c r="GQR101" s="53"/>
      <c r="GQS101" s="53"/>
      <c r="GQT101" s="53"/>
      <c r="GQU101" s="53"/>
      <c r="GQV101" s="53"/>
      <c r="GQW101" s="53"/>
      <c r="GQX101" s="53"/>
      <c r="GQY101" s="53"/>
      <c r="GQZ101" s="53"/>
      <c r="GRA101" s="53"/>
      <c r="GRB101" s="53"/>
      <c r="GRC101" s="53"/>
      <c r="GRD101" s="53"/>
      <c r="GRE101" s="53"/>
      <c r="GRF101" s="53"/>
      <c r="GRG101" s="53"/>
      <c r="GRH101" s="53"/>
      <c r="GRI101" s="53"/>
      <c r="GRJ101" s="53"/>
      <c r="GRK101" s="53"/>
      <c r="GRL101" s="53"/>
      <c r="GRM101" s="53"/>
      <c r="GRN101" s="53"/>
      <c r="GRO101" s="53"/>
      <c r="GRP101" s="53"/>
      <c r="GRQ101" s="53"/>
      <c r="GRR101" s="53"/>
      <c r="GRS101" s="53"/>
      <c r="GRT101" s="53"/>
      <c r="GRU101" s="53"/>
      <c r="GRV101" s="53"/>
      <c r="GRW101" s="53"/>
      <c r="GRX101" s="53"/>
      <c r="GRY101" s="53"/>
      <c r="GRZ101" s="53"/>
      <c r="GSA101" s="53"/>
      <c r="GSB101" s="53"/>
      <c r="GSC101" s="53"/>
      <c r="GSD101" s="53"/>
      <c r="GSE101" s="53"/>
      <c r="GSF101" s="53"/>
      <c r="GSG101" s="53"/>
      <c r="GSH101" s="53"/>
      <c r="GSI101" s="53"/>
      <c r="GSJ101" s="53"/>
      <c r="GSK101" s="53"/>
      <c r="GSL101" s="53"/>
      <c r="GSM101" s="53"/>
      <c r="GSN101" s="53"/>
      <c r="GSO101" s="53"/>
      <c r="GSP101" s="53"/>
      <c r="GSQ101" s="53"/>
      <c r="GSR101" s="53"/>
      <c r="GSS101" s="53"/>
      <c r="GST101" s="53"/>
      <c r="GSU101" s="53"/>
      <c r="GSV101" s="53"/>
      <c r="GSW101" s="53"/>
      <c r="GSX101" s="53"/>
      <c r="GSY101" s="53"/>
      <c r="GSZ101" s="53"/>
      <c r="GTA101" s="53"/>
      <c r="GTB101" s="53"/>
      <c r="GTC101" s="53"/>
      <c r="GTD101" s="53"/>
      <c r="GTE101" s="53"/>
      <c r="GTF101" s="53"/>
      <c r="GTG101" s="53"/>
      <c r="GTH101" s="53"/>
      <c r="GTI101" s="53"/>
      <c r="GTJ101" s="53"/>
      <c r="GTK101" s="53"/>
      <c r="GTL101" s="53"/>
      <c r="GTM101" s="53"/>
      <c r="GTN101" s="53"/>
      <c r="GTO101" s="53"/>
      <c r="GTP101" s="53"/>
      <c r="GTQ101" s="53"/>
      <c r="GTR101" s="53"/>
      <c r="GTS101" s="53"/>
      <c r="GTT101" s="53"/>
      <c r="GTU101" s="53"/>
      <c r="GTV101" s="53"/>
      <c r="GTW101" s="53"/>
      <c r="GTX101" s="53"/>
      <c r="GTY101" s="53"/>
      <c r="GTZ101" s="53"/>
      <c r="GUA101" s="53"/>
      <c r="GUB101" s="53"/>
      <c r="GUC101" s="53"/>
      <c r="GUD101" s="53"/>
      <c r="GUE101" s="53"/>
      <c r="GUF101" s="53"/>
      <c r="GUG101" s="53"/>
      <c r="GUH101" s="53"/>
      <c r="GUI101" s="53"/>
      <c r="GUJ101" s="53"/>
      <c r="GUK101" s="53"/>
      <c r="GUL101" s="53"/>
      <c r="GUM101" s="53"/>
      <c r="GUN101" s="53"/>
      <c r="GUO101" s="53"/>
      <c r="GUP101" s="53"/>
      <c r="GUQ101" s="53"/>
      <c r="GUR101" s="53"/>
      <c r="GUS101" s="53"/>
      <c r="GUT101" s="53"/>
      <c r="GUU101" s="53"/>
      <c r="GUV101" s="53"/>
      <c r="GUW101" s="53"/>
      <c r="GUX101" s="53"/>
      <c r="GUY101" s="53"/>
      <c r="GUZ101" s="53"/>
      <c r="GVA101" s="53"/>
      <c r="GVB101" s="53"/>
      <c r="GVC101" s="53"/>
      <c r="GVD101" s="53"/>
      <c r="GVE101" s="53"/>
      <c r="GVF101" s="53"/>
      <c r="GVG101" s="53"/>
      <c r="GVH101" s="53"/>
      <c r="GVI101" s="53"/>
      <c r="GVJ101" s="53"/>
      <c r="GVK101" s="53"/>
      <c r="GVL101" s="53"/>
      <c r="GVM101" s="53"/>
      <c r="GVN101" s="53"/>
      <c r="GVO101" s="53"/>
      <c r="GVP101" s="53"/>
      <c r="GVQ101" s="53"/>
      <c r="GVR101" s="53"/>
      <c r="GVS101" s="53"/>
      <c r="GVT101" s="53"/>
      <c r="GVU101" s="53"/>
      <c r="GVV101" s="53"/>
      <c r="GVW101" s="53"/>
      <c r="GVX101" s="53"/>
      <c r="GVY101" s="53"/>
      <c r="GVZ101" s="53"/>
      <c r="GWA101" s="53"/>
      <c r="GWB101" s="53"/>
      <c r="GWC101" s="53"/>
      <c r="GWD101" s="53"/>
      <c r="GWE101" s="53"/>
      <c r="GWF101" s="53"/>
      <c r="GWG101" s="53"/>
      <c r="GWH101" s="53"/>
      <c r="GWI101" s="53"/>
      <c r="GWJ101" s="53"/>
      <c r="GWK101" s="53"/>
      <c r="GWL101" s="53"/>
      <c r="GWM101" s="53"/>
      <c r="GWN101" s="53"/>
      <c r="GWO101" s="53"/>
      <c r="GWP101" s="53"/>
      <c r="GWQ101" s="53"/>
      <c r="GWR101" s="53"/>
      <c r="GWS101" s="53"/>
      <c r="GWT101" s="53"/>
      <c r="GWU101" s="53"/>
      <c r="GWV101" s="53"/>
      <c r="GWW101" s="53"/>
      <c r="GWX101" s="53"/>
      <c r="GWY101" s="53"/>
      <c r="GWZ101" s="53"/>
      <c r="GXA101" s="53"/>
      <c r="GXB101" s="53"/>
      <c r="GXC101" s="53"/>
      <c r="GXD101" s="53"/>
      <c r="GXE101" s="53"/>
      <c r="GXF101" s="53"/>
      <c r="GXG101" s="53"/>
      <c r="GXH101" s="53"/>
      <c r="GXI101" s="53"/>
      <c r="GXJ101" s="53"/>
      <c r="GXK101" s="53"/>
      <c r="GXL101" s="53"/>
      <c r="GXM101" s="53"/>
      <c r="GXN101" s="53"/>
      <c r="GXO101" s="53"/>
      <c r="GXP101" s="53"/>
      <c r="GXQ101" s="53"/>
      <c r="GXR101" s="53"/>
      <c r="GXS101" s="53"/>
      <c r="GXT101" s="53"/>
      <c r="GXU101" s="53"/>
      <c r="GXV101" s="53"/>
      <c r="GXW101" s="53"/>
      <c r="GXX101" s="53"/>
      <c r="GXY101" s="53"/>
      <c r="GXZ101" s="53"/>
      <c r="GYA101" s="53"/>
      <c r="GYB101" s="53"/>
      <c r="GYC101" s="53"/>
      <c r="GYD101" s="53"/>
      <c r="GYE101" s="53"/>
      <c r="GYF101" s="53"/>
      <c r="GYG101" s="53"/>
      <c r="GYH101" s="53"/>
      <c r="GYI101" s="53"/>
      <c r="GYJ101" s="53"/>
      <c r="GYK101" s="53"/>
      <c r="GYL101" s="53"/>
      <c r="GYM101" s="53"/>
      <c r="GYN101" s="53"/>
      <c r="GYO101" s="53"/>
      <c r="GYP101" s="53"/>
      <c r="GYQ101" s="53"/>
      <c r="GYR101" s="53"/>
      <c r="GYS101" s="53"/>
      <c r="GYT101" s="53"/>
      <c r="GYU101" s="53"/>
      <c r="GYV101" s="53"/>
      <c r="GYW101" s="53"/>
      <c r="GYX101" s="53"/>
      <c r="GYY101" s="53"/>
      <c r="GYZ101" s="53"/>
      <c r="GZA101" s="53"/>
      <c r="GZB101" s="53"/>
      <c r="GZC101" s="53"/>
      <c r="GZD101" s="53"/>
      <c r="GZE101" s="53"/>
      <c r="GZF101" s="53"/>
      <c r="GZG101" s="53"/>
      <c r="GZH101" s="53"/>
      <c r="GZI101" s="53"/>
      <c r="GZJ101" s="53"/>
      <c r="GZK101" s="53"/>
      <c r="GZL101" s="53"/>
      <c r="GZM101" s="53"/>
      <c r="GZN101" s="53"/>
      <c r="GZO101" s="53"/>
      <c r="GZP101" s="53"/>
      <c r="GZQ101" s="53"/>
      <c r="GZR101" s="53"/>
      <c r="GZS101" s="53"/>
      <c r="GZT101" s="53"/>
      <c r="GZU101" s="53"/>
      <c r="GZV101" s="53"/>
      <c r="GZW101" s="53"/>
      <c r="GZX101" s="53"/>
      <c r="GZY101" s="53"/>
      <c r="GZZ101" s="53"/>
      <c r="HAA101" s="53"/>
      <c r="HAB101" s="53"/>
      <c r="HAC101" s="53"/>
      <c r="HAD101" s="53"/>
      <c r="HAE101" s="53"/>
      <c r="HAF101" s="53"/>
      <c r="HAG101" s="53"/>
      <c r="HAH101" s="53"/>
      <c r="HAI101" s="53"/>
      <c r="HAJ101" s="53"/>
      <c r="HAK101" s="53"/>
      <c r="HAL101" s="53"/>
      <c r="HAM101" s="53"/>
      <c r="HAN101" s="53"/>
      <c r="HAO101" s="53"/>
      <c r="HAP101" s="53"/>
      <c r="HAQ101" s="53"/>
      <c r="HAR101" s="53"/>
      <c r="HAS101" s="53"/>
      <c r="HAT101" s="53"/>
      <c r="HAU101" s="53"/>
      <c r="HAV101" s="53"/>
      <c r="HAW101" s="53"/>
      <c r="HAX101" s="53"/>
      <c r="HAY101" s="53"/>
      <c r="HAZ101" s="53"/>
      <c r="HBA101" s="53"/>
      <c r="HBB101" s="53"/>
      <c r="HBC101" s="53"/>
      <c r="HBD101" s="53"/>
      <c r="HBE101" s="53"/>
      <c r="HBF101" s="53"/>
      <c r="HBG101" s="53"/>
      <c r="HBH101" s="53"/>
      <c r="HBI101" s="53"/>
      <c r="HBJ101" s="53"/>
      <c r="HBK101" s="53"/>
      <c r="HBL101" s="53"/>
      <c r="HBM101" s="53"/>
      <c r="HBN101" s="53"/>
      <c r="HBO101" s="53"/>
      <c r="HBP101" s="53"/>
      <c r="HBQ101" s="53"/>
      <c r="HBR101" s="53"/>
      <c r="HBS101" s="53"/>
      <c r="HBT101" s="53"/>
      <c r="HBU101" s="53"/>
      <c r="HBV101" s="53"/>
      <c r="HBW101" s="53"/>
      <c r="HBX101" s="53"/>
      <c r="HBY101" s="53"/>
      <c r="HBZ101" s="53"/>
      <c r="HCA101" s="53"/>
      <c r="HCB101" s="53"/>
      <c r="HCC101" s="53"/>
      <c r="HCD101" s="53"/>
      <c r="HCE101" s="53"/>
      <c r="HCF101" s="53"/>
      <c r="HCG101" s="53"/>
      <c r="HCH101" s="53"/>
      <c r="HCI101" s="53"/>
      <c r="HCJ101" s="53"/>
      <c r="HCK101" s="53"/>
      <c r="HCL101" s="53"/>
      <c r="HCM101" s="53"/>
      <c r="HCN101" s="53"/>
      <c r="HCO101" s="53"/>
      <c r="HCP101" s="53"/>
      <c r="HCQ101" s="53"/>
      <c r="HCR101" s="53"/>
      <c r="HCS101" s="53"/>
      <c r="HCT101" s="53"/>
      <c r="HCU101" s="53"/>
      <c r="HCV101" s="53"/>
      <c r="HCW101" s="53"/>
      <c r="HCX101" s="53"/>
      <c r="HCY101" s="53"/>
      <c r="HCZ101" s="53"/>
      <c r="HDA101" s="53"/>
      <c r="HDB101" s="53"/>
      <c r="HDC101" s="53"/>
      <c r="HDD101" s="53"/>
      <c r="HDE101" s="53"/>
      <c r="HDF101" s="53"/>
      <c r="HDG101" s="53"/>
      <c r="HDH101" s="53"/>
      <c r="HDI101" s="53"/>
      <c r="HDJ101" s="53"/>
      <c r="HDK101" s="53"/>
      <c r="HDL101" s="53"/>
      <c r="HDM101" s="53"/>
      <c r="HDN101" s="53"/>
      <c r="HDO101" s="53"/>
      <c r="HDP101" s="53"/>
      <c r="HDQ101" s="53"/>
      <c r="HDR101" s="53"/>
      <c r="HDS101" s="53"/>
      <c r="HDT101" s="53"/>
      <c r="HDU101" s="53"/>
      <c r="HDV101" s="53"/>
      <c r="HDW101" s="53"/>
      <c r="HDX101" s="53"/>
      <c r="HDY101" s="53"/>
      <c r="HDZ101" s="53"/>
      <c r="HEA101" s="53"/>
      <c r="HEB101" s="53"/>
      <c r="HEC101" s="53"/>
      <c r="HED101" s="53"/>
      <c r="HEE101" s="53"/>
      <c r="HEF101" s="53"/>
      <c r="HEG101" s="53"/>
      <c r="HEH101" s="53"/>
      <c r="HEI101" s="53"/>
      <c r="HEJ101" s="53"/>
      <c r="HEK101" s="53"/>
      <c r="HEL101" s="53"/>
      <c r="HEM101" s="53"/>
      <c r="HEN101" s="53"/>
      <c r="HEO101" s="53"/>
      <c r="HEP101" s="53"/>
      <c r="HEQ101" s="53"/>
      <c r="HER101" s="53"/>
      <c r="HES101" s="53"/>
      <c r="HET101" s="53"/>
      <c r="HEU101" s="53"/>
      <c r="HEV101" s="53"/>
      <c r="HEW101" s="53"/>
      <c r="HEX101" s="53"/>
      <c r="HEY101" s="53"/>
      <c r="HEZ101" s="53"/>
      <c r="HFA101" s="53"/>
      <c r="HFB101" s="53"/>
      <c r="HFC101" s="53"/>
      <c r="HFD101" s="53"/>
      <c r="HFE101" s="53"/>
      <c r="HFF101" s="53"/>
      <c r="HFG101" s="53"/>
      <c r="HFH101" s="53"/>
      <c r="HFI101" s="53"/>
      <c r="HFJ101" s="53"/>
      <c r="HFK101" s="53"/>
      <c r="HFL101" s="53"/>
      <c r="HFM101" s="53"/>
      <c r="HFN101" s="53"/>
      <c r="HFO101" s="53"/>
      <c r="HFP101" s="53"/>
      <c r="HFQ101" s="53"/>
      <c r="HFR101" s="53"/>
      <c r="HFS101" s="53"/>
      <c r="HFT101" s="53"/>
      <c r="HFU101" s="53"/>
      <c r="HFV101" s="53"/>
      <c r="HFW101" s="53"/>
      <c r="HFX101" s="53"/>
      <c r="HFY101" s="53"/>
      <c r="HFZ101" s="53"/>
      <c r="HGA101" s="53"/>
      <c r="HGB101" s="53"/>
      <c r="HGC101" s="53"/>
      <c r="HGD101" s="53"/>
      <c r="HGE101" s="53"/>
      <c r="HGF101" s="53"/>
      <c r="HGG101" s="53"/>
      <c r="HGH101" s="53"/>
      <c r="HGI101" s="53"/>
      <c r="HGJ101" s="53"/>
      <c r="HGK101" s="53"/>
      <c r="HGL101" s="53"/>
      <c r="HGM101" s="53"/>
      <c r="HGN101" s="53"/>
      <c r="HGO101" s="53"/>
      <c r="HGP101" s="53"/>
      <c r="HGQ101" s="53"/>
      <c r="HGR101" s="53"/>
      <c r="HGS101" s="53"/>
      <c r="HGT101" s="53"/>
      <c r="HGU101" s="53"/>
      <c r="HGV101" s="53"/>
      <c r="HGW101" s="53"/>
      <c r="HGX101" s="53"/>
      <c r="HGY101" s="53"/>
      <c r="HGZ101" s="53"/>
      <c r="HHA101" s="53"/>
      <c r="HHB101" s="53"/>
      <c r="HHC101" s="53"/>
      <c r="HHD101" s="53"/>
      <c r="HHE101" s="53"/>
      <c r="HHF101" s="53"/>
      <c r="HHG101" s="53"/>
      <c r="HHH101" s="53"/>
      <c r="HHI101" s="53"/>
      <c r="HHJ101" s="53"/>
      <c r="HHK101" s="53"/>
      <c r="HHL101" s="53"/>
      <c r="HHM101" s="53"/>
      <c r="HHN101" s="53"/>
      <c r="HHO101" s="53"/>
      <c r="HHP101" s="53"/>
      <c r="HHQ101" s="53"/>
      <c r="HHR101" s="53"/>
      <c r="HHS101" s="53"/>
      <c r="HHT101" s="53"/>
      <c r="HHU101" s="53"/>
      <c r="HHV101" s="53"/>
      <c r="HHW101" s="53"/>
      <c r="HHX101" s="53"/>
      <c r="HHY101" s="53"/>
      <c r="HHZ101" s="53"/>
      <c r="HIA101" s="53"/>
      <c r="HIB101" s="53"/>
      <c r="HIC101" s="53"/>
      <c r="HID101" s="53"/>
      <c r="HIE101" s="53"/>
      <c r="HIF101" s="53"/>
      <c r="HIG101" s="53"/>
      <c r="HIH101" s="53"/>
      <c r="HII101" s="53"/>
      <c r="HIJ101" s="53"/>
      <c r="HIK101" s="53"/>
      <c r="HIL101" s="53"/>
      <c r="HIM101" s="53"/>
      <c r="HIN101" s="53"/>
      <c r="HIO101" s="53"/>
      <c r="HIP101" s="53"/>
      <c r="HIQ101" s="53"/>
      <c r="HIR101" s="53"/>
      <c r="HIS101" s="53"/>
      <c r="HIT101" s="53"/>
      <c r="HIU101" s="53"/>
      <c r="HIV101" s="53"/>
      <c r="HIW101" s="53"/>
      <c r="HIX101" s="53"/>
      <c r="HIY101" s="53"/>
      <c r="HIZ101" s="53"/>
      <c r="HJA101" s="53"/>
      <c r="HJB101" s="53"/>
      <c r="HJC101" s="53"/>
      <c r="HJD101" s="53"/>
      <c r="HJE101" s="53"/>
      <c r="HJF101" s="53"/>
      <c r="HJG101" s="53"/>
      <c r="HJH101" s="53"/>
      <c r="HJI101" s="53"/>
      <c r="HJJ101" s="53"/>
      <c r="HJK101" s="53"/>
      <c r="HJL101" s="53"/>
      <c r="HJM101" s="53"/>
      <c r="HJN101" s="53"/>
      <c r="HJO101" s="53"/>
      <c r="HJP101" s="53"/>
      <c r="HJQ101" s="53"/>
      <c r="HJR101" s="53"/>
      <c r="HJS101" s="53"/>
      <c r="HJT101" s="53"/>
      <c r="HJU101" s="53"/>
      <c r="HJV101" s="53"/>
      <c r="HJW101" s="53"/>
      <c r="HJX101" s="53"/>
      <c r="HJY101" s="53"/>
      <c r="HJZ101" s="53"/>
      <c r="HKA101" s="53"/>
      <c r="HKB101" s="53"/>
      <c r="HKC101" s="53"/>
      <c r="HKD101" s="53"/>
      <c r="HKE101" s="53"/>
      <c r="HKF101" s="53"/>
      <c r="HKG101" s="53"/>
      <c r="HKH101" s="53"/>
      <c r="HKI101" s="53"/>
      <c r="HKJ101" s="53"/>
      <c r="HKK101" s="53"/>
      <c r="HKL101" s="53"/>
      <c r="HKM101" s="53"/>
      <c r="HKN101" s="53"/>
      <c r="HKO101" s="53"/>
      <c r="HKP101" s="53"/>
      <c r="HKQ101" s="53"/>
      <c r="HKR101" s="53"/>
      <c r="HKS101" s="53"/>
      <c r="HKT101" s="53"/>
      <c r="HKU101" s="53"/>
      <c r="HKV101" s="53"/>
      <c r="HKW101" s="53"/>
      <c r="HKX101" s="53"/>
      <c r="HKY101" s="53"/>
      <c r="HKZ101" s="53"/>
      <c r="HLA101" s="53"/>
      <c r="HLB101" s="53"/>
      <c r="HLC101" s="53"/>
      <c r="HLD101" s="53"/>
      <c r="HLE101" s="53"/>
      <c r="HLF101" s="53"/>
      <c r="HLG101" s="53"/>
      <c r="HLH101" s="53"/>
      <c r="HLI101" s="53"/>
      <c r="HLJ101" s="53"/>
      <c r="HLK101" s="53"/>
      <c r="HLL101" s="53"/>
      <c r="HLM101" s="53"/>
      <c r="HLN101" s="53"/>
      <c r="HLO101" s="53"/>
      <c r="HLP101" s="53"/>
      <c r="HLQ101" s="53"/>
      <c r="HLR101" s="53"/>
      <c r="HLS101" s="53"/>
      <c r="HLT101" s="53"/>
      <c r="HLU101" s="53"/>
      <c r="HLV101" s="53"/>
      <c r="HLW101" s="53"/>
      <c r="HLX101" s="53"/>
      <c r="HLY101" s="53"/>
      <c r="HLZ101" s="53"/>
      <c r="HMA101" s="53"/>
      <c r="HMB101" s="53"/>
      <c r="HMC101" s="53"/>
      <c r="HMD101" s="53"/>
      <c r="HME101" s="53"/>
      <c r="HMF101" s="53"/>
      <c r="HMG101" s="53"/>
      <c r="HMH101" s="53"/>
      <c r="HMI101" s="53"/>
      <c r="HMJ101" s="53"/>
      <c r="HMK101" s="53"/>
      <c r="HML101" s="53"/>
      <c r="HMM101" s="53"/>
      <c r="HMN101" s="53"/>
      <c r="HMO101" s="53"/>
      <c r="HMP101" s="53"/>
      <c r="HMQ101" s="53"/>
      <c r="HMR101" s="53"/>
      <c r="HMS101" s="53"/>
      <c r="HMT101" s="53"/>
      <c r="HMU101" s="53"/>
      <c r="HMV101" s="53"/>
      <c r="HMW101" s="53"/>
      <c r="HMX101" s="53"/>
      <c r="HMY101" s="53"/>
      <c r="HMZ101" s="53"/>
      <c r="HNA101" s="53"/>
      <c r="HNB101" s="53"/>
      <c r="HNC101" s="53"/>
      <c r="HND101" s="53"/>
      <c r="HNE101" s="53"/>
      <c r="HNF101" s="53"/>
      <c r="HNG101" s="53"/>
      <c r="HNH101" s="53"/>
      <c r="HNI101" s="53"/>
      <c r="HNJ101" s="53"/>
      <c r="HNK101" s="53"/>
      <c r="HNL101" s="53"/>
      <c r="HNM101" s="53"/>
      <c r="HNN101" s="53"/>
      <c r="HNO101" s="53"/>
      <c r="HNP101" s="53"/>
      <c r="HNQ101" s="53"/>
      <c r="HNR101" s="53"/>
      <c r="HNS101" s="53"/>
      <c r="HNT101" s="53"/>
      <c r="HNU101" s="53"/>
      <c r="HNV101" s="53"/>
      <c r="HNW101" s="53"/>
      <c r="HNX101" s="53"/>
      <c r="HNY101" s="53"/>
      <c r="HNZ101" s="53"/>
      <c r="HOA101" s="53"/>
      <c r="HOB101" s="53"/>
      <c r="HOC101" s="53"/>
      <c r="HOD101" s="53"/>
      <c r="HOE101" s="53"/>
      <c r="HOF101" s="53"/>
      <c r="HOG101" s="53"/>
      <c r="HOH101" s="53"/>
      <c r="HOI101" s="53"/>
      <c r="HOJ101" s="53"/>
      <c r="HOK101" s="53"/>
      <c r="HOL101" s="53"/>
      <c r="HOM101" s="53"/>
      <c r="HON101" s="53"/>
      <c r="HOO101" s="53"/>
      <c r="HOP101" s="53"/>
      <c r="HOQ101" s="53"/>
      <c r="HOR101" s="53"/>
      <c r="HOS101" s="53"/>
      <c r="HOT101" s="53"/>
      <c r="HOU101" s="53"/>
      <c r="HOV101" s="53"/>
      <c r="HOW101" s="53"/>
      <c r="HOX101" s="53"/>
      <c r="HOY101" s="53"/>
      <c r="HOZ101" s="53"/>
      <c r="HPA101" s="53"/>
      <c r="HPB101" s="53"/>
      <c r="HPC101" s="53"/>
      <c r="HPD101" s="53"/>
      <c r="HPE101" s="53"/>
      <c r="HPF101" s="53"/>
      <c r="HPG101" s="53"/>
      <c r="HPH101" s="53"/>
      <c r="HPI101" s="53"/>
      <c r="HPJ101" s="53"/>
      <c r="HPK101" s="53"/>
      <c r="HPL101" s="53"/>
      <c r="HPM101" s="53"/>
      <c r="HPN101" s="53"/>
      <c r="HPO101" s="53"/>
      <c r="HPP101" s="53"/>
      <c r="HPQ101" s="53"/>
      <c r="HPR101" s="53"/>
      <c r="HPS101" s="53"/>
      <c r="HPT101" s="53"/>
      <c r="HPU101" s="53"/>
      <c r="HPV101" s="53"/>
      <c r="HPW101" s="53"/>
      <c r="HPX101" s="53"/>
      <c r="HPY101" s="53"/>
      <c r="HPZ101" s="53"/>
      <c r="HQA101" s="53"/>
      <c r="HQB101" s="53"/>
      <c r="HQC101" s="53"/>
      <c r="HQD101" s="53"/>
      <c r="HQE101" s="53"/>
      <c r="HQF101" s="53"/>
      <c r="HQG101" s="53"/>
      <c r="HQH101" s="53"/>
      <c r="HQI101" s="53"/>
      <c r="HQJ101" s="53"/>
      <c r="HQK101" s="53"/>
      <c r="HQL101" s="53"/>
      <c r="HQM101" s="53"/>
      <c r="HQN101" s="53"/>
      <c r="HQO101" s="53"/>
      <c r="HQP101" s="53"/>
      <c r="HQQ101" s="53"/>
      <c r="HQR101" s="53"/>
      <c r="HQS101" s="53"/>
      <c r="HQT101" s="53"/>
      <c r="HQU101" s="53"/>
      <c r="HQV101" s="53"/>
      <c r="HQW101" s="53"/>
      <c r="HQX101" s="53"/>
      <c r="HQY101" s="53"/>
      <c r="HQZ101" s="53"/>
      <c r="HRA101" s="53"/>
      <c r="HRB101" s="53"/>
      <c r="HRC101" s="53"/>
      <c r="HRD101" s="53"/>
      <c r="HRE101" s="53"/>
      <c r="HRF101" s="53"/>
      <c r="HRG101" s="53"/>
      <c r="HRH101" s="53"/>
      <c r="HRI101" s="53"/>
      <c r="HRJ101" s="53"/>
      <c r="HRK101" s="53"/>
      <c r="HRL101" s="53"/>
      <c r="HRM101" s="53"/>
      <c r="HRN101" s="53"/>
      <c r="HRO101" s="53"/>
      <c r="HRP101" s="53"/>
      <c r="HRQ101" s="53"/>
      <c r="HRR101" s="53"/>
      <c r="HRS101" s="53"/>
      <c r="HRT101" s="53"/>
      <c r="HRU101" s="53"/>
      <c r="HRV101" s="53"/>
      <c r="HRW101" s="53"/>
      <c r="HRX101" s="53"/>
      <c r="HRY101" s="53"/>
      <c r="HRZ101" s="53"/>
      <c r="HSA101" s="53"/>
      <c r="HSB101" s="53"/>
      <c r="HSC101" s="53"/>
      <c r="HSD101" s="53"/>
      <c r="HSE101" s="53"/>
      <c r="HSF101" s="53"/>
      <c r="HSG101" s="53"/>
      <c r="HSH101" s="53"/>
      <c r="HSI101" s="53"/>
      <c r="HSJ101" s="53"/>
      <c r="HSK101" s="53"/>
      <c r="HSL101" s="53"/>
      <c r="HSM101" s="53"/>
      <c r="HSN101" s="53"/>
      <c r="HSO101" s="53"/>
      <c r="HSP101" s="53"/>
      <c r="HSQ101" s="53"/>
      <c r="HSR101" s="53"/>
      <c r="HSS101" s="53"/>
      <c r="HST101" s="53"/>
      <c r="HSU101" s="53"/>
      <c r="HSV101" s="53"/>
      <c r="HSW101" s="53"/>
      <c r="HSX101" s="53"/>
      <c r="HSY101" s="53"/>
      <c r="HSZ101" s="53"/>
      <c r="HTA101" s="53"/>
      <c r="HTB101" s="53"/>
      <c r="HTC101" s="53"/>
      <c r="HTD101" s="53"/>
      <c r="HTE101" s="53"/>
      <c r="HTF101" s="53"/>
      <c r="HTG101" s="53"/>
      <c r="HTH101" s="53"/>
      <c r="HTI101" s="53"/>
      <c r="HTJ101" s="53"/>
      <c r="HTK101" s="53"/>
      <c r="HTL101" s="53"/>
      <c r="HTM101" s="53"/>
      <c r="HTN101" s="53"/>
      <c r="HTO101" s="53"/>
      <c r="HTP101" s="53"/>
      <c r="HTQ101" s="53"/>
      <c r="HTR101" s="53"/>
      <c r="HTS101" s="53"/>
      <c r="HTT101" s="53"/>
      <c r="HTU101" s="53"/>
      <c r="HTV101" s="53"/>
      <c r="HTW101" s="53"/>
      <c r="HTX101" s="53"/>
      <c r="HTY101" s="53"/>
      <c r="HTZ101" s="53"/>
      <c r="HUA101" s="53"/>
      <c r="HUB101" s="53"/>
      <c r="HUC101" s="53"/>
      <c r="HUD101" s="53"/>
      <c r="HUE101" s="53"/>
      <c r="HUF101" s="53"/>
      <c r="HUG101" s="53"/>
      <c r="HUH101" s="53"/>
      <c r="HUI101" s="53"/>
      <c r="HUJ101" s="53"/>
      <c r="HUK101" s="53"/>
      <c r="HUL101" s="53"/>
      <c r="HUM101" s="53"/>
      <c r="HUN101" s="53"/>
      <c r="HUO101" s="53"/>
      <c r="HUP101" s="53"/>
      <c r="HUQ101" s="53"/>
      <c r="HUR101" s="53"/>
      <c r="HUS101" s="53"/>
      <c r="HUT101" s="53"/>
      <c r="HUU101" s="53"/>
      <c r="HUV101" s="53"/>
      <c r="HUW101" s="53"/>
      <c r="HUX101" s="53"/>
      <c r="HUY101" s="53"/>
      <c r="HUZ101" s="53"/>
      <c r="HVA101" s="53"/>
      <c r="HVB101" s="53"/>
      <c r="HVC101" s="53"/>
      <c r="HVD101" s="53"/>
      <c r="HVE101" s="53"/>
      <c r="HVF101" s="53"/>
      <c r="HVG101" s="53"/>
      <c r="HVH101" s="53"/>
      <c r="HVI101" s="53"/>
      <c r="HVJ101" s="53"/>
      <c r="HVK101" s="53"/>
      <c r="HVL101" s="53"/>
      <c r="HVM101" s="53"/>
      <c r="HVN101" s="53"/>
      <c r="HVO101" s="53"/>
      <c r="HVP101" s="53"/>
      <c r="HVQ101" s="53"/>
      <c r="HVR101" s="53"/>
      <c r="HVS101" s="53"/>
      <c r="HVT101" s="53"/>
      <c r="HVU101" s="53"/>
      <c r="HVV101" s="53"/>
      <c r="HVW101" s="53"/>
      <c r="HVX101" s="53"/>
      <c r="HVY101" s="53"/>
      <c r="HVZ101" s="53"/>
      <c r="HWA101" s="53"/>
      <c r="HWB101" s="53"/>
      <c r="HWC101" s="53"/>
      <c r="HWD101" s="53"/>
      <c r="HWE101" s="53"/>
      <c r="HWF101" s="53"/>
      <c r="HWG101" s="53"/>
      <c r="HWH101" s="53"/>
      <c r="HWI101" s="53"/>
      <c r="HWJ101" s="53"/>
      <c r="HWK101" s="53"/>
      <c r="HWL101" s="53"/>
      <c r="HWM101" s="53"/>
      <c r="HWN101" s="53"/>
      <c r="HWO101" s="53"/>
      <c r="HWP101" s="53"/>
      <c r="HWQ101" s="53"/>
      <c r="HWR101" s="53"/>
      <c r="HWS101" s="53"/>
      <c r="HWT101" s="53"/>
      <c r="HWU101" s="53"/>
      <c r="HWV101" s="53"/>
      <c r="HWW101" s="53"/>
      <c r="HWX101" s="53"/>
      <c r="HWY101" s="53"/>
      <c r="HWZ101" s="53"/>
      <c r="HXA101" s="53"/>
      <c r="HXB101" s="53"/>
      <c r="HXC101" s="53"/>
      <c r="HXD101" s="53"/>
      <c r="HXE101" s="53"/>
      <c r="HXF101" s="53"/>
      <c r="HXG101" s="53"/>
      <c r="HXH101" s="53"/>
      <c r="HXI101" s="53"/>
      <c r="HXJ101" s="53"/>
      <c r="HXK101" s="53"/>
      <c r="HXL101" s="53"/>
      <c r="HXM101" s="53"/>
      <c r="HXN101" s="53"/>
      <c r="HXO101" s="53"/>
      <c r="HXP101" s="53"/>
      <c r="HXQ101" s="53"/>
      <c r="HXR101" s="53"/>
      <c r="HXS101" s="53"/>
      <c r="HXT101" s="53"/>
      <c r="HXU101" s="53"/>
      <c r="HXV101" s="53"/>
      <c r="HXW101" s="53"/>
      <c r="HXX101" s="53"/>
      <c r="HXY101" s="53"/>
      <c r="HXZ101" s="53"/>
      <c r="HYA101" s="53"/>
      <c r="HYB101" s="53"/>
      <c r="HYC101" s="53"/>
      <c r="HYD101" s="53"/>
      <c r="HYE101" s="53"/>
      <c r="HYF101" s="53"/>
      <c r="HYG101" s="53"/>
      <c r="HYH101" s="53"/>
      <c r="HYI101" s="53"/>
      <c r="HYJ101" s="53"/>
      <c r="HYK101" s="53"/>
      <c r="HYL101" s="53"/>
      <c r="HYM101" s="53"/>
      <c r="HYN101" s="53"/>
      <c r="HYO101" s="53"/>
      <c r="HYP101" s="53"/>
      <c r="HYQ101" s="53"/>
      <c r="HYR101" s="53"/>
      <c r="HYS101" s="53"/>
      <c r="HYT101" s="53"/>
      <c r="HYU101" s="53"/>
      <c r="HYV101" s="53"/>
      <c r="HYW101" s="53"/>
      <c r="HYX101" s="53"/>
      <c r="HYY101" s="53"/>
      <c r="HYZ101" s="53"/>
      <c r="HZA101" s="53"/>
      <c r="HZB101" s="53"/>
      <c r="HZC101" s="53"/>
      <c r="HZD101" s="53"/>
      <c r="HZE101" s="53"/>
      <c r="HZF101" s="53"/>
      <c r="HZG101" s="53"/>
      <c r="HZH101" s="53"/>
      <c r="HZI101" s="53"/>
      <c r="HZJ101" s="53"/>
      <c r="HZK101" s="53"/>
      <c r="HZL101" s="53"/>
      <c r="HZM101" s="53"/>
      <c r="HZN101" s="53"/>
      <c r="HZO101" s="53"/>
      <c r="HZP101" s="53"/>
      <c r="HZQ101" s="53"/>
      <c r="HZR101" s="53"/>
      <c r="HZS101" s="53"/>
      <c r="HZT101" s="53"/>
      <c r="HZU101" s="53"/>
      <c r="HZV101" s="53"/>
      <c r="HZW101" s="53"/>
      <c r="HZX101" s="53"/>
      <c r="HZY101" s="53"/>
      <c r="HZZ101" s="53"/>
      <c r="IAA101" s="53"/>
      <c r="IAB101" s="53"/>
      <c r="IAC101" s="53"/>
      <c r="IAD101" s="53"/>
      <c r="IAE101" s="53"/>
      <c r="IAF101" s="53"/>
      <c r="IAG101" s="53"/>
      <c r="IAH101" s="53"/>
      <c r="IAI101" s="53"/>
      <c r="IAJ101" s="53"/>
      <c r="IAK101" s="53"/>
      <c r="IAL101" s="53"/>
      <c r="IAM101" s="53"/>
      <c r="IAN101" s="53"/>
      <c r="IAO101" s="53"/>
      <c r="IAP101" s="53"/>
      <c r="IAQ101" s="53"/>
      <c r="IAR101" s="53"/>
      <c r="IAS101" s="53"/>
      <c r="IAT101" s="53"/>
      <c r="IAU101" s="53"/>
      <c r="IAV101" s="53"/>
      <c r="IAW101" s="53"/>
      <c r="IAX101" s="53"/>
      <c r="IAY101" s="53"/>
      <c r="IAZ101" s="53"/>
      <c r="IBA101" s="53"/>
      <c r="IBB101" s="53"/>
      <c r="IBC101" s="53"/>
      <c r="IBD101" s="53"/>
      <c r="IBE101" s="53"/>
      <c r="IBF101" s="53"/>
      <c r="IBG101" s="53"/>
      <c r="IBH101" s="53"/>
      <c r="IBI101" s="53"/>
      <c r="IBJ101" s="53"/>
      <c r="IBK101" s="53"/>
      <c r="IBL101" s="53"/>
      <c r="IBM101" s="53"/>
      <c r="IBN101" s="53"/>
      <c r="IBO101" s="53"/>
      <c r="IBP101" s="53"/>
      <c r="IBQ101" s="53"/>
      <c r="IBR101" s="53"/>
      <c r="IBS101" s="53"/>
      <c r="IBT101" s="53"/>
      <c r="IBU101" s="53"/>
      <c r="IBV101" s="53"/>
      <c r="IBW101" s="53"/>
      <c r="IBX101" s="53"/>
      <c r="IBY101" s="53"/>
      <c r="IBZ101" s="53"/>
      <c r="ICA101" s="53"/>
      <c r="ICB101" s="53"/>
      <c r="ICC101" s="53"/>
      <c r="ICD101" s="53"/>
      <c r="ICE101" s="53"/>
      <c r="ICF101" s="53"/>
      <c r="ICG101" s="53"/>
      <c r="ICH101" s="53"/>
      <c r="ICI101" s="53"/>
      <c r="ICJ101" s="53"/>
      <c r="ICK101" s="53"/>
      <c r="ICL101" s="53"/>
      <c r="ICM101" s="53"/>
      <c r="ICN101" s="53"/>
      <c r="ICO101" s="53"/>
      <c r="ICP101" s="53"/>
      <c r="ICQ101" s="53"/>
      <c r="ICR101" s="53"/>
      <c r="ICS101" s="53"/>
      <c r="ICT101" s="53"/>
      <c r="ICU101" s="53"/>
      <c r="ICV101" s="53"/>
      <c r="ICW101" s="53"/>
      <c r="ICX101" s="53"/>
      <c r="ICY101" s="53"/>
      <c r="ICZ101" s="53"/>
      <c r="IDA101" s="53"/>
      <c r="IDB101" s="53"/>
      <c r="IDC101" s="53"/>
      <c r="IDD101" s="53"/>
      <c r="IDE101" s="53"/>
      <c r="IDF101" s="53"/>
      <c r="IDG101" s="53"/>
      <c r="IDH101" s="53"/>
      <c r="IDI101" s="53"/>
      <c r="IDJ101" s="53"/>
      <c r="IDK101" s="53"/>
      <c r="IDL101" s="53"/>
      <c r="IDM101" s="53"/>
      <c r="IDN101" s="53"/>
      <c r="IDO101" s="53"/>
      <c r="IDP101" s="53"/>
      <c r="IDQ101" s="53"/>
      <c r="IDR101" s="53"/>
      <c r="IDS101" s="53"/>
      <c r="IDT101" s="53"/>
      <c r="IDU101" s="53"/>
      <c r="IDV101" s="53"/>
      <c r="IDW101" s="53"/>
      <c r="IDX101" s="53"/>
      <c r="IDY101" s="53"/>
      <c r="IDZ101" s="53"/>
      <c r="IEA101" s="53"/>
      <c r="IEB101" s="53"/>
      <c r="IEC101" s="53"/>
      <c r="IED101" s="53"/>
      <c r="IEE101" s="53"/>
      <c r="IEF101" s="53"/>
      <c r="IEG101" s="53"/>
      <c r="IEH101" s="53"/>
      <c r="IEI101" s="53"/>
      <c r="IEJ101" s="53"/>
      <c r="IEK101" s="53"/>
      <c r="IEL101" s="53"/>
      <c r="IEM101" s="53"/>
      <c r="IEN101" s="53"/>
      <c r="IEO101" s="53"/>
      <c r="IEP101" s="53"/>
      <c r="IEQ101" s="53"/>
      <c r="IER101" s="53"/>
      <c r="IES101" s="53"/>
      <c r="IET101" s="53"/>
      <c r="IEU101" s="53"/>
      <c r="IEV101" s="53"/>
      <c r="IEW101" s="53"/>
      <c r="IEX101" s="53"/>
      <c r="IEY101" s="53"/>
      <c r="IEZ101" s="53"/>
      <c r="IFA101" s="53"/>
      <c r="IFB101" s="53"/>
      <c r="IFC101" s="53"/>
      <c r="IFD101" s="53"/>
      <c r="IFE101" s="53"/>
      <c r="IFF101" s="53"/>
      <c r="IFG101" s="53"/>
      <c r="IFH101" s="53"/>
      <c r="IFI101" s="53"/>
      <c r="IFJ101" s="53"/>
      <c r="IFK101" s="53"/>
      <c r="IFL101" s="53"/>
      <c r="IFM101" s="53"/>
      <c r="IFN101" s="53"/>
      <c r="IFO101" s="53"/>
      <c r="IFP101" s="53"/>
      <c r="IFQ101" s="53"/>
      <c r="IFR101" s="53"/>
      <c r="IFS101" s="53"/>
      <c r="IFT101" s="53"/>
      <c r="IFU101" s="53"/>
      <c r="IFV101" s="53"/>
      <c r="IFW101" s="53"/>
      <c r="IFX101" s="53"/>
      <c r="IFY101" s="53"/>
      <c r="IFZ101" s="53"/>
      <c r="IGA101" s="53"/>
      <c r="IGB101" s="53"/>
      <c r="IGC101" s="53"/>
      <c r="IGD101" s="53"/>
      <c r="IGE101" s="53"/>
      <c r="IGF101" s="53"/>
      <c r="IGG101" s="53"/>
      <c r="IGH101" s="53"/>
      <c r="IGI101" s="53"/>
      <c r="IGJ101" s="53"/>
      <c r="IGK101" s="53"/>
      <c r="IGL101" s="53"/>
      <c r="IGM101" s="53"/>
      <c r="IGN101" s="53"/>
      <c r="IGO101" s="53"/>
      <c r="IGP101" s="53"/>
      <c r="IGQ101" s="53"/>
      <c r="IGR101" s="53"/>
      <c r="IGS101" s="53"/>
      <c r="IGT101" s="53"/>
      <c r="IGU101" s="53"/>
      <c r="IGV101" s="53"/>
      <c r="IGW101" s="53"/>
      <c r="IGX101" s="53"/>
      <c r="IGY101" s="53"/>
      <c r="IGZ101" s="53"/>
      <c r="IHA101" s="53"/>
      <c r="IHB101" s="53"/>
      <c r="IHC101" s="53"/>
      <c r="IHD101" s="53"/>
      <c r="IHE101" s="53"/>
      <c r="IHF101" s="53"/>
      <c r="IHG101" s="53"/>
      <c r="IHH101" s="53"/>
      <c r="IHI101" s="53"/>
      <c r="IHJ101" s="53"/>
      <c r="IHK101" s="53"/>
      <c r="IHL101" s="53"/>
      <c r="IHM101" s="53"/>
      <c r="IHN101" s="53"/>
      <c r="IHO101" s="53"/>
      <c r="IHP101" s="53"/>
      <c r="IHQ101" s="53"/>
      <c r="IHR101" s="53"/>
      <c r="IHS101" s="53"/>
      <c r="IHT101" s="53"/>
      <c r="IHU101" s="53"/>
      <c r="IHV101" s="53"/>
      <c r="IHW101" s="53"/>
      <c r="IHX101" s="53"/>
      <c r="IHY101" s="53"/>
      <c r="IHZ101" s="53"/>
      <c r="IIA101" s="53"/>
      <c r="IIB101" s="53"/>
      <c r="IIC101" s="53"/>
      <c r="IID101" s="53"/>
      <c r="IIE101" s="53"/>
      <c r="IIF101" s="53"/>
      <c r="IIG101" s="53"/>
      <c r="IIH101" s="53"/>
      <c r="III101" s="53"/>
      <c r="IIJ101" s="53"/>
      <c r="IIK101" s="53"/>
      <c r="IIL101" s="53"/>
      <c r="IIM101" s="53"/>
      <c r="IIN101" s="53"/>
      <c r="IIO101" s="53"/>
      <c r="IIP101" s="53"/>
      <c r="IIQ101" s="53"/>
      <c r="IIR101" s="53"/>
      <c r="IIS101" s="53"/>
      <c r="IIT101" s="53"/>
      <c r="IIU101" s="53"/>
      <c r="IIV101" s="53"/>
      <c r="IIW101" s="53"/>
      <c r="IIX101" s="53"/>
      <c r="IIY101" s="53"/>
      <c r="IIZ101" s="53"/>
      <c r="IJA101" s="53"/>
      <c r="IJB101" s="53"/>
      <c r="IJC101" s="53"/>
      <c r="IJD101" s="53"/>
      <c r="IJE101" s="53"/>
      <c r="IJF101" s="53"/>
      <c r="IJG101" s="53"/>
      <c r="IJH101" s="53"/>
      <c r="IJI101" s="53"/>
      <c r="IJJ101" s="53"/>
      <c r="IJK101" s="53"/>
      <c r="IJL101" s="53"/>
      <c r="IJM101" s="53"/>
      <c r="IJN101" s="53"/>
      <c r="IJO101" s="53"/>
      <c r="IJP101" s="53"/>
      <c r="IJQ101" s="53"/>
      <c r="IJR101" s="53"/>
      <c r="IJS101" s="53"/>
      <c r="IJT101" s="53"/>
      <c r="IJU101" s="53"/>
      <c r="IJV101" s="53"/>
      <c r="IJW101" s="53"/>
      <c r="IJX101" s="53"/>
      <c r="IJY101" s="53"/>
      <c r="IJZ101" s="53"/>
      <c r="IKA101" s="53"/>
      <c r="IKB101" s="53"/>
      <c r="IKC101" s="53"/>
      <c r="IKD101" s="53"/>
      <c r="IKE101" s="53"/>
      <c r="IKF101" s="53"/>
      <c r="IKG101" s="53"/>
      <c r="IKH101" s="53"/>
      <c r="IKI101" s="53"/>
      <c r="IKJ101" s="53"/>
      <c r="IKK101" s="53"/>
      <c r="IKL101" s="53"/>
      <c r="IKM101" s="53"/>
      <c r="IKN101" s="53"/>
      <c r="IKO101" s="53"/>
      <c r="IKP101" s="53"/>
      <c r="IKQ101" s="53"/>
      <c r="IKR101" s="53"/>
      <c r="IKS101" s="53"/>
      <c r="IKT101" s="53"/>
      <c r="IKU101" s="53"/>
      <c r="IKV101" s="53"/>
      <c r="IKW101" s="53"/>
      <c r="IKX101" s="53"/>
      <c r="IKY101" s="53"/>
      <c r="IKZ101" s="53"/>
      <c r="ILA101" s="53"/>
      <c r="ILB101" s="53"/>
      <c r="ILC101" s="53"/>
      <c r="ILD101" s="53"/>
      <c r="ILE101" s="53"/>
      <c r="ILF101" s="53"/>
      <c r="ILG101" s="53"/>
      <c r="ILH101" s="53"/>
      <c r="ILI101" s="53"/>
      <c r="ILJ101" s="53"/>
      <c r="ILK101" s="53"/>
      <c r="ILL101" s="53"/>
      <c r="ILM101" s="53"/>
      <c r="ILN101" s="53"/>
      <c r="ILO101" s="53"/>
      <c r="ILP101" s="53"/>
      <c r="ILQ101" s="53"/>
      <c r="ILR101" s="53"/>
      <c r="ILS101" s="53"/>
      <c r="ILT101" s="53"/>
      <c r="ILU101" s="53"/>
      <c r="ILV101" s="53"/>
      <c r="ILW101" s="53"/>
      <c r="ILX101" s="53"/>
      <c r="ILY101" s="53"/>
      <c r="ILZ101" s="53"/>
      <c r="IMA101" s="53"/>
      <c r="IMB101" s="53"/>
      <c r="IMC101" s="53"/>
      <c r="IMD101" s="53"/>
      <c r="IME101" s="53"/>
      <c r="IMF101" s="53"/>
      <c r="IMG101" s="53"/>
      <c r="IMH101" s="53"/>
      <c r="IMI101" s="53"/>
      <c r="IMJ101" s="53"/>
      <c r="IMK101" s="53"/>
      <c r="IML101" s="53"/>
      <c r="IMM101" s="53"/>
      <c r="IMN101" s="53"/>
      <c r="IMO101" s="53"/>
      <c r="IMP101" s="53"/>
      <c r="IMQ101" s="53"/>
      <c r="IMR101" s="53"/>
      <c r="IMS101" s="53"/>
      <c r="IMT101" s="53"/>
      <c r="IMU101" s="53"/>
      <c r="IMV101" s="53"/>
      <c r="IMW101" s="53"/>
      <c r="IMX101" s="53"/>
      <c r="IMY101" s="53"/>
      <c r="IMZ101" s="53"/>
      <c r="INA101" s="53"/>
      <c r="INB101" s="53"/>
      <c r="INC101" s="53"/>
      <c r="IND101" s="53"/>
      <c r="INE101" s="53"/>
      <c r="INF101" s="53"/>
      <c r="ING101" s="53"/>
      <c r="INH101" s="53"/>
      <c r="INI101" s="53"/>
      <c r="INJ101" s="53"/>
      <c r="INK101" s="53"/>
      <c r="INL101" s="53"/>
      <c r="INM101" s="53"/>
      <c r="INN101" s="53"/>
      <c r="INO101" s="53"/>
      <c r="INP101" s="53"/>
      <c r="INQ101" s="53"/>
      <c r="INR101" s="53"/>
      <c r="INS101" s="53"/>
      <c r="INT101" s="53"/>
      <c r="INU101" s="53"/>
      <c r="INV101" s="53"/>
      <c r="INW101" s="53"/>
      <c r="INX101" s="53"/>
      <c r="INY101" s="53"/>
      <c r="INZ101" s="53"/>
      <c r="IOA101" s="53"/>
      <c r="IOB101" s="53"/>
      <c r="IOC101" s="53"/>
      <c r="IOD101" s="53"/>
      <c r="IOE101" s="53"/>
      <c r="IOF101" s="53"/>
      <c r="IOG101" s="53"/>
      <c r="IOH101" s="53"/>
      <c r="IOI101" s="53"/>
      <c r="IOJ101" s="53"/>
      <c r="IOK101" s="53"/>
      <c r="IOL101" s="53"/>
      <c r="IOM101" s="53"/>
      <c r="ION101" s="53"/>
      <c r="IOO101" s="53"/>
      <c r="IOP101" s="53"/>
      <c r="IOQ101" s="53"/>
      <c r="IOR101" s="53"/>
      <c r="IOS101" s="53"/>
      <c r="IOT101" s="53"/>
      <c r="IOU101" s="53"/>
      <c r="IOV101" s="53"/>
      <c r="IOW101" s="53"/>
      <c r="IOX101" s="53"/>
      <c r="IOY101" s="53"/>
      <c r="IOZ101" s="53"/>
      <c r="IPA101" s="53"/>
      <c r="IPB101" s="53"/>
      <c r="IPC101" s="53"/>
      <c r="IPD101" s="53"/>
      <c r="IPE101" s="53"/>
      <c r="IPF101" s="53"/>
      <c r="IPG101" s="53"/>
      <c r="IPH101" s="53"/>
      <c r="IPI101" s="53"/>
      <c r="IPJ101" s="53"/>
      <c r="IPK101" s="53"/>
      <c r="IPL101" s="53"/>
      <c r="IPM101" s="53"/>
      <c r="IPN101" s="53"/>
      <c r="IPO101" s="53"/>
      <c r="IPP101" s="53"/>
      <c r="IPQ101" s="53"/>
      <c r="IPR101" s="53"/>
      <c r="IPS101" s="53"/>
      <c r="IPT101" s="53"/>
      <c r="IPU101" s="53"/>
      <c r="IPV101" s="53"/>
      <c r="IPW101" s="53"/>
      <c r="IPX101" s="53"/>
      <c r="IPY101" s="53"/>
      <c r="IPZ101" s="53"/>
      <c r="IQA101" s="53"/>
      <c r="IQB101" s="53"/>
      <c r="IQC101" s="53"/>
      <c r="IQD101" s="53"/>
      <c r="IQE101" s="53"/>
      <c r="IQF101" s="53"/>
      <c r="IQG101" s="53"/>
      <c r="IQH101" s="53"/>
      <c r="IQI101" s="53"/>
      <c r="IQJ101" s="53"/>
      <c r="IQK101" s="53"/>
      <c r="IQL101" s="53"/>
      <c r="IQM101" s="53"/>
      <c r="IQN101" s="53"/>
      <c r="IQO101" s="53"/>
      <c r="IQP101" s="53"/>
      <c r="IQQ101" s="53"/>
      <c r="IQR101" s="53"/>
      <c r="IQS101" s="53"/>
      <c r="IQT101" s="53"/>
      <c r="IQU101" s="53"/>
      <c r="IQV101" s="53"/>
      <c r="IQW101" s="53"/>
      <c r="IQX101" s="53"/>
      <c r="IQY101" s="53"/>
      <c r="IQZ101" s="53"/>
      <c r="IRA101" s="53"/>
      <c r="IRB101" s="53"/>
      <c r="IRC101" s="53"/>
      <c r="IRD101" s="53"/>
      <c r="IRE101" s="53"/>
      <c r="IRF101" s="53"/>
      <c r="IRG101" s="53"/>
      <c r="IRH101" s="53"/>
      <c r="IRI101" s="53"/>
      <c r="IRJ101" s="53"/>
      <c r="IRK101" s="53"/>
      <c r="IRL101" s="53"/>
      <c r="IRM101" s="53"/>
      <c r="IRN101" s="53"/>
      <c r="IRO101" s="53"/>
      <c r="IRP101" s="53"/>
      <c r="IRQ101" s="53"/>
      <c r="IRR101" s="53"/>
      <c r="IRS101" s="53"/>
      <c r="IRT101" s="53"/>
      <c r="IRU101" s="53"/>
      <c r="IRV101" s="53"/>
      <c r="IRW101" s="53"/>
      <c r="IRX101" s="53"/>
      <c r="IRY101" s="53"/>
      <c r="IRZ101" s="53"/>
      <c r="ISA101" s="53"/>
      <c r="ISB101" s="53"/>
      <c r="ISC101" s="53"/>
      <c r="ISD101" s="53"/>
      <c r="ISE101" s="53"/>
      <c r="ISF101" s="53"/>
      <c r="ISG101" s="53"/>
      <c r="ISH101" s="53"/>
      <c r="ISI101" s="53"/>
      <c r="ISJ101" s="53"/>
      <c r="ISK101" s="53"/>
      <c r="ISL101" s="53"/>
      <c r="ISM101" s="53"/>
      <c r="ISN101" s="53"/>
      <c r="ISO101" s="53"/>
      <c r="ISP101" s="53"/>
      <c r="ISQ101" s="53"/>
      <c r="ISR101" s="53"/>
      <c r="ISS101" s="53"/>
      <c r="IST101" s="53"/>
      <c r="ISU101" s="53"/>
      <c r="ISV101" s="53"/>
      <c r="ISW101" s="53"/>
      <c r="ISX101" s="53"/>
      <c r="ISY101" s="53"/>
      <c r="ISZ101" s="53"/>
      <c r="ITA101" s="53"/>
      <c r="ITB101" s="53"/>
      <c r="ITC101" s="53"/>
      <c r="ITD101" s="53"/>
      <c r="ITE101" s="53"/>
      <c r="ITF101" s="53"/>
      <c r="ITG101" s="53"/>
      <c r="ITH101" s="53"/>
      <c r="ITI101" s="53"/>
      <c r="ITJ101" s="53"/>
      <c r="ITK101" s="53"/>
      <c r="ITL101" s="53"/>
      <c r="ITM101" s="53"/>
      <c r="ITN101" s="53"/>
      <c r="ITO101" s="53"/>
      <c r="ITP101" s="53"/>
      <c r="ITQ101" s="53"/>
      <c r="ITR101" s="53"/>
      <c r="ITS101" s="53"/>
      <c r="ITT101" s="53"/>
      <c r="ITU101" s="53"/>
      <c r="ITV101" s="53"/>
      <c r="ITW101" s="53"/>
      <c r="ITX101" s="53"/>
      <c r="ITY101" s="53"/>
      <c r="ITZ101" s="53"/>
      <c r="IUA101" s="53"/>
      <c r="IUB101" s="53"/>
      <c r="IUC101" s="53"/>
      <c r="IUD101" s="53"/>
      <c r="IUE101" s="53"/>
      <c r="IUF101" s="53"/>
      <c r="IUG101" s="53"/>
      <c r="IUH101" s="53"/>
      <c r="IUI101" s="53"/>
      <c r="IUJ101" s="53"/>
      <c r="IUK101" s="53"/>
      <c r="IUL101" s="53"/>
      <c r="IUM101" s="53"/>
      <c r="IUN101" s="53"/>
      <c r="IUO101" s="53"/>
      <c r="IUP101" s="53"/>
      <c r="IUQ101" s="53"/>
      <c r="IUR101" s="53"/>
      <c r="IUS101" s="53"/>
      <c r="IUT101" s="53"/>
      <c r="IUU101" s="53"/>
      <c r="IUV101" s="53"/>
      <c r="IUW101" s="53"/>
      <c r="IUX101" s="53"/>
      <c r="IUY101" s="53"/>
      <c r="IUZ101" s="53"/>
      <c r="IVA101" s="53"/>
      <c r="IVB101" s="53"/>
      <c r="IVC101" s="53"/>
      <c r="IVD101" s="53"/>
      <c r="IVE101" s="53"/>
      <c r="IVF101" s="53"/>
      <c r="IVG101" s="53"/>
      <c r="IVH101" s="53"/>
      <c r="IVI101" s="53"/>
      <c r="IVJ101" s="53"/>
      <c r="IVK101" s="53"/>
      <c r="IVL101" s="53"/>
      <c r="IVM101" s="53"/>
      <c r="IVN101" s="53"/>
      <c r="IVO101" s="53"/>
      <c r="IVP101" s="53"/>
      <c r="IVQ101" s="53"/>
      <c r="IVR101" s="53"/>
      <c r="IVS101" s="53"/>
      <c r="IVT101" s="53"/>
      <c r="IVU101" s="53"/>
      <c r="IVV101" s="53"/>
      <c r="IVW101" s="53"/>
      <c r="IVX101" s="53"/>
      <c r="IVY101" s="53"/>
      <c r="IVZ101" s="53"/>
      <c r="IWA101" s="53"/>
      <c r="IWB101" s="53"/>
      <c r="IWC101" s="53"/>
      <c r="IWD101" s="53"/>
      <c r="IWE101" s="53"/>
      <c r="IWF101" s="53"/>
      <c r="IWG101" s="53"/>
      <c r="IWH101" s="53"/>
      <c r="IWI101" s="53"/>
      <c r="IWJ101" s="53"/>
      <c r="IWK101" s="53"/>
      <c r="IWL101" s="53"/>
      <c r="IWM101" s="53"/>
      <c r="IWN101" s="53"/>
      <c r="IWO101" s="53"/>
      <c r="IWP101" s="53"/>
      <c r="IWQ101" s="53"/>
      <c r="IWR101" s="53"/>
      <c r="IWS101" s="53"/>
      <c r="IWT101" s="53"/>
      <c r="IWU101" s="53"/>
      <c r="IWV101" s="53"/>
      <c r="IWW101" s="53"/>
      <c r="IWX101" s="53"/>
      <c r="IWY101" s="53"/>
      <c r="IWZ101" s="53"/>
      <c r="IXA101" s="53"/>
      <c r="IXB101" s="53"/>
      <c r="IXC101" s="53"/>
      <c r="IXD101" s="53"/>
      <c r="IXE101" s="53"/>
      <c r="IXF101" s="53"/>
      <c r="IXG101" s="53"/>
      <c r="IXH101" s="53"/>
      <c r="IXI101" s="53"/>
      <c r="IXJ101" s="53"/>
      <c r="IXK101" s="53"/>
      <c r="IXL101" s="53"/>
      <c r="IXM101" s="53"/>
      <c r="IXN101" s="53"/>
      <c r="IXO101" s="53"/>
      <c r="IXP101" s="53"/>
      <c r="IXQ101" s="53"/>
      <c r="IXR101" s="53"/>
      <c r="IXS101" s="53"/>
      <c r="IXT101" s="53"/>
      <c r="IXU101" s="53"/>
      <c r="IXV101" s="53"/>
      <c r="IXW101" s="53"/>
      <c r="IXX101" s="53"/>
      <c r="IXY101" s="53"/>
      <c r="IXZ101" s="53"/>
      <c r="IYA101" s="53"/>
      <c r="IYB101" s="53"/>
      <c r="IYC101" s="53"/>
      <c r="IYD101" s="53"/>
      <c r="IYE101" s="53"/>
      <c r="IYF101" s="53"/>
      <c r="IYG101" s="53"/>
      <c r="IYH101" s="53"/>
      <c r="IYI101" s="53"/>
      <c r="IYJ101" s="53"/>
      <c r="IYK101" s="53"/>
      <c r="IYL101" s="53"/>
      <c r="IYM101" s="53"/>
      <c r="IYN101" s="53"/>
      <c r="IYO101" s="53"/>
      <c r="IYP101" s="53"/>
      <c r="IYQ101" s="53"/>
      <c r="IYR101" s="53"/>
      <c r="IYS101" s="53"/>
      <c r="IYT101" s="53"/>
      <c r="IYU101" s="53"/>
      <c r="IYV101" s="53"/>
      <c r="IYW101" s="53"/>
      <c r="IYX101" s="53"/>
      <c r="IYY101" s="53"/>
      <c r="IYZ101" s="53"/>
      <c r="IZA101" s="53"/>
      <c r="IZB101" s="53"/>
      <c r="IZC101" s="53"/>
      <c r="IZD101" s="53"/>
      <c r="IZE101" s="53"/>
      <c r="IZF101" s="53"/>
      <c r="IZG101" s="53"/>
      <c r="IZH101" s="53"/>
      <c r="IZI101" s="53"/>
      <c r="IZJ101" s="53"/>
      <c r="IZK101" s="53"/>
      <c r="IZL101" s="53"/>
      <c r="IZM101" s="53"/>
      <c r="IZN101" s="53"/>
      <c r="IZO101" s="53"/>
      <c r="IZP101" s="53"/>
      <c r="IZQ101" s="53"/>
      <c r="IZR101" s="53"/>
      <c r="IZS101" s="53"/>
      <c r="IZT101" s="53"/>
      <c r="IZU101" s="53"/>
      <c r="IZV101" s="53"/>
      <c r="IZW101" s="53"/>
      <c r="IZX101" s="53"/>
      <c r="IZY101" s="53"/>
      <c r="IZZ101" s="53"/>
      <c r="JAA101" s="53"/>
      <c r="JAB101" s="53"/>
      <c r="JAC101" s="53"/>
      <c r="JAD101" s="53"/>
      <c r="JAE101" s="53"/>
      <c r="JAF101" s="53"/>
      <c r="JAG101" s="53"/>
      <c r="JAH101" s="53"/>
      <c r="JAI101" s="53"/>
      <c r="JAJ101" s="53"/>
      <c r="JAK101" s="53"/>
      <c r="JAL101" s="53"/>
      <c r="JAM101" s="53"/>
      <c r="JAN101" s="53"/>
      <c r="JAO101" s="53"/>
      <c r="JAP101" s="53"/>
      <c r="JAQ101" s="53"/>
      <c r="JAR101" s="53"/>
      <c r="JAS101" s="53"/>
      <c r="JAT101" s="53"/>
      <c r="JAU101" s="53"/>
      <c r="JAV101" s="53"/>
      <c r="JAW101" s="53"/>
      <c r="JAX101" s="53"/>
      <c r="JAY101" s="53"/>
      <c r="JAZ101" s="53"/>
      <c r="JBA101" s="53"/>
      <c r="JBB101" s="53"/>
      <c r="JBC101" s="53"/>
      <c r="JBD101" s="53"/>
      <c r="JBE101" s="53"/>
      <c r="JBF101" s="53"/>
      <c r="JBG101" s="53"/>
      <c r="JBH101" s="53"/>
      <c r="JBI101" s="53"/>
      <c r="JBJ101" s="53"/>
      <c r="JBK101" s="53"/>
      <c r="JBL101" s="53"/>
      <c r="JBM101" s="53"/>
      <c r="JBN101" s="53"/>
      <c r="JBO101" s="53"/>
      <c r="JBP101" s="53"/>
      <c r="JBQ101" s="53"/>
      <c r="JBR101" s="53"/>
      <c r="JBS101" s="53"/>
      <c r="JBT101" s="53"/>
      <c r="JBU101" s="53"/>
      <c r="JBV101" s="53"/>
      <c r="JBW101" s="53"/>
      <c r="JBX101" s="53"/>
      <c r="JBY101" s="53"/>
      <c r="JBZ101" s="53"/>
      <c r="JCA101" s="53"/>
      <c r="JCB101" s="53"/>
      <c r="JCC101" s="53"/>
      <c r="JCD101" s="53"/>
      <c r="JCE101" s="53"/>
      <c r="JCF101" s="53"/>
      <c r="JCG101" s="53"/>
      <c r="JCH101" s="53"/>
      <c r="JCI101" s="53"/>
      <c r="JCJ101" s="53"/>
      <c r="JCK101" s="53"/>
      <c r="JCL101" s="53"/>
      <c r="JCM101" s="53"/>
      <c r="JCN101" s="53"/>
      <c r="JCO101" s="53"/>
      <c r="JCP101" s="53"/>
      <c r="JCQ101" s="53"/>
      <c r="JCR101" s="53"/>
      <c r="JCS101" s="53"/>
      <c r="JCT101" s="53"/>
      <c r="JCU101" s="53"/>
      <c r="JCV101" s="53"/>
      <c r="JCW101" s="53"/>
      <c r="JCX101" s="53"/>
      <c r="JCY101" s="53"/>
      <c r="JCZ101" s="53"/>
      <c r="JDA101" s="53"/>
      <c r="JDB101" s="53"/>
      <c r="JDC101" s="53"/>
      <c r="JDD101" s="53"/>
      <c r="JDE101" s="53"/>
      <c r="JDF101" s="53"/>
      <c r="JDG101" s="53"/>
      <c r="JDH101" s="53"/>
      <c r="JDI101" s="53"/>
      <c r="JDJ101" s="53"/>
      <c r="JDK101" s="53"/>
      <c r="JDL101" s="53"/>
      <c r="JDM101" s="53"/>
      <c r="JDN101" s="53"/>
      <c r="JDO101" s="53"/>
      <c r="JDP101" s="53"/>
      <c r="JDQ101" s="53"/>
      <c r="JDR101" s="53"/>
      <c r="JDS101" s="53"/>
      <c r="JDT101" s="53"/>
      <c r="JDU101" s="53"/>
      <c r="JDV101" s="53"/>
      <c r="JDW101" s="53"/>
      <c r="JDX101" s="53"/>
      <c r="JDY101" s="53"/>
      <c r="JDZ101" s="53"/>
      <c r="JEA101" s="53"/>
      <c r="JEB101" s="53"/>
      <c r="JEC101" s="53"/>
      <c r="JED101" s="53"/>
      <c r="JEE101" s="53"/>
      <c r="JEF101" s="53"/>
      <c r="JEG101" s="53"/>
      <c r="JEH101" s="53"/>
      <c r="JEI101" s="53"/>
      <c r="JEJ101" s="53"/>
      <c r="JEK101" s="53"/>
      <c r="JEL101" s="53"/>
      <c r="JEM101" s="53"/>
      <c r="JEN101" s="53"/>
      <c r="JEO101" s="53"/>
      <c r="JEP101" s="53"/>
      <c r="JEQ101" s="53"/>
      <c r="JER101" s="53"/>
      <c r="JES101" s="53"/>
      <c r="JET101" s="53"/>
      <c r="JEU101" s="53"/>
      <c r="JEV101" s="53"/>
      <c r="JEW101" s="53"/>
      <c r="JEX101" s="53"/>
      <c r="JEY101" s="53"/>
      <c r="JEZ101" s="53"/>
      <c r="JFA101" s="53"/>
      <c r="JFB101" s="53"/>
      <c r="JFC101" s="53"/>
      <c r="JFD101" s="53"/>
      <c r="JFE101" s="53"/>
      <c r="JFF101" s="53"/>
      <c r="JFG101" s="53"/>
      <c r="JFH101" s="53"/>
      <c r="JFI101" s="53"/>
      <c r="JFJ101" s="53"/>
      <c r="JFK101" s="53"/>
      <c r="JFL101" s="53"/>
      <c r="JFM101" s="53"/>
      <c r="JFN101" s="53"/>
      <c r="JFO101" s="53"/>
      <c r="JFP101" s="53"/>
      <c r="JFQ101" s="53"/>
      <c r="JFR101" s="53"/>
      <c r="JFS101" s="53"/>
      <c r="JFT101" s="53"/>
      <c r="JFU101" s="53"/>
      <c r="JFV101" s="53"/>
      <c r="JFW101" s="53"/>
      <c r="JFX101" s="53"/>
      <c r="JFY101" s="53"/>
      <c r="JFZ101" s="53"/>
      <c r="JGA101" s="53"/>
      <c r="JGB101" s="53"/>
      <c r="JGC101" s="53"/>
      <c r="JGD101" s="53"/>
      <c r="JGE101" s="53"/>
      <c r="JGF101" s="53"/>
      <c r="JGG101" s="53"/>
      <c r="JGH101" s="53"/>
      <c r="JGI101" s="53"/>
      <c r="JGJ101" s="53"/>
      <c r="JGK101" s="53"/>
      <c r="JGL101" s="53"/>
      <c r="JGM101" s="53"/>
      <c r="JGN101" s="53"/>
      <c r="JGO101" s="53"/>
      <c r="JGP101" s="53"/>
      <c r="JGQ101" s="53"/>
      <c r="JGR101" s="53"/>
      <c r="JGS101" s="53"/>
      <c r="JGT101" s="53"/>
      <c r="JGU101" s="53"/>
      <c r="JGV101" s="53"/>
      <c r="JGW101" s="53"/>
      <c r="JGX101" s="53"/>
      <c r="JGY101" s="53"/>
      <c r="JGZ101" s="53"/>
      <c r="JHA101" s="53"/>
      <c r="JHB101" s="53"/>
      <c r="JHC101" s="53"/>
      <c r="JHD101" s="53"/>
      <c r="JHE101" s="53"/>
      <c r="JHF101" s="53"/>
      <c r="JHG101" s="53"/>
      <c r="JHH101" s="53"/>
      <c r="JHI101" s="53"/>
      <c r="JHJ101" s="53"/>
      <c r="JHK101" s="53"/>
      <c r="JHL101" s="53"/>
      <c r="JHM101" s="53"/>
      <c r="JHN101" s="53"/>
      <c r="JHO101" s="53"/>
      <c r="JHP101" s="53"/>
      <c r="JHQ101" s="53"/>
      <c r="JHR101" s="53"/>
      <c r="JHS101" s="53"/>
      <c r="JHT101" s="53"/>
      <c r="JHU101" s="53"/>
      <c r="JHV101" s="53"/>
      <c r="JHW101" s="53"/>
      <c r="JHX101" s="53"/>
      <c r="JHY101" s="53"/>
      <c r="JHZ101" s="53"/>
      <c r="JIA101" s="53"/>
      <c r="JIB101" s="53"/>
      <c r="JIC101" s="53"/>
      <c r="JID101" s="53"/>
      <c r="JIE101" s="53"/>
      <c r="JIF101" s="53"/>
      <c r="JIG101" s="53"/>
      <c r="JIH101" s="53"/>
      <c r="JII101" s="53"/>
      <c r="JIJ101" s="53"/>
      <c r="JIK101" s="53"/>
      <c r="JIL101" s="53"/>
      <c r="JIM101" s="53"/>
      <c r="JIN101" s="53"/>
      <c r="JIO101" s="53"/>
      <c r="JIP101" s="53"/>
      <c r="JIQ101" s="53"/>
      <c r="JIR101" s="53"/>
      <c r="JIS101" s="53"/>
      <c r="JIT101" s="53"/>
      <c r="JIU101" s="53"/>
      <c r="JIV101" s="53"/>
      <c r="JIW101" s="53"/>
      <c r="JIX101" s="53"/>
      <c r="JIY101" s="53"/>
      <c r="JIZ101" s="53"/>
      <c r="JJA101" s="53"/>
      <c r="JJB101" s="53"/>
      <c r="JJC101" s="53"/>
      <c r="JJD101" s="53"/>
      <c r="JJE101" s="53"/>
      <c r="JJF101" s="53"/>
      <c r="JJG101" s="53"/>
      <c r="JJH101" s="53"/>
      <c r="JJI101" s="53"/>
      <c r="JJJ101" s="53"/>
      <c r="JJK101" s="53"/>
      <c r="JJL101" s="53"/>
      <c r="JJM101" s="53"/>
      <c r="JJN101" s="53"/>
      <c r="JJO101" s="53"/>
      <c r="JJP101" s="53"/>
      <c r="JJQ101" s="53"/>
      <c r="JJR101" s="53"/>
      <c r="JJS101" s="53"/>
      <c r="JJT101" s="53"/>
      <c r="JJU101" s="53"/>
      <c r="JJV101" s="53"/>
      <c r="JJW101" s="53"/>
      <c r="JJX101" s="53"/>
      <c r="JJY101" s="53"/>
      <c r="JJZ101" s="53"/>
      <c r="JKA101" s="53"/>
      <c r="JKB101" s="53"/>
      <c r="JKC101" s="53"/>
      <c r="JKD101" s="53"/>
      <c r="JKE101" s="53"/>
      <c r="JKF101" s="53"/>
      <c r="JKG101" s="53"/>
      <c r="JKH101" s="53"/>
      <c r="JKI101" s="53"/>
      <c r="JKJ101" s="53"/>
      <c r="JKK101" s="53"/>
      <c r="JKL101" s="53"/>
      <c r="JKM101" s="53"/>
      <c r="JKN101" s="53"/>
      <c r="JKO101" s="53"/>
      <c r="JKP101" s="53"/>
      <c r="JKQ101" s="53"/>
      <c r="JKR101" s="53"/>
      <c r="JKS101" s="53"/>
      <c r="JKT101" s="53"/>
      <c r="JKU101" s="53"/>
      <c r="JKV101" s="53"/>
      <c r="JKW101" s="53"/>
      <c r="JKX101" s="53"/>
      <c r="JKY101" s="53"/>
      <c r="JKZ101" s="53"/>
      <c r="JLA101" s="53"/>
      <c r="JLB101" s="53"/>
      <c r="JLC101" s="53"/>
      <c r="JLD101" s="53"/>
      <c r="JLE101" s="53"/>
      <c r="JLF101" s="53"/>
      <c r="JLG101" s="53"/>
      <c r="JLH101" s="53"/>
      <c r="JLI101" s="53"/>
      <c r="JLJ101" s="53"/>
      <c r="JLK101" s="53"/>
      <c r="JLL101" s="53"/>
      <c r="JLM101" s="53"/>
      <c r="JLN101" s="53"/>
      <c r="JLO101" s="53"/>
      <c r="JLP101" s="53"/>
      <c r="JLQ101" s="53"/>
      <c r="JLR101" s="53"/>
      <c r="JLS101" s="53"/>
      <c r="JLT101" s="53"/>
      <c r="JLU101" s="53"/>
      <c r="JLV101" s="53"/>
      <c r="JLW101" s="53"/>
      <c r="JLX101" s="53"/>
      <c r="JLY101" s="53"/>
      <c r="JLZ101" s="53"/>
      <c r="JMA101" s="53"/>
      <c r="JMB101" s="53"/>
      <c r="JMC101" s="53"/>
      <c r="JMD101" s="53"/>
      <c r="JME101" s="53"/>
      <c r="JMF101" s="53"/>
      <c r="JMG101" s="53"/>
      <c r="JMH101" s="53"/>
      <c r="JMI101" s="53"/>
      <c r="JMJ101" s="53"/>
      <c r="JMK101" s="53"/>
      <c r="JML101" s="53"/>
      <c r="JMM101" s="53"/>
      <c r="JMN101" s="53"/>
      <c r="JMO101" s="53"/>
      <c r="JMP101" s="53"/>
      <c r="JMQ101" s="53"/>
      <c r="JMR101" s="53"/>
      <c r="JMS101" s="53"/>
      <c r="JMT101" s="53"/>
      <c r="JMU101" s="53"/>
      <c r="JMV101" s="53"/>
      <c r="JMW101" s="53"/>
      <c r="JMX101" s="53"/>
      <c r="JMY101" s="53"/>
      <c r="JMZ101" s="53"/>
      <c r="JNA101" s="53"/>
      <c r="JNB101" s="53"/>
      <c r="JNC101" s="53"/>
      <c r="JND101" s="53"/>
      <c r="JNE101" s="53"/>
      <c r="JNF101" s="53"/>
      <c r="JNG101" s="53"/>
      <c r="JNH101" s="53"/>
      <c r="JNI101" s="53"/>
      <c r="JNJ101" s="53"/>
      <c r="JNK101" s="53"/>
      <c r="JNL101" s="53"/>
      <c r="JNM101" s="53"/>
      <c r="JNN101" s="53"/>
      <c r="JNO101" s="53"/>
      <c r="JNP101" s="53"/>
      <c r="JNQ101" s="53"/>
      <c r="JNR101" s="53"/>
      <c r="JNS101" s="53"/>
      <c r="JNT101" s="53"/>
      <c r="JNU101" s="53"/>
      <c r="JNV101" s="53"/>
      <c r="JNW101" s="53"/>
      <c r="JNX101" s="53"/>
      <c r="JNY101" s="53"/>
      <c r="JNZ101" s="53"/>
      <c r="JOA101" s="53"/>
      <c r="JOB101" s="53"/>
      <c r="JOC101" s="53"/>
      <c r="JOD101" s="53"/>
      <c r="JOE101" s="53"/>
      <c r="JOF101" s="53"/>
      <c r="JOG101" s="53"/>
      <c r="JOH101" s="53"/>
      <c r="JOI101" s="53"/>
      <c r="JOJ101" s="53"/>
      <c r="JOK101" s="53"/>
      <c r="JOL101" s="53"/>
      <c r="JOM101" s="53"/>
      <c r="JON101" s="53"/>
      <c r="JOO101" s="53"/>
      <c r="JOP101" s="53"/>
      <c r="JOQ101" s="53"/>
      <c r="JOR101" s="53"/>
      <c r="JOS101" s="53"/>
      <c r="JOT101" s="53"/>
      <c r="JOU101" s="53"/>
      <c r="JOV101" s="53"/>
      <c r="JOW101" s="53"/>
      <c r="JOX101" s="53"/>
      <c r="JOY101" s="53"/>
      <c r="JOZ101" s="53"/>
      <c r="JPA101" s="53"/>
      <c r="JPB101" s="53"/>
      <c r="JPC101" s="53"/>
      <c r="JPD101" s="53"/>
      <c r="JPE101" s="53"/>
      <c r="JPF101" s="53"/>
      <c r="JPG101" s="53"/>
      <c r="JPH101" s="53"/>
      <c r="JPI101" s="53"/>
      <c r="JPJ101" s="53"/>
      <c r="JPK101" s="53"/>
      <c r="JPL101" s="53"/>
      <c r="JPM101" s="53"/>
      <c r="JPN101" s="53"/>
      <c r="JPO101" s="53"/>
      <c r="JPP101" s="53"/>
      <c r="JPQ101" s="53"/>
      <c r="JPR101" s="53"/>
      <c r="JPS101" s="53"/>
      <c r="JPT101" s="53"/>
      <c r="JPU101" s="53"/>
      <c r="JPV101" s="53"/>
      <c r="JPW101" s="53"/>
      <c r="JPX101" s="53"/>
      <c r="JPY101" s="53"/>
      <c r="JPZ101" s="53"/>
      <c r="JQA101" s="53"/>
      <c r="JQB101" s="53"/>
      <c r="JQC101" s="53"/>
      <c r="JQD101" s="53"/>
      <c r="JQE101" s="53"/>
      <c r="JQF101" s="53"/>
      <c r="JQG101" s="53"/>
      <c r="JQH101" s="53"/>
      <c r="JQI101" s="53"/>
      <c r="JQJ101" s="53"/>
      <c r="JQK101" s="53"/>
      <c r="JQL101" s="53"/>
      <c r="JQM101" s="53"/>
      <c r="JQN101" s="53"/>
      <c r="JQO101" s="53"/>
      <c r="JQP101" s="53"/>
      <c r="JQQ101" s="53"/>
      <c r="JQR101" s="53"/>
      <c r="JQS101" s="53"/>
      <c r="JQT101" s="53"/>
      <c r="JQU101" s="53"/>
      <c r="JQV101" s="53"/>
      <c r="JQW101" s="53"/>
      <c r="JQX101" s="53"/>
      <c r="JQY101" s="53"/>
      <c r="JQZ101" s="53"/>
      <c r="JRA101" s="53"/>
      <c r="JRB101" s="53"/>
      <c r="JRC101" s="53"/>
      <c r="JRD101" s="53"/>
      <c r="JRE101" s="53"/>
      <c r="JRF101" s="53"/>
      <c r="JRG101" s="53"/>
      <c r="JRH101" s="53"/>
      <c r="JRI101" s="53"/>
      <c r="JRJ101" s="53"/>
      <c r="JRK101" s="53"/>
      <c r="JRL101" s="53"/>
      <c r="JRM101" s="53"/>
      <c r="JRN101" s="53"/>
      <c r="JRO101" s="53"/>
      <c r="JRP101" s="53"/>
      <c r="JRQ101" s="53"/>
      <c r="JRR101" s="53"/>
      <c r="JRS101" s="53"/>
      <c r="JRT101" s="53"/>
      <c r="JRU101" s="53"/>
      <c r="JRV101" s="53"/>
      <c r="JRW101" s="53"/>
      <c r="JRX101" s="53"/>
      <c r="JRY101" s="53"/>
      <c r="JRZ101" s="53"/>
      <c r="JSA101" s="53"/>
      <c r="JSB101" s="53"/>
      <c r="JSC101" s="53"/>
      <c r="JSD101" s="53"/>
      <c r="JSE101" s="53"/>
      <c r="JSF101" s="53"/>
      <c r="JSG101" s="53"/>
      <c r="JSH101" s="53"/>
      <c r="JSI101" s="53"/>
      <c r="JSJ101" s="53"/>
      <c r="JSK101" s="53"/>
      <c r="JSL101" s="53"/>
      <c r="JSM101" s="53"/>
      <c r="JSN101" s="53"/>
      <c r="JSO101" s="53"/>
      <c r="JSP101" s="53"/>
      <c r="JSQ101" s="53"/>
      <c r="JSR101" s="53"/>
      <c r="JSS101" s="53"/>
      <c r="JST101" s="53"/>
      <c r="JSU101" s="53"/>
      <c r="JSV101" s="53"/>
      <c r="JSW101" s="53"/>
      <c r="JSX101" s="53"/>
      <c r="JSY101" s="53"/>
      <c r="JSZ101" s="53"/>
      <c r="JTA101" s="53"/>
      <c r="JTB101" s="53"/>
      <c r="JTC101" s="53"/>
      <c r="JTD101" s="53"/>
      <c r="JTE101" s="53"/>
      <c r="JTF101" s="53"/>
      <c r="JTG101" s="53"/>
      <c r="JTH101" s="53"/>
      <c r="JTI101" s="53"/>
      <c r="JTJ101" s="53"/>
      <c r="JTK101" s="53"/>
      <c r="JTL101" s="53"/>
      <c r="JTM101" s="53"/>
      <c r="JTN101" s="53"/>
      <c r="JTO101" s="53"/>
      <c r="JTP101" s="53"/>
      <c r="JTQ101" s="53"/>
      <c r="JTR101" s="53"/>
      <c r="JTS101" s="53"/>
      <c r="JTT101" s="53"/>
      <c r="JTU101" s="53"/>
      <c r="JTV101" s="53"/>
      <c r="JTW101" s="53"/>
      <c r="JTX101" s="53"/>
      <c r="JTY101" s="53"/>
      <c r="JTZ101" s="53"/>
      <c r="JUA101" s="53"/>
      <c r="JUB101" s="53"/>
      <c r="JUC101" s="53"/>
      <c r="JUD101" s="53"/>
      <c r="JUE101" s="53"/>
      <c r="JUF101" s="53"/>
      <c r="JUG101" s="53"/>
      <c r="JUH101" s="53"/>
      <c r="JUI101" s="53"/>
      <c r="JUJ101" s="53"/>
      <c r="JUK101" s="53"/>
      <c r="JUL101" s="53"/>
      <c r="JUM101" s="53"/>
      <c r="JUN101" s="53"/>
      <c r="JUO101" s="53"/>
      <c r="JUP101" s="53"/>
      <c r="JUQ101" s="53"/>
      <c r="JUR101" s="53"/>
      <c r="JUS101" s="53"/>
      <c r="JUT101" s="53"/>
      <c r="JUU101" s="53"/>
      <c r="JUV101" s="53"/>
      <c r="JUW101" s="53"/>
      <c r="JUX101" s="53"/>
      <c r="JUY101" s="53"/>
      <c r="JUZ101" s="53"/>
      <c r="JVA101" s="53"/>
      <c r="JVB101" s="53"/>
      <c r="JVC101" s="53"/>
      <c r="JVD101" s="53"/>
      <c r="JVE101" s="53"/>
      <c r="JVF101" s="53"/>
      <c r="JVG101" s="53"/>
      <c r="JVH101" s="53"/>
      <c r="JVI101" s="53"/>
      <c r="JVJ101" s="53"/>
      <c r="JVK101" s="53"/>
      <c r="JVL101" s="53"/>
      <c r="JVM101" s="53"/>
      <c r="JVN101" s="53"/>
      <c r="JVO101" s="53"/>
      <c r="JVP101" s="53"/>
      <c r="JVQ101" s="53"/>
      <c r="JVR101" s="53"/>
      <c r="JVS101" s="53"/>
      <c r="JVT101" s="53"/>
      <c r="JVU101" s="53"/>
      <c r="JVV101" s="53"/>
      <c r="JVW101" s="53"/>
      <c r="JVX101" s="53"/>
      <c r="JVY101" s="53"/>
      <c r="JVZ101" s="53"/>
      <c r="JWA101" s="53"/>
      <c r="JWB101" s="53"/>
      <c r="JWC101" s="53"/>
      <c r="JWD101" s="53"/>
      <c r="JWE101" s="53"/>
      <c r="JWF101" s="53"/>
      <c r="JWG101" s="53"/>
      <c r="JWH101" s="53"/>
      <c r="JWI101" s="53"/>
      <c r="JWJ101" s="53"/>
      <c r="JWK101" s="53"/>
      <c r="JWL101" s="53"/>
      <c r="JWM101" s="53"/>
      <c r="JWN101" s="53"/>
      <c r="JWO101" s="53"/>
      <c r="JWP101" s="53"/>
      <c r="JWQ101" s="53"/>
      <c r="JWR101" s="53"/>
      <c r="JWS101" s="53"/>
      <c r="JWT101" s="53"/>
      <c r="JWU101" s="53"/>
      <c r="JWV101" s="53"/>
      <c r="JWW101" s="53"/>
      <c r="JWX101" s="53"/>
      <c r="JWY101" s="53"/>
      <c r="JWZ101" s="53"/>
      <c r="JXA101" s="53"/>
      <c r="JXB101" s="53"/>
      <c r="JXC101" s="53"/>
      <c r="JXD101" s="53"/>
      <c r="JXE101" s="53"/>
      <c r="JXF101" s="53"/>
      <c r="JXG101" s="53"/>
      <c r="JXH101" s="53"/>
      <c r="JXI101" s="53"/>
      <c r="JXJ101" s="53"/>
      <c r="JXK101" s="53"/>
      <c r="JXL101" s="53"/>
      <c r="JXM101" s="53"/>
      <c r="JXN101" s="53"/>
      <c r="JXO101" s="53"/>
      <c r="JXP101" s="53"/>
      <c r="JXQ101" s="53"/>
      <c r="JXR101" s="53"/>
      <c r="JXS101" s="53"/>
      <c r="JXT101" s="53"/>
      <c r="JXU101" s="53"/>
      <c r="JXV101" s="53"/>
      <c r="JXW101" s="53"/>
      <c r="JXX101" s="53"/>
      <c r="JXY101" s="53"/>
      <c r="JXZ101" s="53"/>
      <c r="JYA101" s="53"/>
      <c r="JYB101" s="53"/>
      <c r="JYC101" s="53"/>
      <c r="JYD101" s="53"/>
      <c r="JYE101" s="53"/>
      <c r="JYF101" s="53"/>
      <c r="JYG101" s="53"/>
      <c r="JYH101" s="53"/>
      <c r="JYI101" s="53"/>
      <c r="JYJ101" s="53"/>
      <c r="JYK101" s="53"/>
      <c r="JYL101" s="53"/>
      <c r="JYM101" s="53"/>
      <c r="JYN101" s="53"/>
      <c r="JYO101" s="53"/>
      <c r="JYP101" s="53"/>
      <c r="JYQ101" s="53"/>
      <c r="JYR101" s="53"/>
      <c r="JYS101" s="53"/>
      <c r="JYT101" s="53"/>
      <c r="JYU101" s="53"/>
      <c r="JYV101" s="53"/>
      <c r="JYW101" s="53"/>
      <c r="JYX101" s="53"/>
      <c r="JYY101" s="53"/>
      <c r="JYZ101" s="53"/>
      <c r="JZA101" s="53"/>
      <c r="JZB101" s="53"/>
      <c r="JZC101" s="53"/>
      <c r="JZD101" s="53"/>
      <c r="JZE101" s="53"/>
      <c r="JZF101" s="53"/>
      <c r="JZG101" s="53"/>
      <c r="JZH101" s="53"/>
      <c r="JZI101" s="53"/>
      <c r="JZJ101" s="53"/>
      <c r="JZK101" s="53"/>
      <c r="JZL101" s="53"/>
      <c r="JZM101" s="53"/>
      <c r="JZN101" s="53"/>
      <c r="JZO101" s="53"/>
      <c r="JZP101" s="53"/>
      <c r="JZQ101" s="53"/>
      <c r="JZR101" s="53"/>
      <c r="JZS101" s="53"/>
      <c r="JZT101" s="53"/>
      <c r="JZU101" s="53"/>
      <c r="JZV101" s="53"/>
      <c r="JZW101" s="53"/>
      <c r="JZX101" s="53"/>
      <c r="JZY101" s="53"/>
      <c r="JZZ101" s="53"/>
      <c r="KAA101" s="53"/>
      <c r="KAB101" s="53"/>
      <c r="KAC101" s="53"/>
      <c r="KAD101" s="53"/>
      <c r="KAE101" s="53"/>
      <c r="KAF101" s="53"/>
      <c r="KAG101" s="53"/>
      <c r="KAH101" s="53"/>
      <c r="KAI101" s="53"/>
      <c r="KAJ101" s="53"/>
      <c r="KAK101" s="53"/>
      <c r="KAL101" s="53"/>
      <c r="KAM101" s="53"/>
      <c r="KAN101" s="53"/>
      <c r="KAO101" s="53"/>
      <c r="KAP101" s="53"/>
      <c r="KAQ101" s="53"/>
      <c r="KAR101" s="53"/>
      <c r="KAS101" s="53"/>
      <c r="KAT101" s="53"/>
      <c r="KAU101" s="53"/>
      <c r="KAV101" s="53"/>
      <c r="KAW101" s="53"/>
      <c r="KAX101" s="53"/>
      <c r="KAY101" s="53"/>
      <c r="KAZ101" s="53"/>
      <c r="KBA101" s="53"/>
      <c r="KBB101" s="53"/>
      <c r="KBC101" s="53"/>
      <c r="KBD101" s="53"/>
      <c r="KBE101" s="53"/>
      <c r="KBF101" s="53"/>
      <c r="KBG101" s="53"/>
      <c r="KBH101" s="53"/>
      <c r="KBI101" s="53"/>
      <c r="KBJ101" s="53"/>
      <c r="KBK101" s="53"/>
      <c r="KBL101" s="53"/>
      <c r="KBM101" s="53"/>
      <c r="KBN101" s="53"/>
      <c r="KBO101" s="53"/>
      <c r="KBP101" s="53"/>
      <c r="KBQ101" s="53"/>
      <c r="KBR101" s="53"/>
      <c r="KBS101" s="53"/>
      <c r="KBT101" s="53"/>
      <c r="KBU101" s="53"/>
      <c r="KBV101" s="53"/>
      <c r="KBW101" s="53"/>
      <c r="KBX101" s="53"/>
      <c r="KBY101" s="53"/>
      <c r="KBZ101" s="53"/>
      <c r="KCA101" s="53"/>
      <c r="KCB101" s="53"/>
      <c r="KCC101" s="53"/>
      <c r="KCD101" s="53"/>
      <c r="KCE101" s="53"/>
      <c r="KCF101" s="53"/>
      <c r="KCG101" s="53"/>
      <c r="KCH101" s="53"/>
      <c r="KCI101" s="53"/>
      <c r="KCJ101" s="53"/>
      <c r="KCK101" s="53"/>
      <c r="KCL101" s="53"/>
      <c r="KCM101" s="53"/>
      <c r="KCN101" s="53"/>
      <c r="KCO101" s="53"/>
      <c r="KCP101" s="53"/>
      <c r="KCQ101" s="53"/>
      <c r="KCR101" s="53"/>
      <c r="KCS101" s="53"/>
      <c r="KCT101" s="53"/>
      <c r="KCU101" s="53"/>
      <c r="KCV101" s="53"/>
      <c r="KCW101" s="53"/>
      <c r="KCX101" s="53"/>
      <c r="KCY101" s="53"/>
      <c r="KCZ101" s="53"/>
      <c r="KDA101" s="53"/>
      <c r="KDB101" s="53"/>
      <c r="KDC101" s="53"/>
      <c r="KDD101" s="53"/>
      <c r="KDE101" s="53"/>
      <c r="KDF101" s="53"/>
      <c r="KDG101" s="53"/>
      <c r="KDH101" s="53"/>
      <c r="KDI101" s="53"/>
      <c r="KDJ101" s="53"/>
      <c r="KDK101" s="53"/>
      <c r="KDL101" s="53"/>
      <c r="KDM101" s="53"/>
      <c r="KDN101" s="53"/>
      <c r="KDO101" s="53"/>
      <c r="KDP101" s="53"/>
      <c r="KDQ101" s="53"/>
      <c r="KDR101" s="53"/>
      <c r="KDS101" s="53"/>
      <c r="KDT101" s="53"/>
      <c r="KDU101" s="53"/>
      <c r="KDV101" s="53"/>
      <c r="KDW101" s="53"/>
      <c r="KDX101" s="53"/>
      <c r="KDY101" s="53"/>
      <c r="KDZ101" s="53"/>
      <c r="KEA101" s="53"/>
      <c r="KEB101" s="53"/>
      <c r="KEC101" s="53"/>
      <c r="KED101" s="53"/>
      <c r="KEE101" s="53"/>
      <c r="KEF101" s="53"/>
      <c r="KEG101" s="53"/>
      <c r="KEH101" s="53"/>
      <c r="KEI101" s="53"/>
      <c r="KEJ101" s="53"/>
      <c r="KEK101" s="53"/>
      <c r="KEL101" s="53"/>
      <c r="KEM101" s="53"/>
      <c r="KEN101" s="53"/>
      <c r="KEO101" s="53"/>
      <c r="KEP101" s="53"/>
      <c r="KEQ101" s="53"/>
      <c r="KER101" s="53"/>
      <c r="KES101" s="53"/>
      <c r="KET101" s="53"/>
      <c r="KEU101" s="53"/>
      <c r="KEV101" s="53"/>
      <c r="KEW101" s="53"/>
      <c r="KEX101" s="53"/>
      <c r="KEY101" s="53"/>
      <c r="KEZ101" s="53"/>
      <c r="KFA101" s="53"/>
      <c r="KFB101" s="53"/>
      <c r="KFC101" s="53"/>
      <c r="KFD101" s="53"/>
      <c r="KFE101" s="53"/>
      <c r="KFF101" s="53"/>
      <c r="KFG101" s="53"/>
      <c r="KFH101" s="53"/>
      <c r="KFI101" s="53"/>
      <c r="KFJ101" s="53"/>
      <c r="KFK101" s="53"/>
      <c r="KFL101" s="53"/>
      <c r="KFM101" s="53"/>
      <c r="KFN101" s="53"/>
      <c r="KFO101" s="53"/>
      <c r="KFP101" s="53"/>
      <c r="KFQ101" s="53"/>
      <c r="KFR101" s="53"/>
      <c r="KFS101" s="53"/>
      <c r="KFT101" s="53"/>
      <c r="KFU101" s="53"/>
      <c r="KFV101" s="53"/>
      <c r="KFW101" s="53"/>
      <c r="KFX101" s="53"/>
      <c r="KFY101" s="53"/>
      <c r="KFZ101" s="53"/>
      <c r="KGA101" s="53"/>
      <c r="KGB101" s="53"/>
      <c r="KGC101" s="53"/>
      <c r="KGD101" s="53"/>
      <c r="KGE101" s="53"/>
      <c r="KGF101" s="53"/>
      <c r="KGG101" s="53"/>
      <c r="KGH101" s="53"/>
      <c r="KGI101" s="53"/>
      <c r="KGJ101" s="53"/>
      <c r="KGK101" s="53"/>
      <c r="KGL101" s="53"/>
      <c r="KGM101" s="53"/>
      <c r="KGN101" s="53"/>
      <c r="KGO101" s="53"/>
      <c r="KGP101" s="53"/>
      <c r="KGQ101" s="53"/>
      <c r="KGR101" s="53"/>
      <c r="KGS101" s="53"/>
      <c r="KGT101" s="53"/>
      <c r="KGU101" s="53"/>
      <c r="KGV101" s="53"/>
      <c r="KGW101" s="53"/>
      <c r="KGX101" s="53"/>
      <c r="KGY101" s="53"/>
      <c r="KGZ101" s="53"/>
      <c r="KHA101" s="53"/>
      <c r="KHB101" s="53"/>
      <c r="KHC101" s="53"/>
      <c r="KHD101" s="53"/>
      <c r="KHE101" s="53"/>
      <c r="KHF101" s="53"/>
      <c r="KHG101" s="53"/>
      <c r="KHH101" s="53"/>
      <c r="KHI101" s="53"/>
      <c r="KHJ101" s="53"/>
      <c r="KHK101" s="53"/>
      <c r="KHL101" s="53"/>
      <c r="KHM101" s="53"/>
      <c r="KHN101" s="53"/>
      <c r="KHO101" s="53"/>
      <c r="KHP101" s="53"/>
      <c r="KHQ101" s="53"/>
      <c r="KHR101" s="53"/>
      <c r="KHS101" s="53"/>
      <c r="KHT101" s="53"/>
      <c r="KHU101" s="53"/>
      <c r="KHV101" s="53"/>
      <c r="KHW101" s="53"/>
      <c r="KHX101" s="53"/>
      <c r="KHY101" s="53"/>
      <c r="KHZ101" s="53"/>
      <c r="KIA101" s="53"/>
      <c r="KIB101" s="53"/>
      <c r="KIC101" s="53"/>
      <c r="KID101" s="53"/>
      <c r="KIE101" s="53"/>
      <c r="KIF101" s="53"/>
      <c r="KIG101" s="53"/>
      <c r="KIH101" s="53"/>
      <c r="KII101" s="53"/>
      <c r="KIJ101" s="53"/>
      <c r="KIK101" s="53"/>
      <c r="KIL101" s="53"/>
      <c r="KIM101" s="53"/>
      <c r="KIN101" s="53"/>
      <c r="KIO101" s="53"/>
      <c r="KIP101" s="53"/>
      <c r="KIQ101" s="53"/>
      <c r="KIR101" s="53"/>
      <c r="KIS101" s="53"/>
      <c r="KIT101" s="53"/>
      <c r="KIU101" s="53"/>
      <c r="KIV101" s="53"/>
      <c r="KIW101" s="53"/>
      <c r="KIX101" s="53"/>
      <c r="KIY101" s="53"/>
      <c r="KIZ101" s="53"/>
      <c r="KJA101" s="53"/>
      <c r="KJB101" s="53"/>
      <c r="KJC101" s="53"/>
      <c r="KJD101" s="53"/>
      <c r="KJE101" s="53"/>
      <c r="KJF101" s="53"/>
      <c r="KJG101" s="53"/>
      <c r="KJH101" s="53"/>
      <c r="KJI101" s="53"/>
      <c r="KJJ101" s="53"/>
      <c r="KJK101" s="53"/>
      <c r="KJL101" s="53"/>
      <c r="KJM101" s="53"/>
      <c r="KJN101" s="53"/>
      <c r="KJO101" s="53"/>
      <c r="KJP101" s="53"/>
      <c r="KJQ101" s="53"/>
      <c r="KJR101" s="53"/>
      <c r="KJS101" s="53"/>
      <c r="KJT101" s="53"/>
      <c r="KJU101" s="53"/>
      <c r="KJV101" s="53"/>
      <c r="KJW101" s="53"/>
      <c r="KJX101" s="53"/>
      <c r="KJY101" s="53"/>
      <c r="KJZ101" s="53"/>
      <c r="KKA101" s="53"/>
      <c r="KKB101" s="53"/>
      <c r="KKC101" s="53"/>
      <c r="KKD101" s="53"/>
      <c r="KKE101" s="53"/>
      <c r="KKF101" s="53"/>
      <c r="KKG101" s="53"/>
      <c r="KKH101" s="53"/>
      <c r="KKI101" s="53"/>
      <c r="KKJ101" s="53"/>
      <c r="KKK101" s="53"/>
      <c r="KKL101" s="53"/>
      <c r="KKM101" s="53"/>
      <c r="KKN101" s="53"/>
      <c r="KKO101" s="53"/>
      <c r="KKP101" s="53"/>
      <c r="KKQ101" s="53"/>
      <c r="KKR101" s="53"/>
      <c r="KKS101" s="53"/>
      <c r="KKT101" s="53"/>
      <c r="KKU101" s="53"/>
      <c r="KKV101" s="53"/>
      <c r="KKW101" s="53"/>
      <c r="KKX101" s="53"/>
      <c r="KKY101" s="53"/>
      <c r="KKZ101" s="53"/>
      <c r="KLA101" s="53"/>
      <c r="KLB101" s="53"/>
      <c r="KLC101" s="53"/>
      <c r="KLD101" s="53"/>
      <c r="KLE101" s="53"/>
      <c r="KLF101" s="53"/>
      <c r="KLG101" s="53"/>
      <c r="KLH101" s="53"/>
      <c r="KLI101" s="53"/>
      <c r="KLJ101" s="53"/>
      <c r="KLK101" s="53"/>
      <c r="KLL101" s="53"/>
      <c r="KLM101" s="53"/>
      <c r="KLN101" s="53"/>
      <c r="KLO101" s="53"/>
      <c r="KLP101" s="53"/>
      <c r="KLQ101" s="53"/>
      <c r="KLR101" s="53"/>
      <c r="KLS101" s="53"/>
      <c r="KLT101" s="53"/>
      <c r="KLU101" s="53"/>
      <c r="KLV101" s="53"/>
      <c r="KLW101" s="53"/>
      <c r="KLX101" s="53"/>
      <c r="KLY101" s="53"/>
      <c r="KLZ101" s="53"/>
      <c r="KMA101" s="53"/>
      <c r="KMB101" s="53"/>
      <c r="KMC101" s="53"/>
      <c r="KMD101" s="53"/>
      <c r="KME101" s="53"/>
      <c r="KMF101" s="53"/>
      <c r="KMG101" s="53"/>
      <c r="KMH101" s="53"/>
      <c r="KMI101" s="53"/>
      <c r="KMJ101" s="53"/>
      <c r="KMK101" s="53"/>
      <c r="KML101" s="53"/>
      <c r="KMM101" s="53"/>
      <c r="KMN101" s="53"/>
      <c r="KMO101" s="53"/>
      <c r="KMP101" s="53"/>
      <c r="KMQ101" s="53"/>
      <c r="KMR101" s="53"/>
      <c r="KMS101" s="53"/>
      <c r="KMT101" s="53"/>
      <c r="KMU101" s="53"/>
      <c r="KMV101" s="53"/>
      <c r="KMW101" s="53"/>
      <c r="KMX101" s="53"/>
      <c r="KMY101" s="53"/>
      <c r="KMZ101" s="53"/>
      <c r="KNA101" s="53"/>
      <c r="KNB101" s="53"/>
      <c r="KNC101" s="53"/>
      <c r="KND101" s="53"/>
      <c r="KNE101" s="53"/>
      <c r="KNF101" s="53"/>
      <c r="KNG101" s="53"/>
      <c r="KNH101" s="53"/>
      <c r="KNI101" s="53"/>
      <c r="KNJ101" s="53"/>
      <c r="KNK101" s="53"/>
      <c r="KNL101" s="53"/>
      <c r="KNM101" s="53"/>
      <c r="KNN101" s="53"/>
      <c r="KNO101" s="53"/>
      <c r="KNP101" s="53"/>
      <c r="KNQ101" s="53"/>
      <c r="KNR101" s="53"/>
      <c r="KNS101" s="53"/>
      <c r="KNT101" s="53"/>
      <c r="KNU101" s="53"/>
      <c r="KNV101" s="53"/>
      <c r="KNW101" s="53"/>
      <c r="KNX101" s="53"/>
      <c r="KNY101" s="53"/>
      <c r="KNZ101" s="53"/>
      <c r="KOA101" s="53"/>
      <c r="KOB101" s="53"/>
      <c r="KOC101" s="53"/>
      <c r="KOD101" s="53"/>
      <c r="KOE101" s="53"/>
      <c r="KOF101" s="53"/>
      <c r="KOG101" s="53"/>
      <c r="KOH101" s="53"/>
      <c r="KOI101" s="53"/>
      <c r="KOJ101" s="53"/>
      <c r="KOK101" s="53"/>
      <c r="KOL101" s="53"/>
      <c r="KOM101" s="53"/>
      <c r="KON101" s="53"/>
      <c r="KOO101" s="53"/>
      <c r="KOP101" s="53"/>
      <c r="KOQ101" s="53"/>
      <c r="KOR101" s="53"/>
      <c r="KOS101" s="53"/>
      <c r="KOT101" s="53"/>
      <c r="KOU101" s="53"/>
      <c r="KOV101" s="53"/>
      <c r="KOW101" s="53"/>
      <c r="KOX101" s="53"/>
      <c r="KOY101" s="53"/>
      <c r="KOZ101" s="53"/>
      <c r="KPA101" s="53"/>
      <c r="KPB101" s="53"/>
      <c r="KPC101" s="53"/>
      <c r="KPD101" s="53"/>
      <c r="KPE101" s="53"/>
      <c r="KPF101" s="53"/>
      <c r="KPG101" s="53"/>
      <c r="KPH101" s="53"/>
      <c r="KPI101" s="53"/>
      <c r="KPJ101" s="53"/>
      <c r="KPK101" s="53"/>
      <c r="KPL101" s="53"/>
      <c r="KPM101" s="53"/>
      <c r="KPN101" s="53"/>
      <c r="KPO101" s="53"/>
      <c r="KPP101" s="53"/>
      <c r="KPQ101" s="53"/>
      <c r="KPR101" s="53"/>
      <c r="KPS101" s="53"/>
      <c r="KPT101" s="53"/>
      <c r="KPU101" s="53"/>
      <c r="KPV101" s="53"/>
      <c r="KPW101" s="53"/>
      <c r="KPX101" s="53"/>
      <c r="KPY101" s="53"/>
      <c r="KPZ101" s="53"/>
      <c r="KQA101" s="53"/>
      <c r="KQB101" s="53"/>
      <c r="KQC101" s="53"/>
      <c r="KQD101" s="53"/>
      <c r="KQE101" s="53"/>
      <c r="KQF101" s="53"/>
      <c r="KQG101" s="53"/>
      <c r="KQH101" s="53"/>
      <c r="KQI101" s="53"/>
      <c r="KQJ101" s="53"/>
      <c r="KQK101" s="53"/>
      <c r="KQL101" s="53"/>
      <c r="KQM101" s="53"/>
      <c r="KQN101" s="53"/>
      <c r="KQO101" s="53"/>
      <c r="KQP101" s="53"/>
      <c r="KQQ101" s="53"/>
      <c r="KQR101" s="53"/>
      <c r="KQS101" s="53"/>
      <c r="KQT101" s="53"/>
      <c r="KQU101" s="53"/>
      <c r="KQV101" s="53"/>
      <c r="KQW101" s="53"/>
      <c r="KQX101" s="53"/>
      <c r="KQY101" s="53"/>
      <c r="KQZ101" s="53"/>
      <c r="KRA101" s="53"/>
      <c r="KRB101" s="53"/>
      <c r="KRC101" s="53"/>
      <c r="KRD101" s="53"/>
      <c r="KRE101" s="53"/>
      <c r="KRF101" s="53"/>
      <c r="KRG101" s="53"/>
      <c r="KRH101" s="53"/>
      <c r="KRI101" s="53"/>
      <c r="KRJ101" s="53"/>
      <c r="KRK101" s="53"/>
      <c r="KRL101" s="53"/>
      <c r="KRM101" s="53"/>
      <c r="KRN101" s="53"/>
      <c r="KRO101" s="53"/>
      <c r="KRP101" s="53"/>
      <c r="KRQ101" s="53"/>
      <c r="KRR101" s="53"/>
      <c r="KRS101" s="53"/>
      <c r="KRT101" s="53"/>
      <c r="KRU101" s="53"/>
      <c r="KRV101" s="53"/>
      <c r="KRW101" s="53"/>
      <c r="KRX101" s="53"/>
      <c r="KRY101" s="53"/>
      <c r="KRZ101" s="53"/>
      <c r="KSA101" s="53"/>
      <c r="KSB101" s="53"/>
      <c r="KSC101" s="53"/>
      <c r="KSD101" s="53"/>
      <c r="KSE101" s="53"/>
      <c r="KSF101" s="53"/>
      <c r="KSG101" s="53"/>
      <c r="KSH101" s="53"/>
      <c r="KSI101" s="53"/>
      <c r="KSJ101" s="53"/>
      <c r="KSK101" s="53"/>
      <c r="KSL101" s="53"/>
      <c r="KSM101" s="53"/>
      <c r="KSN101" s="53"/>
      <c r="KSO101" s="53"/>
      <c r="KSP101" s="53"/>
      <c r="KSQ101" s="53"/>
      <c r="KSR101" s="53"/>
      <c r="KSS101" s="53"/>
      <c r="KST101" s="53"/>
      <c r="KSU101" s="53"/>
      <c r="KSV101" s="53"/>
      <c r="KSW101" s="53"/>
      <c r="KSX101" s="53"/>
      <c r="KSY101" s="53"/>
      <c r="KSZ101" s="53"/>
      <c r="KTA101" s="53"/>
      <c r="KTB101" s="53"/>
      <c r="KTC101" s="53"/>
      <c r="KTD101" s="53"/>
      <c r="KTE101" s="53"/>
      <c r="KTF101" s="53"/>
      <c r="KTG101" s="53"/>
      <c r="KTH101" s="53"/>
      <c r="KTI101" s="53"/>
      <c r="KTJ101" s="53"/>
      <c r="KTK101" s="53"/>
      <c r="KTL101" s="53"/>
      <c r="KTM101" s="53"/>
      <c r="KTN101" s="53"/>
      <c r="KTO101" s="53"/>
      <c r="KTP101" s="53"/>
      <c r="KTQ101" s="53"/>
      <c r="KTR101" s="53"/>
      <c r="KTS101" s="53"/>
      <c r="KTT101" s="53"/>
      <c r="KTU101" s="53"/>
      <c r="KTV101" s="53"/>
      <c r="KTW101" s="53"/>
      <c r="KTX101" s="53"/>
      <c r="KTY101" s="53"/>
      <c r="KTZ101" s="53"/>
      <c r="KUA101" s="53"/>
      <c r="KUB101" s="53"/>
      <c r="KUC101" s="53"/>
      <c r="KUD101" s="53"/>
      <c r="KUE101" s="53"/>
      <c r="KUF101" s="53"/>
      <c r="KUG101" s="53"/>
      <c r="KUH101" s="53"/>
      <c r="KUI101" s="53"/>
      <c r="KUJ101" s="53"/>
      <c r="KUK101" s="53"/>
      <c r="KUL101" s="53"/>
      <c r="KUM101" s="53"/>
      <c r="KUN101" s="53"/>
      <c r="KUO101" s="53"/>
      <c r="KUP101" s="53"/>
      <c r="KUQ101" s="53"/>
      <c r="KUR101" s="53"/>
      <c r="KUS101" s="53"/>
      <c r="KUT101" s="53"/>
      <c r="KUU101" s="53"/>
      <c r="KUV101" s="53"/>
      <c r="KUW101" s="53"/>
      <c r="KUX101" s="53"/>
      <c r="KUY101" s="53"/>
      <c r="KUZ101" s="53"/>
      <c r="KVA101" s="53"/>
      <c r="KVB101" s="53"/>
      <c r="KVC101" s="53"/>
      <c r="KVD101" s="53"/>
      <c r="KVE101" s="53"/>
      <c r="KVF101" s="53"/>
      <c r="KVG101" s="53"/>
      <c r="KVH101" s="53"/>
      <c r="KVI101" s="53"/>
      <c r="KVJ101" s="53"/>
      <c r="KVK101" s="53"/>
      <c r="KVL101" s="53"/>
      <c r="KVM101" s="53"/>
      <c r="KVN101" s="53"/>
      <c r="KVO101" s="53"/>
      <c r="KVP101" s="53"/>
      <c r="KVQ101" s="53"/>
      <c r="KVR101" s="53"/>
      <c r="KVS101" s="53"/>
      <c r="KVT101" s="53"/>
      <c r="KVU101" s="53"/>
      <c r="KVV101" s="53"/>
      <c r="KVW101" s="53"/>
      <c r="KVX101" s="53"/>
      <c r="KVY101" s="53"/>
      <c r="KVZ101" s="53"/>
      <c r="KWA101" s="53"/>
      <c r="KWB101" s="53"/>
      <c r="KWC101" s="53"/>
      <c r="KWD101" s="53"/>
      <c r="KWE101" s="53"/>
      <c r="KWF101" s="53"/>
      <c r="KWG101" s="53"/>
      <c r="KWH101" s="53"/>
      <c r="KWI101" s="53"/>
      <c r="KWJ101" s="53"/>
      <c r="KWK101" s="53"/>
      <c r="KWL101" s="53"/>
      <c r="KWM101" s="53"/>
      <c r="KWN101" s="53"/>
      <c r="KWO101" s="53"/>
      <c r="KWP101" s="53"/>
      <c r="KWQ101" s="53"/>
      <c r="KWR101" s="53"/>
      <c r="KWS101" s="53"/>
      <c r="KWT101" s="53"/>
      <c r="KWU101" s="53"/>
      <c r="KWV101" s="53"/>
      <c r="KWW101" s="53"/>
      <c r="KWX101" s="53"/>
      <c r="KWY101" s="53"/>
      <c r="KWZ101" s="53"/>
      <c r="KXA101" s="53"/>
      <c r="KXB101" s="53"/>
      <c r="KXC101" s="53"/>
      <c r="KXD101" s="53"/>
      <c r="KXE101" s="53"/>
      <c r="KXF101" s="53"/>
      <c r="KXG101" s="53"/>
      <c r="KXH101" s="53"/>
      <c r="KXI101" s="53"/>
      <c r="KXJ101" s="53"/>
      <c r="KXK101" s="53"/>
      <c r="KXL101" s="53"/>
      <c r="KXM101" s="53"/>
      <c r="KXN101" s="53"/>
      <c r="KXO101" s="53"/>
      <c r="KXP101" s="53"/>
      <c r="KXQ101" s="53"/>
      <c r="KXR101" s="53"/>
      <c r="KXS101" s="53"/>
      <c r="KXT101" s="53"/>
      <c r="KXU101" s="53"/>
      <c r="KXV101" s="53"/>
      <c r="KXW101" s="53"/>
      <c r="KXX101" s="53"/>
      <c r="KXY101" s="53"/>
      <c r="KXZ101" s="53"/>
      <c r="KYA101" s="53"/>
      <c r="KYB101" s="53"/>
      <c r="KYC101" s="53"/>
      <c r="KYD101" s="53"/>
      <c r="KYE101" s="53"/>
      <c r="KYF101" s="53"/>
      <c r="KYG101" s="53"/>
      <c r="KYH101" s="53"/>
      <c r="KYI101" s="53"/>
      <c r="KYJ101" s="53"/>
      <c r="KYK101" s="53"/>
      <c r="KYL101" s="53"/>
      <c r="KYM101" s="53"/>
      <c r="KYN101" s="53"/>
      <c r="KYO101" s="53"/>
      <c r="KYP101" s="53"/>
      <c r="KYQ101" s="53"/>
      <c r="KYR101" s="53"/>
      <c r="KYS101" s="53"/>
      <c r="KYT101" s="53"/>
      <c r="KYU101" s="53"/>
      <c r="KYV101" s="53"/>
      <c r="KYW101" s="53"/>
      <c r="KYX101" s="53"/>
      <c r="KYY101" s="53"/>
      <c r="KYZ101" s="53"/>
      <c r="KZA101" s="53"/>
      <c r="KZB101" s="53"/>
      <c r="KZC101" s="53"/>
      <c r="KZD101" s="53"/>
      <c r="KZE101" s="53"/>
      <c r="KZF101" s="53"/>
      <c r="KZG101" s="53"/>
      <c r="KZH101" s="53"/>
      <c r="KZI101" s="53"/>
      <c r="KZJ101" s="53"/>
      <c r="KZK101" s="53"/>
      <c r="KZL101" s="53"/>
      <c r="KZM101" s="53"/>
      <c r="KZN101" s="53"/>
      <c r="KZO101" s="53"/>
      <c r="KZP101" s="53"/>
      <c r="KZQ101" s="53"/>
      <c r="KZR101" s="53"/>
      <c r="KZS101" s="53"/>
      <c r="KZT101" s="53"/>
      <c r="KZU101" s="53"/>
      <c r="KZV101" s="53"/>
      <c r="KZW101" s="53"/>
      <c r="KZX101" s="53"/>
      <c r="KZY101" s="53"/>
      <c r="KZZ101" s="53"/>
      <c r="LAA101" s="53"/>
      <c r="LAB101" s="53"/>
      <c r="LAC101" s="53"/>
      <c r="LAD101" s="53"/>
      <c r="LAE101" s="53"/>
      <c r="LAF101" s="53"/>
      <c r="LAG101" s="53"/>
      <c r="LAH101" s="53"/>
      <c r="LAI101" s="53"/>
      <c r="LAJ101" s="53"/>
      <c r="LAK101" s="53"/>
      <c r="LAL101" s="53"/>
      <c r="LAM101" s="53"/>
      <c r="LAN101" s="53"/>
      <c r="LAO101" s="53"/>
      <c r="LAP101" s="53"/>
      <c r="LAQ101" s="53"/>
      <c r="LAR101" s="53"/>
      <c r="LAS101" s="53"/>
      <c r="LAT101" s="53"/>
      <c r="LAU101" s="53"/>
      <c r="LAV101" s="53"/>
      <c r="LAW101" s="53"/>
      <c r="LAX101" s="53"/>
      <c r="LAY101" s="53"/>
      <c r="LAZ101" s="53"/>
      <c r="LBA101" s="53"/>
      <c r="LBB101" s="53"/>
      <c r="LBC101" s="53"/>
      <c r="LBD101" s="53"/>
      <c r="LBE101" s="53"/>
      <c r="LBF101" s="53"/>
      <c r="LBG101" s="53"/>
      <c r="LBH101" s="53"/>
      <c r="LBI101" s="53"/>
      <c r="LBJ101" s="53"/>
      <c r="LBK101" s="53"/>
      <c r="LBL101" s="53"/>
      <c r="LBM101" s="53"/>
      <c r="LBN101" s="53"/>
      <c r="LBO101" s="53"/>
      <c r="LBP101" s="53"/>
      <c r="LBQ101" s="53"/>
      <c r="LBR101" s="53"/>
      <c r="LBS101" s="53"/>
      <c r="LBT101" s="53"/>
      <c r="LBU101" s="53"/>
      <c r="LBV101" s="53"/>
      <c r="LBW101" s="53"/>
      <c r="LBX101" s="53"/>
      <c r="LBY101" s="53"/>
      <c r="LBZ101" s="53"/>
      <c r="LCA101" s="53"/>
      <c r="LCB101" s="53"/>
      <c r="LCC101" s="53"/>
      <c r="LCD101" s="53"/>
      <c r="LCE101" s="53"/>
      <c r="LCF101" s="53"/>
      <c r="LCG101" s="53"/>
      <c r="LCH101" s="53"/>
      <c r="LCI101" s="53"/>
      <c r="LCJ101" s="53"/>
      <c r="LCK101" s="53"/>
      <c r="LCL101" s="53"/>
      <c r="LCM101" s="53"/>
      <c r="LCN101" s="53"/>
      <c r="LCO101" s="53"/>
      <c r="LCP101" s="53"/>
      <c r="LCQ101" s="53"/>
      <c r="LCR101" s="53"/>
      <c r="LCS101" s="53"/>
      <c r="LCT101" s="53"/>
      <c r="LCU101" s="53"/>
      <c r="LCV101" s="53"/>
      <c r="LCW101" s="53"/>
      <c r="LCX101" s="53"/>
      <c r="LCY101" s="53"/>
      <c r="LCZ101" s="53"/>
      <c r="LDA101" s="53"/>
      <c r="LDB101" s="53"/>
      <c r="LDC101" s="53"/>
      <c r="LDD101" s="53"/>
      <c r="LDE101" s="53"/>
      <c r="LDF101" s="53"/>
      <c r="LDG101" s="53"/>
      <c r="LDH101" s="53"/>
      <c r="LDI101" s="53"/>
      <c r="LDJ101" s="53"/>
      <c r="LDK101" s="53"/>
      <c r="LDL101" s="53"/>
      <c r="LDM101" s="53"/>
      <c r="LDN101" s="53"/>
      <c r="LDO101" s="53"/>
      <c r="LDP101" s="53"/>
      <c r="LDQ101" s="53"/>
      <c r="LDR101" s="53"/>
      <c r="LDS101" s="53"/>
      <c r="LDT101" s="53"/>
      <c r="LDU101" s="53"/>
      <c r="LDV101" s="53"/>
      <c r="LDW101" s="53"/>
      <c r="LDX101" s="53"/>
      <c r="LDY101" s="53"/>
      <c r="LDZ101" s="53"/>
      <c r="LEA101" s="53"/>
      <c r="LEB101" s="53"/>
      <c r="LEC101" s="53"/>
      <c r="LED101" s="53"/>
      <c r="LEE101" s="53"/>
      <c r="LEF101" s="53"/>
      <c r="LEG101" s="53"/>
      <c r="LEH101" s="53"/>
      <c r="LEI101" s="53"/>
      <c r="LEJ101" s="53"/>
      <c r="LEK101" s="53"/>
      <c r="LEL101" s="53"/>
      <c r="LEM101" s="53"/>
      <c r="LEN101" s="53"/>
      <c r="LEO101" s="53"/>
      <c r="LEP101" s="53"/>
      <c r="LEQ101" s="53"/>
      <c r="LER101" s="53"/>
      <c r="LES101" s="53"/>
      <c r="LET101" s="53"/>
      <c r="LEU101" s="53"/>
      <c r="LEV101" s="53"/>
      <c r="LEW101" s="53"/>
      <c r="LEX101" s="53"/>
      <c r="LEY101" s="53"/>
      <c r="LEZ101" s="53"/>
      <c r="LFA101" s="53"/>
      <c r="LFB101" s="53"/>
      <c r="LFC101" s="53"/>
      <c r="LFD101" s="53"/>
      <c r="LFE101" s="53"/>
      <c r="LFF101" s="53"/>
      <c r="LFG101" s="53"/>
      <c r="LFH101" s="53"/>
      <c r="LFI101" s="53"/>
      <c r="LFJ101" s="53"/>
      <c r="LFK101" s="53"/>
      <c r="LFL101" s="53"/>
      <c r="LFM101" s="53"/>
      <c r="LFN101" s="53"/>
      <c r="LFO101" s="53"/>
      <c r="LFP101" s="53"/>
      <c r="LFQ101" s="53"/>
      <c r="LFR101" s="53"/>
      <c r="LFS101" s="53"/>
      <c r="LFT101" s="53"/>
      <c r="LFU101" s="53"/>
      <c r="LFV101" s="53"/>
      <c r="LFW101" s="53"/>
      <c r="LFX101" s="53"/>
      <c r="LFY101" s="53"/>
      <c r="LFZ101" s="53"/>
      <c r="LGA101" s="53"/>
      <c r="LGB101" s="53"/>
      <c r="LGC101" s="53"/>
      <c r="LGD101" s="53"/>
      <c r="LGE101" s="53"/>
      <c r="LGF101" s="53"/>
      <c r="LGG101" s="53"/>
      <c r="LGH101" s="53"/>
      <c r="LGI101" s="53"/>
      <c r="LGJ101" s="53"/>
      <c r="LGK101" s="53"/>
      <c r="LGL101" s="53"/>
      <c r="LGM101" s="53"/>
      <c r="LGN101" s="53"/>
      <c r="LGO101" s="53"/>
      <c r="LGP101" s="53"/>
      <c r="LGQ101" s="53"/>
      <c r="LGR101" s="53"/>
      <c r="LGS101" s="53"/>
      <c r="LGT101" s="53"/>
      <c r="LGU101" s="53"/>
      <c r="LGV101" s="53"/>
      <c r="LGW101" s="53"/>
      <c r="LGX101" s="53"/>
      <c r="LGY101" s="53"/>
      <c r="LGZ101" s="53"/>
      <c r="LHA101" s="53"/>
      <c r="LHB101" s="53"/>
      <c r="LHC101" s="53"/>
      <c r="LHD101" s="53"/>
      <c r="LHE101" s="53"/>
      <c r="LHF101" s="53"/>
      <c r="LHG101" s="53"/>
      <c r="LHH101" s="53"/>
      <c r="LHI101" s="53"/>
      <c r="LHJ101" s="53"/>
      <c r="LHK101" s="53"/>
      <c r="LHL101" s="53"/>
      <c r="LHM101" s="53"/>
      <c r="LHN101" s="53"/>
      <c r="LHO101" s="53"/>
      <c r="LHP101" s="53"/>
      <c r="LHQ101" s="53"/>
      <c r="LHR101" s="53"/>
      <c r="LHS101" s="53"/>
      <c r="LHT101" s="53"/>
      <c r="LHU101" s="53"/>
      <c r="LHV101" s="53"/>
      <c r="LHW101" s="53"/>
      <c r="LHX101" s="53"/>
      <c r="LHY101" s="53"/>
      <c r="LHZ101" s="53"/>
      <c r="LIA101" s="53"/>
      <c r="LIB101" s="53"/>
      <c r="LIC101" s="53"/>
      <c r="LID101" s="53"/>
      <c r="LIE101" s="53"/>
      <c r="LIF101" s="53"/>
      <c r="LIG101" s="53"/>
      <c r="LIH101" s="53"/>
      <c r="LII101" s="53"/>
      <c r="LIJ101" s="53"/>
      <c r="LIK101" s="53"/>
      <c r="LIL101" s="53"/>
      <c r="LIM101" s="53"/>
      <c r="LIN101" s="53"/>
      <c r="LIO101" s="53"/>
      <c r="LIP101" s="53"/>
      <c r="LIQ101" s="53"/>
      <c r="LIR101" s="53"/>
      <c r="LIS101" s="53"/>
      <c r="LIT101" s="53"/>
      <c r="LIU101" s="53"/>
      <c r="LIV101" s="53"/>
      <c r="LIW101" s="53"/>
      <c r="LIX101" s="53"/>
      <c r="LIY101" s="53"/>
      <c r="LIZ101" s="53"/>
      <c r="LJA101" s="53"/>
      <c r="LJB101" s="53"/>
      <c r="LJC101" s="53"/>
      <c r="LJD101" s="53"/>
      <c r="LJE101" s="53"/>
      <c r="LJF101" s="53"/>
      <c r="LJG101" s="53"/>
      <c r="LJH101" s="53"/>
      <c r="LJI101" s="53"/>
      <c r="LJJ101" s="53"/>
      <c r="LJK101" s="53"/>
      <c r="LJL101" s="53"/>
      <c r="LJM101" s="53"/>
      <c r="LJN101" s="53"/>
      <c r="LJO101" s="53"/>
      <c r="LJP101" s="53"/>
      <c r="LJQ101" s="53"/>
      <c r="LJR101" s="53"/>
      <c r="LJS101" s="53"/>
      <c r="LJT101" s="53"/>
      <c r="LJU101" s="53"/>
      <c r="LJV101" s="53"/>
      <c r="LJW101" s="53"/>
      <c r="LJX101" s="53"/>
      <c r="LJY101" s="53"/>
      <c r="LJZ101" s="53"/>
      <c r="LKA101" s="53"/>
      <c r="LKB101" s="53"/>
      <c r="LKC101" s="53"/>
      <c r="LKD101" s="53"/>
      <c r="LKE101" s="53"/>
      <c r="LKF101" s="53"/>
      <c r="LKG101" s="53"/>
      <c r="LKH101" s="53"/>
      <c r="LKI101" s="53"/>
      <c r="LKJ101" s="53"/>
      <c r="LKK101" s="53"/>
      <c r="LKL101" s="53"/>
      <c r="LKM101" s="53"/>
      <c r="LKN101" s="53"/>
      <c r="LKO101" s="53"/>
      <c r="LKP101" s="53"/>
      <c r="LKQ101" s="53"/>
      <c r="LKR101" s="53"/>
      <c r="LKS101" s="53"/>
      <c r="LKT101" s="53"/>
      <c r="LKU101" s="53"/>
      <c r="LKV101" s="53"/>
      <c r="LKW101" s="53"/>
      <c r="LKX101" s="53"/>
      <c r="LKY101" s="53"/>
      <c r="LKZ101" s="53"/>
      <c r="LLA101" s="53"/>
      <c r="LLB101" s="53"/>
      <c r="LLC101" s="53"/>
      <c r="LLD101" s="53"/>
      <c r="LLE101" s="53"/>
      <c r="LLF101" s="53"/>
      <c r="LLG101" s="53"/>
      <c r="LLH101" s="53"/>
      <c r="LLI101" s="53"/>
      <c r="LLJ101" s="53"/>
      <c r="LLK101" s="53"/>
      <c r="LLL101" s="53"/>
      <c r="LLM101" s="53"/>
      <c r="LLN101" s="53"/>
      <c r="LLO101" s="53"/>
      <c r="LLP101" s="53"/>
      <c r="LLQ101" s="53"/>
      <c r="LLR101" s="53"/>
      <c r="LLS101" s="53"/>
      <c r="LLT101" s="53"/>
      <c r="LLU101" s="53"/>
      <c r="LLV101" s="53"/>
      <c r="LLW101" s="53"/>
      <c r="LLX101" s="53"/>
      <c r="LLY101" s="53"/>
      <c r="LLZ101" s="53"/>
      <c r="LMA101" s="53"/>
      <c r="LMB101" s="53"/>
      <c r="LMC101" s="53"/>
      <c r="LMD101" s="53"/>
      <c r="LME101" s="53"/>
      <c r="LMF101" s="53"/>
      <c r="LMG101" s="53"/>
      <c r="LMH101" s="53"/>
      <c r="LMI101" s="53"/>
      <c r="LMJ101" s="53"/>
      <c r="LMK101" s="53"/>
      <c r="LML101" s="53"/>
      <c r="LMM101" s="53"/>
      <c r="LMN101" s="53"/>
      <c r="LMO101" s="53"/>
      <c r="LMP101" s="53"/>
      <c r="LMQ101" s="53"/>
      <c r="LMR101" s="53"/>
      <c r="LMS101" s="53"/>
      <c r="LMT101" s="53"/>
      <c r="LMU101" s="53"/>
      <c r="LMV101" s="53"/>
      <c r="LMW101" s="53"/>
      <c r="LMX101" s="53"/>
      <c r="LMY101" s="53"/>
      <c r="LMZ101" s="53"/>
      <c r="LNA101" s="53"/>
      <c r="LNB101" s="53"/>
      <c r="LNC101" s="53"/>
      <c r="LND101" s="53"/>
      <c r="LNE101" s="53"/>
      <c r="LNF101" s="53"/>
      <c r="LNG101" s="53"/>
      <c r="LNH101" s="53"/>
      <c r="LNI101" s="53"/>
      <c r="LNJ101" s="53"/>
      <c r="LNK101" s="53"/>
      <c r="LNL101" s="53"/>
      <c r="LNM101" s="53"/>
      <c r="LNN101" s="53"/>
      <c r="LNO101" s="53"/>
      <c r="LNP101" s="53"/>
      <c r="LNQ101" s="53"/>
      <c r="LNR101" s="53"/>
      <c r="LNS101" s="53"/>
      <c r="LNT101" s="53"/>
      <c r="LNU101" s="53"/>
      <c r="LNV101" s="53"/>
      <c r="LNW101" s="53"/>
      <c r="LNX101" s="53"/>
      <c r="LNY101" s="53"/>
      <c r="LNZ101" s="53"/>
      <c r="LOA101" s="53"/>
      <c r="LOB101" s="53"/>
      <c r="LOC101" s="53"/>
      <c r="LOD101" s="53"/>
      <c r="LOE101" s="53"/>
      <c r="LOF101" s="53"/>
      <c r="LOG101" s="53"/>
      <c r="LOH101" s="53"/>
      <c r="LOI101" s="53"/>
      <c r="LOJ101" s="53"/>
      <c r="LOK101" s="53"/>
      <c r="LOL101" s="53"/>
      <c r="LOM101" s="53"/>
      <c r="LON101" s="53"/>
      <c r="LOO101" s="53"/>
      <c r="LOP101" s="53"/>
      <c r="LOQ101" s="53"/>
      <c r="LOR101" s="53"/>
      <c r="LOS101" s="53"/>
      <c r="LOT101" s="53"/>
      <c r="LOU101" s="53"/>
      <c r="LOV101" s="53"/>
      <c r="LOW101" s="53"/>
      <c r="LOX101" s="53"/>
      <c r="LOY101" s="53"/>
      <c r="LOZ101" s="53"/>
      <c r="LPA101" s="53"/>
      <c r="LPB101" s="53"/>
      <c r="LPC101" s="53"/>
      <c r="LPD101" s="53"/>
      <c r="LPE101" s="53"/>
      <c r="LPF101" s="53"/>
      <c r="LPG101" s="53"/>
      <c r="LPH101" s="53"/>
      <c r="LPI101" s="53"/>
      <c r="LPJ101" s="53"/>
      <c r="LPK101" s="53"/>
      <c r="LPL101" s="53"/>
      <c r="LPM101" s="53"/>
      <c r="LPN101" s="53"/>
      <c r="LPO101" s="53"/>
      <c r="LPP101" s="53"/>
      <c r="LPQ101" s="53"/>
      <c r="LPR101" s="53"/>
      <c r="LPS101" s="53"/>
      <c r="LPT101" s="53"/>
      <c r="LPU101" s="53"/>
      <c r="LPV101" s="53"/>
      <c r="LPW101" s="53"/>
      <c r="LPX101" s="53"/>
      <c r="LPY101" s="53"/>
      <c r="LPZ101" s="53"/>
      <c r="LQA101" s="53"/>
      <c r="LQB101" s="53"/>
      <c r="LQC101" s="53"/>
      <c r="LQD101" s="53"/>
      <c r="LQE101" s="53"/>
      <c r="LQF101" s="53"/>
      <c r="LQG101" s="53"/>
      <c r="LQH101" s="53"/>
      <c r="LQI101" s="53"/>
      <c r="LQJ101" s="53"/>
      <c r="LQK101" s="53"/>
      <c r="LQL101" s="53"/>
      <c r="LQM101" s="53"/>
      <c r="LQN101" s="53"/>
      <c r="LQO101" s="53"/>
      <c r="LQP101" s="53"/>
      <c r="LQQ101" s="53"/>
      <c r="LQR101" s="53"/>
      <c r="LQS101" s="53"/>
      <c r="LQT101" s="53"/>
      <c r="LQU101" s="53"/>
      <c r="LQV101" s="53"/>
      <c r="LQW101" s="53"/>
      <c r="LQX101" s="53"/>
      <c r="LQY101" s="53"/>
      <c r="LQZ101" s="53"/>
      <c r="LRA101" s="53"/>
      <c r="LRB101" s="53"/>
      <c r="LRC101" s="53"/>
      <c r="LRD101" s="53"/>
      <c r="LRE101" s="53"/>
      <c r="LRF101" s="53"/>
      <c r="LRG101" s="53"/>
      <c r="LRH101" s="53"/>
      <c r="LRI101" s="53"/>
      <c r="LRJ101" s="53"/>
      <c r="LRK101" s="53"/>
      <c r="LRL101" s="53"/>
      <c r="LRM101" s="53"/>
      <c r="LRN101" s="53"/>
      <c r="LRO101" s="53"/>
      <c r="LRP101" s="53"/>
      <c r="LRQ101" s="53"/>
      <c r="LRR101" s="53"/>
      <c r="LRS101" s="53"/>
      <c r="LRT101" s="53"/>
      <c r="LRU101" s="53"/>
      <c r="LRV101" s="53"/>
      <c r="LRW101" s="53"/>
      <c r="LRX101" s="53"/>
      <c r="LRY101" s="53"/>
      <c r="LRZ101" s="53"/>
      <c r="LSA101" s="53"/>
      <c r="LSB101" s="53"/>
      <c r="LSC101" s="53"/>
      <c r="LSD101" s="53"/>
      <c r="LSE101" s="53"/>
      <c r="LSF101" s="53"/>
      <c r="LSG101" s="53"/>
      <c r="LSH101" s="53"/>
      <c r="LSI101" s="53"/>
      <c r="LSJ101" s="53"/>
      <c r="LSK101" s="53"/>
      <c r="LSL101" s="53"/>
      <c r="LSM101" s="53"/>
      <c r="LSN101" s="53"/>
      <c r="LSO101" s="53"/>
      <c r="LSP101" s="53"/>
      <c r="LSQ101" s="53"/>
      <c r="LSR101" s="53"/>
      <c r="LSS101" s="53"/>
      <c r="LST101" s="53"/>
      <c r="LSU101" s="53"/>
      <c r="LSV101" s="53"/>
      <c r="LSW101" s="53"/>
      <c r="LSX101" s="53"/>
      <c r="LSY101" s="53"/>
      <c r="LSZ101" s="53"/>
      <c r="LTA101" s="53"/>
      <c r="LTB101" s="53"/>
      <c r="LTC101" s="53"/>
      <c r="LTD101" s="53"/>
      <c r="LTE101" s="53"/>
      <c r="LTF101" s="53"/>
      <c r="LTG101" s="53"/>
      <c r="LTH101" s="53"/>
      <c r="LTI101" s="53"/>
      <c r="LTJ101" s="53"/>
      <c r="LTK101" s="53"/>
      <c r="LTL101" s="53"/>
      <c r="LTM101" s="53"/>
      <c r="LTN101" s="53"/>
      <c r="LTO101" s="53"/>
      <c r="LTP101" s="53"/>
      <c r="LTQ101" s="53"/>
      <c r="LTR101" s="53"/>
      <c r="LTS101" s="53"/>
      <c r="LTT101" s="53"/>
      <c r="LTU101" s="53"/>
      <c r="LTV101" s="53"/>
      <c r="LTW101" s="53"/>
      <c r="LTX101" s="53"/>
      <c r="LTY101" s="53"/>
      <c r="LTZ101" s="53"/>
      <c r="LUA101" s="53"/>
      <c r="LUB101" s="53"/>
      <c r="LUC101" s="53"/>
      <c r="LUD101" s="53"/>
      <c r="LUE101" s="53"/>
      <c r="LUF101" s="53"/>
      <c r="LUG101" s="53"/>
      <c r="LUH101" s="53"/>
      <c r="LUI101" s="53"/>
      <c r="LUJ101" s="53"/>
      <c r="LUK101" s="53"/>
      <c r="LUL101" s="53"/>
      <c r="LUM101" s="53"/>
      <c r="LUN101" s="53"/>
      <c r="LUO101" s="53"/>
      <c r="LUP101" s="53"/>
      <c r="LUQ101" s="53"/>
      <c r="LUR101" s="53"/>
      <c r="LUS101" s="53"/>
      <c r="LUT101" s="53"/>
      <c r="LUU101" s="53"/>
      <c r="LUV101" s="53"/>
      <c r="LUW101" s="53"/>
      <c r="LUX101" s="53"/>
      <c r="LUY101" s="53"/>
      <c r="LUZ101" s="53"/>
      <c r="LVA101" s="53"/>
      <c r="LVB101" s="53"/>
      <c r="LVC101" s="53"/>
      <c r="LVD101" s="53"/>
      <c r="LVE101" s="53"/>
      <c r="LVF101" s="53"/>
      <c r="LVG101" s="53"/>
      <c r="LVH101" s="53"/>
      <c r="LVI101" s="53"/>
      <c r="LVJ101" s="53"/>
      <c r="LVK101" s="53"/>
      <c r="LVL101" s="53"/>
      <c r="LVM101" s="53"/>
      <c r="LVN101" s="53"/>
      <c r="LVO101" s="53"/>
      <c r="LVP101" s="53"/>
      <c r="LVQ101" s="53"/>
      <c r="LVR101" s="53"/>
      <c r="LVS101" s="53"/>
      <c r="LVT101" s="53"/>
      <c r="LVU101" s="53"/>
      <c r="LVV101" s="53"/>
      <c r="LVW101" s="53"/>
      <c r="LVX101" s="53"/>
      <c r="LVY101" s="53"/>
      <c r="LVZ101" s="53"/>
      <c r="LWA101" s="53"/>
      <c r="LWB101" s="53"/>
      <c r="LWC101" s="53"/>
      <c r="LWD101" s="53"/>
      <c r="LWE101" s="53"/>
      <c r="LWF101" s="53"/>
      <c r="LWG101" s="53"/>
      <c r="LWH101" s="53"/>
      <c r="LWI101" s="53"/>
      <c r="LWJ101" s="53"/>
      <c r="LWK101" s="53"/>
      <c r="LWL101" s="53"/>
      <c r="LWM101" s="53"/>
      <c r="LWN101" s="53"/>
      <c r="LWO101" s="53"/>
      <c r="LWP101" s="53"/>
      <c r="LWQ101" s="53"/>
      <c r="LWR101" s="53"/>
      <c r="LWS101" s="53"/>
      <c r="LWT101" s="53"/>
      <c r="LWU101" s="53"/>
      <c r="LWV101" s="53"/>
      <c r="LWW101" s="53"/>
      <c r="LWX101" s="53"/>
      <c r="LWY101" s="53"/>
      <c r="LWZ101" s="53"/>
      <c r="LXA101" s="53"/>
      <c r="LXB101" s="53"/>
      <c r="LXC101" s="53"/>
      <c r="LXD101" s="53"/>
      <c r="LXE101" s="53"/>
      <c r="LXF101" s="53"/>
      <c r="LXG101" s="53"/>
      <c r="LXH101" s="53"/>
      <c r="LXI101" s="53"/>
      <c r="LXJ101" s="53"/>
      <c r="LXK101" s="53"/>
      <c r="LXL101" s="53"/>
      <c r="LXM101" s="53"/>
      <c r="LXN101" s="53"/>
      <c r="LXO101" s="53"/>
      <c r="LXP101" s="53"/>
      <c r="LXQ101" s="53"/>
      <c r="LXR101" s="53"/>
      <c r="LXS101" s="53"/>
      <c r="LXT101" s="53"/>
      <c r="LXU101" s="53"/>
      <c r="LXV101" s="53"/>
      <c r="LXW101" s="53"/>
      <c r="LXX101" s="53"/>
      <c r="LXY101" s="53"/>
      <c r="LXZ101" s="53"/>
      <c r="LYA101" s="53"/>
      <c r="LYB101" s="53"/>
      <c r="LYC101" s="53"/>
      <c r="LYD101" s="53"/>
      <c r="LYE101" s="53"/>
      <c r="LYF101" s="53"/>
      <c r="LYG101" s="53"/>
      <c r="LYH101" s="53"/>
      <c r="LYI101" s="53"/>
      <c r="LYJ101" s="53"/>
      <c r="LYK101" s="53"/>
      <c r="LYL101" s="53"/>
      <c r="LYM101" s="53"/>
      <c r="LYN101" s="53"/>
      <c r="LYO101" s="53"/>
      <c r="LYP101" s="53"/>
      <c r="LYQ101" s="53"/>
      <c r="LYR101" s="53"/>
      <c r="LYS101" s="53"/>
      <c r="LYT101" s="53"/>
      <c r="LYU101" s="53"/>
      <c r="LYV101" s="53"/>
      <c r="LYW101" s="53"/>
      <c r="LYX101" s="53"/>
      <c r="LYY101" s="53"/>
      <c r="LYZ101" s="53"/>
      <c r="LZA101" s="53"/>
      <c r="LZB101" s="53"/>
      <c r="LZC101" s="53"/>
      <c r="LZD101" s="53"/>
      <c r="LZE101" s="53"/>
      <c r="LZF101" s="53"/>
      <c r="LZG101" s="53"/>
      <c r="LZH101" s="53"/>
      <c r="LZI101" s="53"/>
      <c r="LZJ101" s="53"/>
      <c r="LZK101" s="53"/>
      <c r="LZL101" s="53"/>
      <c r="LZM101" s="53"/>
      <c r="LZN101" s="53"/>
      <c r="LZO101" s="53"/>
      <c r="LZP101" s="53"/>
      <c r="LZQ101" s="53"/>
      <c r="LZR101" s="53"/>
      <c r="LZS101" s="53"/>
      <c r="LZT101" s="53"/>
      <c r="LZU101" s="53"/>
      <c r="LZV101" s="53"/>
      <c r="LZW101" s="53"/>
      <c r="LZX101" s="53"/>
      <c r="LZY101" s="53"/>
      <c r="LZZ101" s="53"/>
      <c r="MAA101" s="53"/>
      <c r="MAB101" s="53"/>
      <c r="MAC101" s="53"/>
      <c r="MAD101" s="53"/>
      <c r="MAE101" s="53"/>
      <c r="MAF101" s="53"/>
      <c r="MAG101" s="53"/>
      <c r="MAH101" s="53"/>
      <c r="MAI101" s="53"/>
      <c r="MAJ101" s="53"/>
      <c r="MAK101" s="53"/>
      <c r="MAL101" s="53"/>
      <c r="MAM101" s="53"/>
      <c r="MAN101" s="53"/>
      <c r="MAO101" s="53"/>
      <c r="MAP101" s="53"/>
      <c r="MAQ101" s="53"/>
      <c r="MAR101" s="53"/>
      <c r="MAS101" s="53"/>
      <c r="MAT101" s="53"/>
      <c r="MAU101" s="53"/>
      <c r="MAV101" s="53"/>
      <c r="MAW101" s="53"/>
      <c r="MAX101" s="53"/>
      <c r="MAY101" s="53"/>
      <c r="MAZ101" s="53"/>
      <c r="MBA101" s="53"/>
      <c r="MBB101" s="53"/>
      <c r="MBC101" s="53"/>
      <c r="MBD101" s="53"/>
      <c r="MBE101" s="53"/>
      <c r="MBF101" s="53"/>
      <c r="MBG101" s="53"/>
      <c r="MBH101" s="53"/>
      <c r="MBI101" s="53"/>
      <c r="MBJ101" s="53"/>
      <c r="MBK101" s="53"/>
      <c r="MBL101" s="53"/>
      <c r="MBM101" s="53"/>
      <c r="MBN101" s="53"/>
      <c r="MBO101" s="53"/>
      <c r="MBP101" s="53"/>
      <c r="MBQ101" s="53"/>
      <c r="MBR101" s="53"/>
      <c r="MBS101" s="53"/>
      <c r="MBT101" s="53"/>
      <c r="MBU101" s="53"/>
      <c r="MBV101" s="53"/>
      <c r="MBW101" s="53"/>
      <c r="MBX101" s="53"/>
      <c r="MBY101" s="53"/>
      <c r="MBZ101" s="53"/>
      <c r="MCA101" s="53"/>
      <c r="MCB101" s="53"/>
      <c r="MCC101" s="53"/>
      <c r="MCD101" s="53"/>
      <c r="MCE101" s="53"/>
      <c r="MCF101" s="53"/>
      <c r="MCG101" s="53"/>
      <c r="MCH101" s="53"/>
      <c r="MCI101" s="53"/>
      <c r="MCJ101" s="53"/>
      <c r="MCK101" s="53"/>
      <c r="MCL101" s="53"/>
      <c r="MCM101" s="53"/>
      <c r="MCN101" s="53"/>
      <c r="MCO101" s="53"/>
      <c r="MCP101" s="53"/>
      <c r="MCQ101" s="53"/>
      <c r="MCR101" s="53"/>
      <c r="MCS101" s="53"/>
      <c r="MCT101" s="53"/>
      <c r="MCU101" s="53"/>
      <c r="MCV101" s="53"/>
      <c r="MCW101" s="53"/>
      <c r="MCX101" s="53"/>
      <c r="MCY101" s="53"/>
      <c r="MCZ101" s="53"/>
      <c r="MDA101" s="53"/>
      <c r="MDB101" s="53"/>
      <c r="MDC101" s="53"/>
      <c r="MDD101" s="53"/>
      <c r="MDE101" s="53"/>
      <c r="MDF101" s="53"/>
      <c r="MDG101" s="53"/>
      <c r="MDH101" s="53"/>
      <c r="MDI101" s="53"/>
      <c r="MDJ101" s="53"/>
      <c r="MDK101" s="53"/>
      <c r="MDL101" s="53"/>
      <c r="MDM101" s="53"/>
      <c r="MDN101" s="53"/>
      <c r="MDO101" s="53"/>
      <c r="MDP101" s="53"/>
      <c r="MDQ101" s="53"/>
      <c r="MDR101" s="53"/>
      <c r="MDS101" s="53"/>
      <c r="MDT101" s="53"/>
      <c r="MDU101" s="53"/>
      <c r="MDV101" s="53"/>
      <c r="MDW101" s="53"/>
      <c r="MDX101" s="53"/>
      <c r="MDY101" s="53"/>
      <c r="MDZ101" s="53"/>
      <c r="MEA101" s="53"/>
      <c r="MEB101" s="53"/>
      <c r="MEC101" s="53"/>
      <c r="MED101" s="53"/>
      <c r="MEE101" s="53"/>
      <c r="MEF101" s="53"/>
      <c r="MEG101" s="53"/>
      <c r="MEH101" s="53"/>
      <c r="MEI101" s="53"/>
      <c r="MEJ101" s="53"/>
      <c r="MEK101" s="53"/>
      <c r="MEL101" s="53"/>
      <c r="MEM101" s="53"/>
      <c r="MEN101" s="53"/>
      <c r="MEO101" s="53"/>
      <c r="MEP101" s="53"/>
      <c r="MEQ101" s="53"/>
      <c r="MER101" s="53"/>
      <c r="MES101" s="53"/>
      <c r="MET101" s="53"/>
      <c r="MEU101" s="53"/>
      <c r="MEV101" s="53"/>
      <c r="MEW101" s="53"/>
      <c r="MEX101" s="53"/>
      <c r="MEY101" s="53"/>
      <c r="MEZ101" s="53"/>
      <c r="MFA101" s="53"/>
      <c r="MFB101" s="53"/>
      <c r="MFC101" s="53"/>
      <c r="MFD101" s="53"/>
      <c r="MFE101" s="53"/>
      <c r="MFF101" s="53"/>
      <c r="MFG101" s="53"/>
      <c r="MFH101" s="53"/>
      <c r="MFI101" s="53"/>
      <c r="MFJ101" s="53"/>
      <c r="MFK101" s="53"/>
      <c r="MFL101" s="53"/>
      <c r="MFM101" s="53"/>
      <c r="MFN101" s="53"/>
      <c r="MFO101" s="53"/>
      <c r="MFP101" s="53"/>
      <c r="MFQ101" s="53"/>
      <c r="MFR101" s="53"/>
      <c r="MFS101" s="53"/>
      <c r="MFT101" s="53"/>
      <c r="MFU101" s="53"/>
      <c r="MFV101" s="53"/>
      <c r="MFW101" s="53"/>
      <c r="MFX101" s="53"/>
      <c r="MFY101" s="53"/>
      <c r="MFZ101" s="53"/>
      <c r="MGA101" s="53"/>
      <c r="MGB101" s="53"/>
      <c r="MGC101" s="53"/>
      <c r="MGD101" s="53"/>
      <c r="MGE101" s="53"/>
      <c r="MGF101" s="53"/>
      <c r="MGG101" s="53"/>
      <c r="MGH101" s="53"/>
      <c r="MGI101" s="53"/>
      <c r="MGJ101" s="53"/>
      <c r="MGK101" s="53"/>
      <c r="MGL101" s="53"/>
      <c r="MGM101" s="53"/>
      <c r="MGN101" s="53"/>
      <c r="MGO101" s="53"/>
      <c r="MGP101" s="53"/>
      <c r="MGQ101" s="53"/>
      <c r="MGR101" s="53"/>
      <c r="MGS101" s="53"/>
      <c r="MGT101" s="53"/>
      <c r="MGU101" s="53"/>
      <c r="MGV101" s="53"/>
      <c r="MGW101" s="53"/>
      <c r="MGX101" s="53"/>
      <c r="MGY101" s="53"/>
      <c r="MGZ101" s="53"/>
      <c r="MHA101" s="53"/>
      <c r="MHB101" s="53"/>
      <c r="MHC101" s="53"/>
      <c r="MHD101" s="53"/>
      <c r="MHE101" s="53"/>
      <c r="MHF101" s="53"/>
      <c r="MHG101" s="53"/>
      <c r="MHH101" s="53"/>
      <c r="MHI101" s="53"/>
      <c r="MHJ101" s="53"/>
      <c r="MHK101" s="53"/>
      <c r="MHL101" s="53"/>
      <c r="MHM101" s="53"/>
      <c r="MHN101" s="53"/>
      <c r="MHO101" s="53"/>
      <c r="MHP101" s="53"/>
      <c r="MHQ101" s="53"/>
      <c r="MHR101" s="53"/>
      <c r="MHS101" s="53"/>
      <c r="MHT101" s="53"/>
      <c r="MHU101" s="53"/>
      <c r="MHV101" s="53"/>
      <c r="MHW101" s="53"/>
      <c r="MHX101" s="53"/>
      <c r="MHY101" s="53"/>
      <c r="MHZ101" s="53"/>
      <c r="MIA101" s="53"/>
      <c r="MIB101" s="53"/>
      <c r="MIC101" s="53"/>
      <c r="MID101" s="53"/>
      <c r="MIE101" s="53"/>
      <c r="MIF101" s="53"/>
      <c r="MIG101" s="53"/>
      <c r="MIH101" s="53"/>
      <c r="MII101" s="53"/>
      <c r="MIJ101" s="53"/>
      <c r="MIK101" s="53"/>
      <c r="MIL101" s="53"/>
      <c r="MIM101" s="53"/>
      <c r="MIN101" s="53"/>
      <c r="MIO101" s="53"/>
      <c r="MIP101" s="53"/>
      <c r="MIQ101" s="53"/>
      <c r="MIR101" s="53"/>
      <c r="MIS101" s="53"/>
      <c r="MIT101" s="53"/>
      <c r="MIU101" s="53"/>
      <c r="MIV101" s="53"/>
      <c r="MIW101" s="53"/>
      <c r="MIX101" s="53"/>
      <c r="MIY101" s="53"/>
      <c r="MIZ101" s="53"/>
      <c r="MJA101" s="53"/>
      <c r="MJB101" s="53"/>
      <c r="MJC101" s="53"/>
      <c r="MJD101" s="53"/>
      <c r="MJE101" s="53"/>
      <c r="MJF101" s="53"/>
      <c r="MJG101" s="53"/>
      <c r="MJH101" s="53"/>
      <c r="MJI101" s="53"/>
      <c r="MJJ101" s="53"/>
      <c r="MJK101" s="53"/>
      <c r="MJL101" s="53"/>
      <c r="MJM101" s="53"/>
      <c r="MJN101" s="53"/>
      <c r="MJO101" s="53"/>
      <c r="MJP101" s="53"/>
      <c r="MJQ101" s="53"/>
      <c r="MJR101" s="53"/>
      <c r="MJS101" s="53"/>
      <c r="MJT101" s="53"/>
      <c r="MJU101" s="53"/>
      <c r="MJV101" s="53"/>
      <c r="MJW101" s="53"/>
      <c r="MJX101" s="53"/>
      <c r="MJY101" s="53"/>
      <c r="MJZ101" s="53"/>
      <c r="MKA101" s="53"/>
      <c r="MKB101" s="53"/>
      <c r="MKC101" s="53"/>
      <c r="MKD101" s="53"/>
      <c r="MKE101" s="53"/>
      <c r="MKF101" s="53"/>
      <c r="MKG101" s="53"/>
      <c r="MKH101" s="53"/>
      <c r="MKI101" s="53"/>
      <c r="MKJ101" s="53"/>
      <c r="MKK101" s="53"/>
      <c r="MKL101" s="53"/>
      <c r="MKM101" s="53"/>
      <c r="MKN101" s="53"/>
      <c r="MKO101" s="53"/>
      <c r="MKP101" s="53"/>
      <c r="MKQ101" s="53"/>
      <c r="MKR101" s="53"/>
      <c r="MKS101" s="53"/>
      <c r="MKT101" s="53"/>
      <c r="MKU101" s="53"/>
      <c r="MKV101" s="53"/>
      <c r="MKW101" s="53"/>
      <c r="MKX101" s="53"/>
      <c r="MKY101" s="53"/>
      <c r="MKZ101" s="53"/>
      <c r="MLA101" s="53"/>
      <c r="MLB101" s="53"/>
      <c r="MLC101" s="53"/>
      <c r="MLD101" s="53"/>
      <c r="MLE101" s="53"/>
      <c r="MLF101" s="53"/>
      <c r="MLG101" s="53"/>
      <c r="MLH101" s="53"/>
      <c r="MLI101" s="53"/>
      <c r="MLJ101" s="53"/>
      <c r="MLK101" s="53"/>
      <c r="MLL101" s="53"/>
      <c r="MLM101" s="53"/>
      <c r="MLN101" s="53"/>
      <c r="MLO101" s="53"/>
      <c r="MLP101" s="53"/>
      <c r="MLQ101" s="53"/>
      <c r="MLR101" s="53"/>
      <c r="MLS101" s="53"/>
      <c r="MLT101" s="53"/>
      <c r="MLU101" s="53"/>
      <c r="MLV101" s="53"/>
      <c r="MLW101" s="53"/>
      <c r="MLX101" s="53"/>
      <c r="MLY101" s="53"/>
      <c r="MLZ101" s="53"/>
      <c r="MMA101" s="53"/>
      <c r="MMB101" s="53"/>
      <c r="MMC101" s="53"/>
      <c r="MMD101" s="53"/>
      <c r="MME101" s="53"/>
      <c r="MMF101" s="53"/>
      <c r="MMG101" s="53"/>
      <c r="MMH101" s="53"/>
      <c r="MMI101" s="53"/>
      <c r="MMJ101" s="53"/>
      <c r="MMK101" s="53"/>
      <c r="MML101" s="53"/>
      <c r="MMM101" s="53"/>
      <c r="MMN101" s="53"/>
      <c r="MMO101" s="53"/>
      <c r="MMP101" s="53"/>
      <c r="MMQ101" s="53"/>
      <c r="MMR101" s="53"/>
      <c r="MMS101" s="53"/>
      <c r="MMT101" s="53"/>
      <c r="MMU101" s="53"/>
      <c r="MMV101" s="53"/>
      <c r="MMW101" s="53"/>
      <c r="MMX101" s="53"/>
      <c r="MMY101" s="53"/>
      <c r="MMZ101" s="53"/>
      <c r="MNA101" s="53"/>
      <c r="MNB101" s="53"/>
      <c r="MNC101" s="53"/>
      <c r="MND101" s="53"/>
      <c r="MNE101" s="53"/>
      <c r="MNF101" s="53"/>
      <c r="MNG101" s="53"/>
      <c r="MNH101" s="53"/>
      <c r="MNI101" s="53"/>
      <c r="MNJ101" s="53"/>
      <c r="MNK101" s="53"/>
      <c r="MNL101" s="53"/>
      <c r="MNM101" s="53"/>
      <c r="MNN101" s="53"/>
      <c r="MNO101" s="53"/>
      <c r="MNP101" s="53"/>
      <c r="MNQ101" s="53"/>
      <c r="MNR101" s="53"/>
      <c r="MNS101" s="53"/>
      <c r="MNT101" s="53"/>
      <c r="MNU101" s="53"/>
      <c r="MNV101" s="53"/>
      <c r="MNW101" s="53"/>
      <c r="MNX101" s="53"/>
      <c r="MNY101" s="53"/>
      <c r="MNZ101" s="53"/>
      <c r="MOA101" s="53"/>
      <c r="MOB101" s="53"/>
      <c r="MOC101" s="53"/>
      <c r="MOD101" s="53"/>
      <c r="MOE101" s="53"/>
      <c r="MOF101" s="53"/>
      <c r="MOG101" s="53"/>
      <c r="MOH101" s="53"/>
      <c r="MOI101" s="53"/>
      <c r="MOJ101" s="53"/>
      <c r="MOK101" s="53"/>
      <c r="MOL101" s="53"/>
      <c r="MOM101" s="53"/>
      <c r="MON101" s="53"/>
      <c r="MOO101" s="53"/>
      <c r="MOP101" s="53"/>
      <c r="MOQ101" s="53"/>
      <c r="MOR101" s="53"/>
      <c r="MOS101" s="53"/>
      <c r="MOT101" s="53"/>
      <c r="MOU101" s="53"/>
      <c r="MOV101" s="53"/>
      <c r="MOW101" s="53"/>
      <c r="MOX101" s="53"/>
      <c r="MOY101" s="53"/>
      <c r="MOZ101" s="53"/>
      <c r="MPA101" s="53"/>
      <c r="MPB101" s="53"/>
      <c r="MPC101" s="53"/>
      <c r="MPD101" s="53"/>
      <c r="MPE101" s="53"/>
      <c r="MPF101" s="53"/>
      <c r="MPG101" s="53"/>
      <c r="MPH101" s="53"/>
      <c r="MPI101" s="53"/>
      <c r="MPJ101" s="53"/>
      <c r="MPK101" s="53"/>
      <c r="MPL101" s="53"/>
      <c r="MPM101" s="53"/>
      <c r="MPN101" s="53"/>
      <c r="MPO101" s="53"/>
      <c r="MPP101" s="53"/>
      <c r="MPQ101" s="53"/>
      <c r="MPR101" s="53"/>
      <c r="MPS101" s="53"/>
      <c r="MPT101" s="53"/>
      <c r="MPU101" s="53"/>
      <c r="MPV101" s="53"/>
      <c r="MPW101" s="53"/>
      <c r="MPX101" s="53"/>
      <c r="MPY101" s="53"/>
      <c r="MPZ101" s="53"/>
      <c r="MQA101" s="53"/>
      <c r="MQB101" s="53"/>
      <c r="MQC101" s="53"/>
      <c r="MQD101" s="53"/>
      <c r="MQE101" s="53"/>
      <c r="MQF101" s="53"/>
      <c r="MQG101" s="53"/>
      <c r="MQH101" s="53"/>
      <c r="MQI101" s="53"/>
      <c r="MQJ101" s="53"/>
      <c r="MQK101" s="53"/>
      <c r="MQL101" s="53"/>
      <c r="MQM101" s="53"/>
      <c r="MQN101" s="53"/>
      <c r="MQO101" s="53"/>
      <c r="MQP101" s="53"/>
      <c r="MQQ101" s="53"/>
      <c r="MQR101" s="53"/>
      <c r="MQS101" s="53"/>
      <c r="MQT101" s="53"/>
      <c r="MQU101" s="53"/>
      <c r="MQV101" s="53"/>
      <c r="MQW101" s="53"/>
      <c r="MQX101" s="53"/>
      <c r="MQY101" s="53"/>
      <c r="MQZ101" s="53"/>
      <c r="MRA101" s="53"/>
      <c r="MRB101" s="53"/>
      <c r="MRC101" s="53"/>
      <c r="MRD101" s="53"/>
      <c r="MRE101" s="53"/>
      <c r="MRF101" s="53"/>
      <c r="MRG101" s="53"/>
      <c r="MRH101" s="53"/>
      <c r="MRI101" s="53"/>
      <c r="MRJ101" s="53"/>
      <c r="MRK101" s="53"/>
      <c r="MRL101" s="53"/>
      <c r="MRM101" s="53"/>
      <c r="MRN101" s="53"/>
      <c r="MRO101" s="53"/>
      <c r="MRP101" s="53"/>
      <c r="MRQ101" s="53"/>
      <c r="MRR101" s="53"/>
      <c r="MRS101" s="53"/>
      <c r="MRT101" s="53"/>
      <c r="MRU101" s="53"/>
      <c r="MRV101" s="53"/>
      <c r="MRW101" s="53"/>
      <c r="MRX101" s="53"/>
      <c r="MRY101" s="53"/>
      <c r="MRZ101" s="53"/>
      <c r="MSA101" s="53"/>
      <c r="MSB101" s="53"/>
      <c r="MSC101" s="53"/>
      <c r="MSD101" s="53"/>
      <c r="MSE101" s="53"/>
      <c r="MSF101" s="53"/>
      <c r="MSG101" s="53"/>
      <c r="MSH101" s="53"/>
      <c r="MSI101" s="53"/>
      <c r="MSJ101" s="53"/>
      <c r="MSK101" s="53"/>
      <c r="MSL101" s="53"/>
      <c r="MSM101" s="53"/>
      <c r="MSN101" s="53"/>
      <c r="MSO101" s="53"/>
      <c r="MSP101" s="53"/>
      <c r="MSQ101" s="53"/>
      <c r="MSR101" s="53"/>
      <c r="MSS101" s="53"/>
      <c r="MST101" s="53"/>
      <c r="MSU101" s="53"/>
      <c r="MSV101" s="53"/>
      <c r="MSW101" s="53"/>
      <c r="MSX101" s="53"/>
      <c r="MSY101" s="53"/>
      <c r="MSZ101" s="53"/>
      <c r="MTA101" s="53"/>
      <c r="MTB101" s="53"/>
      <c r="MTC101" s="53"/>
      <c r="MTD101" s="53"/>
      <c r="MTE101" s="53"/>
      <c r="MTF101" s="53"/>
      <c r="MTG101" s="53"/>
      <c r="MTH101" s="53"/>
      <c r="MTI101" s="53"/>
      <c r="MTJ101" s="53"/>
      <c r="MTK101" s="53"/>
      <c r="MTL101" s="53"/>
      <c r="MTM101" s="53"/>
      <c r="MTN101" s="53"/>
      <c r="MTO101" s="53"/>
      <c r="MTP101" s="53"/>
      <c r="MTQ101" s="53"/>
      <c r="MTR101" s="53"/>
      <c r="MTS101" s="53"/>
      <c r="MTT101" s="53"/>
      <c r="MTU101" s="53"/>
      <c r="MTV101" s="53"/>
      <c r="MTW101" s="53"/>
      <c r="MTX101" s="53"/>
      <c r="MTY101" s="53"/>
      <c r="MTZ101" s="53"/>
      <c r="MUA101" s="53"/>
      <c r="MUB101" s="53"/>
      <c r="MUC101" s="53"/>
      <c r="MUD101" s="53"/>
      <c r="MUE101" s="53"/>
      <c r="MUF101" s="53"/>
      <c r="MUG101" s="53"/>
      <c r="MUH101" s="53"/>
      <c r="MUI101" s="53"/>
      <c r="MUJ101" s="53"/>
      <c r="MUK101" s="53"/>
      <c r="MUL101" s="53"/>
      <c r="MUM101" s="53"/>
      <c r="MUN101" s="53"/>
      <c r="MUO101" s="53"/>
      <c r="MUP101" s="53"/>
      <c r="MUQ101" s="53"/>
      <c r="MUR101" s="53"/>
      <c r="MUS101" s="53"/>
      <c r="MUT101" s="53"/>
      <c r="MUU101" s="53"/>
      <c r="MUV101" s="53"/>
      <c r="MUW101" s="53"/>
      <c r="MUX101" s="53"/>
      <c r="MUY101" s="53"/>
      <c r="MUZ101" s="53"/>
      <c r="MVA101" s="53"/>
      <c r="MVB101" s="53"/>
      <c r="MVC101" s="53"/>
      <c r="MVD101" s="53"/>
      <c r="MVE101" s="53"/>
      <c r="MVF101" s="53"/>
      <c r="MVG101" s="53"/>
      <c r="MVH101" s="53"/>
      <c r="MVI101" s="53"/>
      <c r="MVJ101" s="53"/>
      <c r="MVK101" s="53"/>
      <c r="MVL101" s="53"/>
      <c r="MVM101" s="53"/>
      <c r="MVN101" s="53"/>
      <c r="MVO101" s="53"/>
      <c r="MVP101" s="53"/>
      <c r="MVQ101" s="53"/>
      <c r="MVR101" s="53"/>
      <c r="MVS101" s="53"/>
      <c r="MVT101" s="53"/>
      <c r="MVU101" s="53"/>
      <c r="MVV101" s="53"/>
      <c r="MVW101" s="53"/>
      <c r="MVX101" s="53"/>
      <c r="MVY101" s="53"/>
      <c r="MVZ101" s="53"/>
      <c r="MWA101" s="53"/>
      <c r="MWB101" s="53"/>
      <c r="MWC101" s="53"/>
      <c r="MWD101" s="53"/>
      <c r="MWE101" s="53"/>
      <c r="MWF101" s="53"/>
      <c r="MWG101" s="53"/>
      <c r="MWH101" s="53"/>
      <c r="MWI101" s="53"/>
      <c r="MWJ101" s="53"/>
      <c r="MWK101" s="53"/>
      <c r="MWL101" s="53"/>
      <c r="MWM101" s="53"/>
      <c r="MWN101" s="53"/>
      <c r="MWO101" s="53"/>
      <c r="MWP101" s="53"/>
      <c r="MWQ101" s="53"/>
      <c r="MWR101" s="53"/>
      <c r="MWS101" s="53"/>
      <c r="MWT101" s="53"/>
      <c r="MWU101" s="53"/>
      <c r="MWV101" s="53"/>
      <c r="MWW101" s="53"/>
      <c r="MWX101" s="53"/>
      <c r="MWY101" s="53"/>
      <c r="MWZ101" s="53"/>
      <c r="MXA101" s="53"/>
      <c r="MXB101" s="53"/>
      <c r="MXC101" s="53"/>
      <c r="MXD101" s="53"/>
      <c r="MXE101" s="53"/>
      <c r="MXF101" s="53"/>
      <c r="MXG101" s="53"/>
      <c r="MXH101" s="53"/>
      <c r="MXI101" s="53"/>
      <c r="MXJ101" s="53"/>
      <c r="MXK101" s="53"/>
      <c r="MXL101" s="53"/>
      <c r="MXM101" s="53"/>
      <c r="MXN101" s="53"/>
      <c r="MXO101" s="53"/>
      <c r="MXP101" s="53"/>
      <c r="MXQ101" s="53"/>
      <c r="MXR101" s="53"/>
      <c r="MXS101" s="53"/>
      <c r="MXT101" s="53"/>
      <c r="MXU101" s="53"/>
      <c r="MXV101" s="53"/>
      <c r="MXW101" s="53"/>
      <c r="MXX101" s="53"/>
      <c r="MXY101" s="53"/>
      <c r="MXZ101" s="53"/>
      <c r="MYA101" s="53"/>
      <c r="MYB101" s="53"/>
      <c r="MYC101" s="53"/>
      <c r="MYD101" s="53"/>
      <c r="MYE101" s="53"/>
      <c r="MYF101" s="53"/>
      <c r="MYG101" s="53"/>
      <c r="MYH101" s="53"/>
      <c r="MYI101" s="53"/>
      <c r="MYJ101" s="53"/>
      <c r="MYK101" s="53"/>
      <c r="MYL101" s="53"/>
      <c r="MYM101" s="53"/>
      <c r="MYN101" s="53"/>
      <c r="MYO101" s="53"/>
      <c r="MYP101" s="53"/>
      <c r="MYQ101" s="53"/>
      <c r="MYR101" s="53"/>
      <c r="MYS101" s="53"/>
      <c r="MYT101" s="53"/>
      <c r="MYU101" s="53"/>
      <c r="MYV101" s="53"/>
      <c r="MYW101" s="53"/>
      <c r="MYX101" s="53"/>
      <c r="MYY101" s="53"/>
      <c r="MYZ101" s="53"/>
      <c r="MZA101" s="53"/>
      <c r="MZB101" s="53"/>
      <c r="MZC101" s="53"/>
      <c r="MZD101" s="53"/>
      <c r="MZE101" s="53"/>
      <c r="MZF101" s="53"/>
      <c r="MZG101" s="53"/>
      <c r="MZH101" s="53"/>
      <c r="MZI101" s="53"/>
      <c r="MZJ101" s="53"/>
      <c r="MZK101" s="53"/>
      <c r="MZL101" s="53"/>
      <c r="MZM101" s="53"/>
      <c r="MZN101" s="53"/>
      <c r="MZO101" s="53"/>
      <c r="MZP101" s="53"/>
      <c r="MZQ101" s="53"/>
      <c r="MZR101" s="53"/>
      <c r="MZS101" s="53"/>
      <c r="MZT101" s="53"/>
      <c r="MZU101" s="53"/>
      <c r="MZV101" s="53"/>
      <c r="MZW101" s="53"/>
      <c r="MZX101" s="53"/>
      <c r="MZY101" s="53"/>
      <c r="MZZ101" s="53"/>
      <c r="NAA101" s="53"/>
      <c r="NAB101" s="53"/>
      <c r="NAC101" s="53"/>
      <c r="NAD101" s="53"/>
      <c r="NAE101" s="53"/>
      <c r="NAF101" s="53"/>
      <c r="NAG101" s="53"/>
      <c r="NAH101" s="53"/>
      <c r="NAI101" s="53"/>
      <c r="NAJ101" s="53"/>
      <c r="NAK101" s="53"/>
      <c r="NAL101" s="53"/>
      <c r="NAM101" s="53"/>
      <c r="NAN101" s="53"/>
      <c r="NAO101" s="53"/>
      <c r="NAP101" s="53"/>
      <c r="NAQ101" s="53"/>
      <c r="NAR101" s="53"/>
      <c r="NAS101" s="53"/>
      <c r="NAT101" s="53"/>
      <c r="NAU101" s="53"/>
      <c r="NAV101" s="53"/>
      <c r="NAW101" s="53"/>
      <c r="NAX101" s="53"/>
      <c r="NAY101" s="53"/>
      <c r="NAZ101" s="53"/>
      <c r="NBA101" s="53"/>
      <c r="NBB101" s="53"/>
      <c r="NBC101" s="53"/>
      <c r="NBD101" s="53"/>
      <c r="NBE101" s="53"/>
      <c r="NBF101" s="53"/>
      <c r="NBG101" s="53"/>
      <c r="NBH101" s="53"/>
      <c r="NBI101" s="53"/>
      <c r="NBJ101" s="53"/>
      <c r="NBK101" s="53"/>
      <c r="NBL101" s="53"/>
      <c r="NBM101" s="53"/>
      <c r="NBN101" s="53"/>
      <c r="NBO101" s="53"/>
      <c r="NBP101" s="53"/>
      <c r="NBQ101" s="53"/>
      <c r="NBR101" s="53"/>
      <c r="NBS101" s="53"/>
      <c r="NBT101" s="53"/>
      <c r="NBU101" s="53"/>
      <c r="NBV101" s="53"/>
      <c r="NBW101" s="53"/>
      <c r="NBX101" s="53"/>
      <c r="NBY101" s="53"/>
      <c r="NBZ101" s="53"/>
      <c r="NCA101" s="53"/>
      <c r="NCB101" s="53"/>
      <c r="NCC101" s="53"/>
      <c r="NCD101" s="53"/>
      <c r="NCE101" s="53"/>
      <c r="NCF101" s="53"/>
      <c r="NCG101" s="53"/>
      <c r="NCH101" s="53"/>
      <c r="NCI101" s="53"/>
      <c r="NCJ101" s="53"/>
      <c r="NCK101" s="53"/>
      <c r="NCL101" s="53"/>
      <c r="NCM101" s="53"/>
      <c r="NCN101" s="53"/>
      <c r="NCO101" s="53"/>
      <c r="NCP101" s="53"/>
      <c r="NCQ101" s="53"/>
      <c r="NCR101" s="53"/>
      <c r="NCS101" s="53"/>
      <c r="NCT101" s="53"/>
      <c r="NCU101" s="53"/>
      <c r="NCV101" s="53"/>
      <c r="NCW101" s="53"/>
      <c r="NCX101" s="53"/>
      <c r="NCY101" s="53"/>
      <c r="NCZ101" s="53"/>
      <c r="NDA101" s="53"/>
      <c r="NDB101" s="53"/>
      <c r="NDC101" s="53"/>
      <c r="NDD101" s="53"/>
      <c r="NDE101" s="53"/>
      <c r="NDF101" s="53"/>
      <c r="NDG101" s="53"/>
      <c r="NDH101" s="53"/>
      <c r="NDI101" s="53"/>
      <c r="NDJ101" s="53"/>
      <c r="NDK101" s="53"/>
      <c r="NDL101" s="53"/>
      <c r="NDM101" s="53"/>
      <c r="NDN101" s="53"/>
      <c r="NDO101" s="53"/>
      <c r="NDP101" s="53"/>
      <c r="NDQ101" s="53"/>
      <c r="NDR101" s="53"/>
      <c r="NDS101" s="53"/>
      <c r="NDT101" s="53"/>
      <c r="NDU101" s="53"/>
      <c r="NDV101" s="53"/>
      <c r="NDW101" s="53"/>
      <c r="NDX101" s="53"/>
      <c r="NDY101" s="53"/>
      <c r="NDZ101" s="53"/>
      <c r="NEA101" s="53"/>
      <c r="NEB101" s="53"/>
      <c r="NEC101" s="53"/>
      <c r="NED101" s="53"/>
      <c r="NEE101" s="53"/>
      <c r="NEF101" s="53"/>
      <c r="NEG101" s="53"/>
      <c r="NEH101" s="53"/>
      <c r="NEI101" s="53"/>
      <c r="NEJ101" s="53"/>
      <c r="NEK101" s="53"/>
      <c r="NEL101" s="53"/>
      <c r="NEM101" s="53"/>
      <c r="NEN101" s="53"/>
      <c r="NEO101" s="53"/>
      <c r="NEP101" s="53"/>
      <c r="NEQ101" s="53"/>
      <c r="NER101" s="53"/>
      <c r="NES101" s="53"/>
      <c r="NET101" s="53"/>
      <c r="NEU101" s="53"/>
      <c r="NEV101" s="53"/>
      <c r="NEW101" s="53"/>
      <c r="NEX101" s="53"/>
      <c r="NEY101" s="53"/>
      <c r="NEZ101" s="53"/>
      <c r="NFA101" s="53"/>
      <c r="NFB101" s="53"/>
      <c r="NFC101" s="53"/>
      <c r="NFD101" s="53"/>
      <c r="NFE101" s="53"/>
      <c r="NFF101" s="53"/>
      <c r="NFG101" s="53"/>
      <c r="NFH101" s="53"/>
      <c r="NFI101" s="53"/>
      <c r="NFJ101" s="53"/>
      <c r="NFK101" s="53"/>
      <c r="NFL101" s="53"/>
      <c r="NFM101" s="53"/>
      <c r="NFN101" s="53"/>
      <c r="NFO101" s="53"/>
      <c r="NFP101" s="53"/>
      <c r="NFQ101" s="53"/>
      <c r="NFR101" s="53"/>
      <c r="NFS101" s="53"/>
      <c r="NFT101" s="53"/>
      <c r="NFU101" s="53"/>
      <c r="NFV101" s="53"/>
      <c r="NFW101" s="53"/>
      <c r="NFX101" s="53"/>
      <c r="NFY101" s="53"/>
      <c r="NFZ101" s="53"/>
      <c r="NGA101" s="53"/>
      <c r="NGB101" s="53"/>
      <c r="NGC101" s="53"/>
      <c r="NGD101" s="53"/>
      <c r="NGE101" s="53"/>
      <c r="NGF101" s="53"/>
      <c r="NGG101" s="53"/>
      <c r="NGH101" s="53"/>
      <c r="NGI101" s="53"/>
      <c r="NGJ101" s="53"/>
      <c r="NGK101" s="53"/>
      <c r="NGL101" s="53"/>
      <c r="NGM101" s="53"/>
      <c r="NGN101" s="53"/>
      <c r="NGO101" s="53"/>
      <c r="NGP101" s="53"/>
      <c r="NGQ101" s="53"/>
      <c r="NGR101" s="53"/>
      <c r="NGS101" s="53"/>
      <c r="NGT101" s="53"/>
      <c r="NGU101" s="53"/>
      <c r="NGV101" s="53"/>
      <c r="NGW101" s="53"/>
      <c r="NGX101" s="53"/>
      <c r="NGY101" s="53"/>
      <c r="NGZ101" s="53"/>
      <c r="NHA101" s="53"/>
      <c r="NHB101" s="53"/>
      <c r="NHC101" s="53"/>
      <c r="NHD101" s="53"/>
      <c r="NHE101" s="53"/>
      <c r="NHF101" s="53"/>
      <c r="NHG101" s="53"/>
      <c r="NHH101" s="53"/>
      <c r="NHI101" s="53"/>
      <c r="NHJ101" s="53"/>
      <c r="NHK101" s="53"/>
      <c r="NHL101" s="53"/>
      <c r="NHM101" s="53"/>
      <c r="NHN101" s="53"/>
      <c r="NHO101" s="53"/>
      <c r="NHP101" s="53"/>
      <c r="NHQ101" s="53"/>
      <c r="NHR101" s="53"/>
      <c r="NHS101" s="53"/>
      <c r="NHT101" s="53"/>
      <c r="NHU101" s="53"/>
      <c r="NHV101" s="53"/>
      <c r="NHW101" s="53"/>
      <c r="NHX101" s="53"/>
      <c r="NHY101" s="53"/>
      <c r="NHZ101" s="53"/>
      <c r="NIA101" s="53"/>
      <c r="NIB101" s="53"/>
      <c r="NIC101" s="53"/>
      <c r="NID101" s="53"/>
      <c r="NIE101" s="53"/>
      <c r="NIF101" s="53"/>
      <c r="NIG101" s="53"/>
      <c r="NIH101" s="53"/>
      <c r="NII101" s="53"/>
      <c r="NIJ101" s="53"/>
      <c r="NIK101" s="53"/>
      <c r="NIL101" s="53"/>
      <c r="NIM101" s="53"/>
      <c r="NIN101" s="53"/>
      <c r="NIO101" s="53"/>
      <c r="NIP101" s="53"/>
      <c r="NIQ101" s="53"/>
      <c r="NIR101" s="53"/>
      <c r="NIS101" s="53"/>
      <c r="NIT101" s="53"/>
      <c r="NIU101" s="53"/>
      <c r="NIV101" s="53"/>
      <c r="NIW101" s="53"/>
      <c r="NIX101" s="53"/>
      <c r="NIY101" s="53"/>
      <c r="NIZ101" s="53"/>
      <c r="NJA101" s="53"/>
      <c r="NJB101" s="53"/>
      <c r="NJC101" s="53"/>
      <c r="NJD101" s="53"/>
      <c r="NJE101" s="53"/>
      <c r="NJF101" s="53"/>
      <c r="NJG101" s="53"/>
      <c r="NJH101" s="53"/>
      <c r="NJI101" s="53"/>
      <c r="NJJ101" s="53"/>
      <c r="NJK101" s="53"/>
      <c r="NJL101" s="53"/>
      <c r="NJM101" s="53"/>
      <c r="NJN101" s="53"/>
      <c r="NJO101" s="53"/>
      <c r="NJP101" s="53"/>
      <c r="NJQ101" s="53"/>
      <c r="NJR101" s="53"/>
      <c r="NJS101" s="53"/>
      <c r="NJT101" s="53"/>
      <c r="NJU101" s="53"/>
      <c r="NJV101" s="53"/>
      <c r="NJW101" s="53"/>
      <c r="NJX101" s="53"/>
      <c r="NJY101" s="53"/>
      <c r="NJZ101" s="53"/>
      <c r="NKA101" s="53"/>
      <c r="NKB101" s="53"/>
      <c r="NKC101" s="53"/>
      <c r="NKD101" s="53"/>
      <c r="NKE101" s="53"/>
      <c r="NKF101" s="53"/>
      <c r="NKG101" s="53"/>
      <c r="NKH101" s="53"/>
      <c r="NKI101" s="53"/>
      <c r="NKJ101" s="53"/>
      <c r="NKK101" s="53"/>
      <c r="NKL101" s="53"/>
      <c r="NKM101" s="53"/>
      <c r="NKN101" s="53"/>
      <c r="NKO101" s="53"/>
      <c r="NKP101" s="53"/>
      <c r="NKQ101" s="53"/>
      <c r="NKR101" s="53"/>
      <c r="NKS101" s="53"/>
      <c r="NKT101" s="53"/>
      <c r="NKU101" s="53"/>
      <c r="NKV101" s="53"/>
      <c r="NKW101" s="53"/>
      <c r="NKX101" s="53"/>
      <c r="NKY101" s="53"/>
      <c r="NKZ101" s="53"/>
      <c r="NLA101" s="53"/>
      <c r="NLB101" s="53"/>
      <c r="NLC101" s="53"/>
      <c r="NLD101" s="53"/>
      <c r="NLE101" s="53"/>
      <c r="NLF101" s="53"/>
      <c r="NLG101" s="53"/>
      <c r="NLH101" s="53"/>
      <c r="NLI101" s="53"/>
      <c r="NLJ101" s="53"/>
      <c r="NLK101" s="53"/>
      <c r="NLL101" s="53"/>
      <c r="NLM101" s="53"/>
      <c r="NLN101" s="53"/>
      <c r="NLO101" s="53"/>
      <c r="NLP101" s="53"/>
      <c r="NLQ101" s="53"/>
      <c r="NLR101" s="53"/>
      <c r="NLS101" s="53"/>
      <c r="NLT101" s="53"/>
      <c r="NLU101" s="53"/>
      <c r="NLV101" s="53"/>
      <c r="NLW101" s="53"/>
      <c r="NLX101" s="53"/>
      <c r="NLY101" s="53"/>
      <c r="NLZ101" s="53"/>
      <c r="NMA101" s="53"/>
      <c r="NMB101" s="53"/>
      <c r="NMC101" s="53"/>
      <c r="NMD101" s="53"/>
      <c r="NME101" s="53"/>
      <c r="NMF101" s="53"/>
      <c r="NMG101" s="53"/>
      <c r="NMH101" s="53"/>
      <c r="NMI101" s="53"/>
      <c r="NMJ101" s="53"/>
      <c r="NMK101" s="53"/>
      <c r="NML101" s="53"/>
      <c r="NMM101" s="53"/>
      <c r="NMN101" s="53"/>
      <c r="NMO101" s="53"/>
      <c r="NMP101" s="53"/>
      <c r="NMQ101" s="53"/>
      <c r="NMR101" s="53"/>
      <c r="NMS101" s="53"/>
      <c r="NMT101" s="53"/>
      <c r="NMU101" s="53"/>
      <c r="NMV101" s="53"/>
      <c r="NMW101" s="53"/>
      <c r="NMX101" s="53"/>
      <c r="NMY101" s="53"/>
      <c r="NMZ101" s="53"/>
      <c r="NNA101" s="53"/>
      <c r="NNB101" s="53"/>
      <c r="NNC101" s="53"/>
      <c r="NND101" s="53"/>
      <c r="NNE101" s="53"/>
      <c r="NNF101" s="53"/>
      <c r="NNG101" s="53"/>
      <c r="NNH101" s="53"/>
      <c r="NNI101" s="53"/>
      <c r="NNJ101" s="53"/>
      <c r="NNK101" s="53"/>
      <c r="NNL101" s="53"/>
      <c r="NNM101" s="53"/>
      <c r="NNN101" s="53"/>
      <c r="NNO101" s="53"/>
      <c r="NNP101" s="53"/>
      <c r="NNQ101" s="53"/>
      <c r="NNR101" s="53"/>
      <c r="NNS101" s="53"/>
      <c r="NNT101" s="53"/>
      <c r="NNU101" s="53"/>
      <c r="NNV101" s="53"/>
      <c r="NNW101" s="53"/>
      <c r="NNX101" s="53"/>
      <c r="NNY101" s="53"/>
      <c r="NNZ101" s="53"/>
      <c r="NOA101" s="53"/>
      <c r="NOB101" s="53"/>
      <c r="NOC101" s="53"/>
      <c r="NOD101" s="53"/>
      <c r="NOE101" s="53"/>
      <c r="NOF101" s="53"/>
      <c r="NOG101" s="53"/>
      <c r="NOH101" s="53"/>
      <c r="NOI101" s="53"/>
      <c r="NOJ101" s="53"/>
      <c r="NOK101" s="53"/>
      <c r="NOL101" s="53"/>
      <c r="NOM101" s="53"/>
      <c r="NON101" s="53"/>
      <c r="NOO101" s="53"/>
      <c r="NOP101" s="53"/>
      <c r="NOQ101" s="53"/>
      <c r="NOR101" s="53"/>
      <c r="NOS101" s="53"/>
      <c r="NOT101" s="53"/>
      <c r="NOU101" s="53"/>
      <c r="NOV101" s="53"/>
      <c r="NOW101" s="53"/>
      <c r="NOX101" s="53"/>
      <c r="NOY101" s="53"/>
      <c r="NOZ101" s="53"/>
      <c r="NPA101" s="53"/>
      <c r="NPB101" s="53"/>
      <c r="NPC101" s="53"/>
      <c r="NPD101" s="53"/>
      <c r="NPE101" s="53"/>
      <c r="NPF101" s="53"/>
      <c r="NPG101" s="53"/>
      <c r="NPH101" s="53"/>
      <c r="NPI101" s="53"/>
      <c r="NPJ101" s="53"/>
      <c r="NPK101" s="53"/>
      <c r="NPL101" s="53"/>
      <c r="NPM101" s="53"/>
      <c r="NPN101" s="53"/>
      <c r="NPO101" s="53"/>
      <c r="NPP101" s="53"/>
      <c r="NPQ101" s="53"/>
      <c r="NPR101" s="53"/>
      <c r="NPS101" s="53"/>
      <c r="NPT101" s="53"/>
      <c r="NPU101" s="53"/>
      <c r="NPV101" s="53"/>
      <c r="NPW101" s="53"/>
      <c r="NPX101" s="53"/>
      <c r="NPY101" s="53"/>
      <c r="NPZ101" s="53"/>
      <c r="NQA101" s="53"/>
      <c r="NQB101" s="53"/>
      <c r="NQC101" s="53"/>
      <c r="NQD101" s="53"/>
      <c r="NQE101" s="53"/>
      <c r="NQF101" s="53"/>
      <c r="NQG101" s="53"/>
      <c r="NQH101" s="53"/>
      <c r="NQI101" s="53"/>
      <c r="NQJ101" s="53"/>
      <c r="NQK101" s="53"/>
      <c r="NQL101" s="53"/>
      <c r="NQM101" s="53"/>
      <c r="NQN101" s="53"/>
      <c r="NQO101" s="53"/>
      <c r="NQP101" s="53"/>
      <c r="NQQ101" s="53"/>
      <c r="NQR101" s="53"/>
      <c r="NQS101" s="53"/>
      <c r="NQT101" s="53"/>
      <c r="NQU101" s="53"/>
      <c r="NQV101" s="53"/>
      <c r="NQW101" s="53"/>
      <c r="NQX101" s="53"/>
      <c r="NQY101" s="53"/>
      <c r="NQZ101" s="53"/>
      <c r="NRA101" s="53"/>
      <c r="NRB101" s="53"/>
      <c r="NRC101" s="53"/>
      <c r="NRD101" s="53"/>
      <c r="NRE101" s="53"/>
      <c r="NRF101" s="53"/>
      <c r="NRG101" s="53"/>
      <c r="NRH101" s="53"/>
      <c r="NRI101" s="53"/>
      <c r="NRJ101" s="53"/>
      <c r="NRK101" s="53"/>
      <c r="NRL101" s="53"/>
      <c r="NRM101" s="53"/>
      <c r="NRN101" s="53"/>
      <c r="NRO101" s="53"/>
      <c r="NRP101" s="53"/>
      <c r="NRQ101" s="53"/>
      <c r="NRR101" s="53"/>
      <c r="NRS101" s="53"/>
      <c r="NRT101" s="53"/>
      <c r="NRU101" s="53"/>
      <c r="NRV101" s="53"/>
      <c r="NRW101" s="53"/>
      <c r="NRX101" s="53"/>
      <c r="NRY101" s="53"/>
      <c r="NRZ101" s="53"/>
      <c r="NSA101" s="53"/>
      <c r="NSB101" s="53"/>
      <c r="NSC101" s="53"/>
      <c r="NSD101" s="53"/>
      <c r="NSE101" s="53"/>
      <c r="NSF101" s="53"/>
      <c r="NSG101" s="53"/>
      <c r="NSH101" s="53"/>
      <c r="NSI101" s="53"/>
      <c r="NSJ101" s="53"/>
      <c r="NSK101" s="53"/>
      <c r="NSL101" s="53"/>
      <c r="NSM101" s="53"/>
      <c r="NSN101" s="53"/>
      <c r="NSO101" s="53"/>
      <c r="NSP101" s="53"/>
      <c r="NSQ101" s="53"/>
      <c r="NSR101" s="53"/>
      <c r="NSS101" s="53"/>
      <c r="NST101" s="53"/>
      <c r="NSU101" s="53"/>
      <c r="NSV101" s="53"/>
      <c r="NSW101" s="53"/>
      <c r="NSX101" s="53"/>
      <c r="NSY101" s="53"/>
      <c r="NSZ101" s="53"/>
      <c r="NTA101" s="53"/>
      <c r="NTB101" s="53"/>
      <c r="NTC101" s="53"/>
      <c r="NTD101" s="53"/>
      <c r="NTE101" s="53"/>
      <c r="NTF101" s="53"/>
      <c r="NTG101" s="53"/>
      <c r="NTH101" s="53"/>
      <c r="NTI101" s="53"/>
      <c r="NTJ101" s="53"/>
      <c r="NTK101" s="53"/>
      <c r="NTL101" s="53"/>
      <c r="NTM101" s="53"/>
      <c r="NTN101" s="53"/>
      <c r="NTO101" s="53"/>
      <c r="NTP101" s="53"/>
      <c r="NTQ101" s="53"/>
      <c r="NTR101" s="53"/>
      <c r="NTS101" s="53"/>
      <c r="NTT101" s="53"/>
      <c r="NTU101" s="53"/>
      <c r="NTV101" s="53"/>
      <c r="NTW101" s="53"/>
      <c r="NTX101" s="53"/>
      <c r="NTY101" s="53"/>
      <c r="NTZ101" s="53"/>
      <c r="NUA101" s="53"/>
      <c r="NUB101" s="53"/>
      <c r="NUC101" s="53"/>
      <c r="NUD101" s="53"/>
      <c r="NUE101" s="53"/>
      <c r="NUF101" s="53"/>
      <c r="NUG101" s="53"/>
      <c r="NUH101" s="53"/>
      <c r="NUI101" s="53"/>
      <c r="NUJ101" s="53"/>
      <c r="NUK101" s="53"/>
      <c r="NUL101" s="53"/>
      <c r="NUM101" s="53"/>
      <c r="NUN101" s="53"/>
      <c r="NUO101" s="53"/>
      <c r="NUP101" s="53"/>
      <c r="NUQ101" s="53"/>
      <c r="NUR101" s="53"/>
      <c r="NUS101" s="53"/>
      <c r="NUT101" s="53"/>
      <c r="NUU101" s="53"/>
      <c r="NUV101" s="53"/>
      <c r="NUW101" s="53"/>
      <c r="NUX101" s="53"/>
      <c r="NUY101" s="53"/>
      <c r="NUZ101" s="53"/>
      <c r="NVA101" s="53"/>
      <c r="NVB101" s="53"/>
      <c r="NVC101" s="53"/>
      <c r="NVD101" s="53"/>
      <c r="NVE101" s="53"/>
      <c r="NVF101" s="53"/>
      <c r="NVG101" s="53"/>
      <c r="NVH101" s="53"/>
      <c r="NVI101" s="53"/>
      <c r="NVJ101" s="53"/>
      <c r="NVK101" s="53"/>
      <c r="NVL101" s="53"/>
      <c r="NVM101" s="53"/>
      <c r="NVN101" s="53"/>
      <c r="NVO101" s="53"/>
      <c r="NVP101" s="53"/>
      <c r="NVQ101" s="53"/>
      <c r="NVR101" s="53"/>
      <c r="NVS101" s="53"/>
      <c r="NVT101" s="53"/>
      <c r="NVU101" s="53"/>
      <c r="NVV101" s="53"/>
      <c r="NVW101" s="53"/>
      <c r="NVX101" s="53"/>
      <c r="NVY101" s="53"/>
      <c r="NVZ101" s="53"/>
      <c r="NWA101" s="53"/>
      <c r="NWB101" s="53"/>
      <c r="NWC101" s="53"/>
      <c r="NWD101" s="53"/>
      <c r="NWE101" s="53"/>
      <c r="NWF101" s="53"/>
      <c r="NWG101" s="53"/>
      <c r="NWH101" s="53"/>
      <c r="NWI101" s="53"/>
      <c r="NWJ101" s="53"/>
      <c r="NWK101" s="53"/>
      <c r="NWL101" s="53"/>
      <c r="NWM101" s="53"/>
      <c r="NWN101" s="53"/>
      <c r="NWO101" s="53"/>
      <c r="NWP101" s="53"/>
      <c r="NWQ101" s="53"/>
      <c r="NWR101" s="53"/>
      <c r="NWS101" s="53"/>
      <c r="NWT101" s="53"/>
      <c r="NWU101" s="53"/>
      <c r="NWV101" s="53"/>
      <c r="NWW101" s="53"/>
      <c r="NWX101" s="53"/>
      <c r="NWY101" s="53"/>
      <c r="NWZ101" s="53"/>
      <c r="NXA101" s="53"/>
      <c r="NXB101" s="53"/>
      <c r="NXC101" s="53"/>
      <c r="NXD101" s="53"/>
      <c r="NXE101" s="53"/>
      <c r="NXF101" s="53"/>
      <c r="NXG101" s="53"/>
      <c r="NXH101" s="53"/>
      <c r="NXI101" s="53"/>
      <c r="NXJ101" s="53"/>
      <c r="NXK101" s="53"/>
      <c r="NXL101" s="53"/>
      <c r="NXM101" s="53"/>
      <c r="NXN101" s="53"/>
      <c r="NXO101" s="53"/>
      <c r="NXP101" s="53"/>
      <c r="NXQ101" s="53"/>
      <c r="NXR101" s="53"/>
      <c r="NXS101" s="53"/>
      <c r="NXT101" s="53"/>
      <c r="NXU101" s="53"/>
      <c r="NXV101" s="53"/>
      <c r="NXW101" s="53"/>
      <c r="NXX101" s="53"/>
      <c r="NXY101" s="53"/>
      <c r="NXZ101" s="53"/>
      <c r="NYA101" s="53"/>
      <c r="NYB101" s="53"/>
      <c r="NYC101" s="53"/>
      <c r="NYD101" s="53"/>
      <c r="NYE101" s="53"/>
      <c r="NYF101" s="53"/>
      <c r="NYG101" s="53"/>
      <c r="NYH101" s="53"/>
      <c r="NYI101" s="53"/>
      <c r="NYJ101" s="53"/>
      <c r="NYK101" s="53"/>
      <c r="NYL101" s="53"/>
      <c r="NYM101" s="53"/>
      <c r="NYN101" s="53"/>
      <c r="NYO101" s="53"/>
      <c r="NYP101" s="53"/>
      <c r="NYQ101" s="53"/>
      <c r="NYR101" s="53"/>
      <c r="NYS101" s="53"/>
      <c r="NYT101" s="53"/>
      <c r="NYU101" s="53"/>
      <c r="NYV101" s="53"/>
      <c r="NYW101" s="53"/>
      <c r="NYX101" s="53"/>
      <c r="NYY101" s="53"/>
      <c r="NYZ101" s="53"/>
      <c r="NZA101" s="53"/>
      <c r="NZB101" s="53"/>
      <c r="NZC101" s="53"/>
      <c r="NZD101" s="53"/>
      <c r="NZE101" s="53"/>
      <c r="NZF101" s="53"/>
      <c r="NZG101" s="53"/>
      <c r="NZH101" s="53"/>
      <c r="NZI101" s="53"/>
      <c r="NZJ101" s="53"/>
      <c r="NZK101" s="53"/>
      <c r="NZL101" s="53"/>
      <c r="NZM101" s="53"/>
      <c r="NZN101" s="53"/>
      <c r="NZO101" s="53"/>
      <c r="NZP101" s="53"/>
      <c r="NZQ101" s="53"/>
      <c r="NZR101" s="53"/>
      <c r="NZS101" s="53"/>
      <c r="NZT101" s="53"/>
      <c r="NZU101" s="53"/>
      <c r="NZV101" s="53"/>
      <c r="NZW101" s="53"/>
      <c r="NZX101" s="53"/>
      <c r="NZY101" s="53"/>
      <c r="NZZ101" s="53"/>
      <c r="OAA101" s="53"/>
      <c r="OAB101" s="53"/>
      <c r="OAC101" s="53"/>
      <c r="OAD101" s="53"/>
      <c r="OAE101" s="53"/>
      <c r="OAF101" s="53"/>
      <c r="OAG101" s="53"/>
      <c r="OAH101" s="53"/>
      <c r="OAI101" s="53"/>
      <c r="OAJ101" s="53"/>
      <c r="OAK101" s="53"/>
      <c r="OAL101" s="53"/>
      <c r="OAM101" s="53"/>
      <c r="OAN101" s="53"/>
      <c r="OAO101" s="53"/>
      <c r="OAP101" s="53"/>
      <c r="OAQ101" s="53"/>
      <c r="OAR101" s="53"/>
      <c r="OAS101" s="53"/>
      <c r="OAT101" s="53"/>
      <c r="OAU101" s="53"/>
      <c r="OAV101" s="53"/>
      <c r="OAW101" s="53"/>
      <c r="OAX101" s="53"/>
      <c r="OAY101" s="53"/>
      <c r="OAZ101" s="53"/>
      <c r="OBA101" s="53"/>
      <c r="OBB101" s="53"/>
      <c r="OBC101" s="53"/>
      <c r="OBD101" s="53"/>
      <c r="OBE101" s="53"/>
      <c r="OBF101" s="53"/>
      <c r="OBG101" s="53"/>
      <c r="OBH101" s="53"/>
      <c r="OBI101" s="53"/>
      <c r="OBJ101" s="53"/>
      <c r="OBK101" s="53"/>
      <c r="OBL101" s="53"/>
      <c r="OBM101" s="53"/>
      <c r="OBN101" s="53"/>
      <c r="OBO101" s="53"/>
      <c r="OBP101" s="53"/>
      <c r="OBQ101" s="53"/>
      <c r="OBR101" s="53"/>
      <c r="OBS101" s="53"/>
      <c r="OBT101" s="53"/>
      <c r="OBU101" s="53"/>
      <c r="OBV101" s="53"/>
      <c r="OBW101" s="53"/>
      <c r="OBX101" s="53"/>
      <c r="OBY101" s="53"/>
      <c r="OBZ101" s="53"/>
      <c r="OCA101" s="53"/>
      <c r="OCB101" s="53"/>
      <c r="OCC101" s="53"/>
      <c r="OCD101" s="53"/>
      <c r="OCE101" s="53"/>
      <c r="OCF101" s="53"/>
      <c r="OCG101" s="53"/>
      <c r="OCH101" s="53"/>
      <c r="OCI101" s="53"/>
      <c r="OCJ101" s="53"/>
      <c r="OCK101" s="53"/>
      <c r="OCL101" s="53"/>
      <c r="OCM101" s="53"/>
      <c r="OCN101" s="53"/>
      <c r="OCO101" s="53"/>
      <c r="OCP101" s="53"/>
      <c r="OCQ101" s="53"/>
      <c r="OCR101" s="53"/>
      <c r="OCS101" s="53"/>
      <c r="OCT101" s="53"/>
      <c r="OCU101" s="53"/>
      <c r="OCV101" s="53"/>
      <c r="OCW101" s="53"/>
      <c r="OCX101" s="53"/>
      <c r="OCY101" s="53"/>
      <c r="OCZ101" s="53"/>
      <c r="ODA101" s="53"/>
      <c r="ODB101" s="53"/>
      <c r="ODC101" s="53"/>
      <c r="ODD101" s="53"/>
      <c r="ODE101" s="53"/>
      <c r="ODF101" s="53"/>
      <c r="ODG101" s="53"/>
      <c r="ODH101" s="53"/>
      <c r="ODI101" s="53"/>
      <c r="ODJ101" s="53"/>
      <c r="ODK101" s="53"/>
      <c r="ODL101" s="53"/>
      <c r="ODM101" s="53"/>
      <c r="ODN101" s="53"/>
      <c r="ODO101" s="53"/>
      <c r="ODP101" s="53"/>
      <c r="ODQ101" s="53"/>
      <c r="ODR101" s="53"/>
      <c r="ODS101" s="53"/>
      <c r="ODT101" s="53"/>
      <c r="ODU101" s="53"/>
      <c r="ODV101" s="53"/>
      <c r="ODW101" s="53"/>
      <c r="ODX101" s="53"/>
      <c r="ODY101" s="53"/>
      <c r="ODZ101" s="53"/>
      <c r="OEA101" s="53"/>
      <c r="OEB101" s="53"/>
      <c r="OEC101" s="53"/>
      <c r="OED101" s="53"/>
      <c r="OEE101" s="53"/>
      <c r="OEF101" s="53"/>
      <c r="OEG101" s="53"/>
      <c r="OEH101" s="53"/>
      <c r="OEI101" s="53"/>
      <c r="OEJ101" s="53"/>
      <c r="OEK101" s="53"/>
      <c r="OEL101" s="53"/>
      <c r="OEM101" s="53"/>
      <c r="OEN101" s="53"/>
      <c r="OEO101" s="53"/>
      <c r="OEP101" s="53"/>
      <c r="OEQ101" s="53"/>
      <c r="OER101" s="53"/>
      <c r="OES101" s="53"/>
      <c r="OET101" s="53"/>
      <c r="OEU101" s="53"/>
      <c r="OEV101" s="53"/>
      <c r="OEW101" s="53"/>
      <c r="OEX101" s="53"/>
      <c r="OEY101" s="53"/>
      <c r="OEZ101" s="53"/>
      <c r="OFA101" s="53"/>
      <c r="OFB101" s="53"/>
      <c r="OFC101" s="53"/>
      <c r="OFD101" s="53"/>
      <c r="OFE101" s="53"/>
      <c r="OFF101" s="53"/>
      <c r="OFG101" s="53"/>
      <c r="OFH101" s="53"/>
      <c r="OFI101" s="53"/>
      <c r="OFJ101" s="53"/>
      <c r="OFK101" s="53"/>
      <c r="OFL101" s="53"/>
      <c r="OFM101" s="53"/>
      <c r="OFN101" s="53"/>
      <c r="OFO101" s="53"/>
      <c r="OFP101" s="53"/>
      <c r="OFQ101" s="53"/>
      <c r="OFR101" s="53"/>
      <c r="OFS101" s="53"/>
      <c r="OFT101" s="53"/>
      <c r="OFU101" s="53"/>
      <c r="OFV101" s="53"/>
      <c r="OFW101" s="53"/>
      <c r="OFX101" s="53"/>
      <c r="OFY101" s="53"/>
      <c r="OFZ101" s="53"/>
      <c r="OGA101" s="53"/>
      <c r="OGB101" s="53"/>
      <c r="OGC101" s="53"/>
      <c r="OGD101" s="53"/>
      <c r="OGE101" s="53"/>
      <c r="OGF101" s="53"/>
      <c r="OGG101" s="53"/>
      <c r="OGH101" s="53"/>
      <c r="OGI101" s="53"/>
      <c r="OGJ101" s="53"/>
      <c r="OGK101" s="53"/>
      <c r="OGL101" s="53"/>
      <c r="OGM101" s="53"/>
      <c r="OGN101" s="53"/>
      <c r="OGO101" s="53"/>
      <c r="OGP101" s="53"/>
      <c r="OGQ101" s="53"/>
      <c r="OGR101" s="53"/>
      <c r="OGS101" s="53"/>
      <c r="OGT101" s="53"/>
      <c r="OGU101" s="53"/>
      <c r="OGV101" s="53"/>
      <c r="OGW101" s="53"/>
      <c r="OGX101" s="53"/>
      <c r="OGY101" s="53"/>
      <c r="OGZ101" s="53"/>
      <c r="OHA101" s="53"/>
      <c r="OHB101" s="53"/>
      <c r="OHC101" s="53"/>
      <c r="OHD101" s="53"/>
      <c r="OHE101" s="53"/>
      <c r="OHF101" s="53"/>
      <c r="OHG101" s="53"/>
      <c r="OHH101" s="53"/>
      <c r="OHI101" s="53"/>
      <c r="OHJ101" s="53"/>
      <c r="OHK101" s="53"/>
      <c r="OHL101" s="53"/>
      <c r="OHM101" s="53"/>
      <c r="OHN101" s="53"/>
      <c r="OHO101" s="53"/>
      <c r="OHP101" s="53"/>
      <c r="OHQ101" s="53"/>
      <c r="OHR101" s="53"/>
      <c r="OHS101" s="53"/>
      <c r="OHT101" s="53"/>
      <c r="OHU101" s="53"/>
      <c r="OHV101" s="53"/>
      <c r="OHW101" s="53"/>
      <c r="OHX101" s="53"/>
      <c r="OHY101" s="53"/>
      <c r="OHZ101" s="53"/>
      <c r="OIA101" s="53"/>
      <c r="OIB101" s="53"/>
      <c r="OIC101" s="53"/>
      <c r="OID101" s="53"/>
      <c r="OIE101" s="53"/>
      <c r="OIF101" s="53"/>
      <c r="OIG101" s="53"/>
      <c r="OIH101" s="53"/>
      <c r="OII101" s="53"/>
      <c r="OIJ101" s="53"/>
      <c r="OIK101" s="53"/>
      <c r="OIL101" s="53"/>
      <c r="OIM101" s="53"/>
      <c r="OIN101" s="53"/>
      <c r="OIO101" s="53"/>
      <c r="OIP101" s="53"/>
      <c r="OIQ101" s="53"/>
      <c r="OIR101" s="53"/>
      <c r="OIS101" s="53"/>
      <c r="OIT101" s="53"/>
      <c r="OIU101" s="53"/>
      <c r="OIV101" s="53"/>
      <c r="OIW101" s="53"/>
      <c r="OIX101" s="53"/>
      <c r="OIY101" s="53"/>
      <c r="OIZ101" s="53"/>
      <c r="OJA101" s="53"/>
      <c r="OJB101" s="53"/>
      <c r="OJC101" s="53"/>
      <c r="OJD101" s="53"/>
      <c r="OJE101" s="53"/>
      <c r="OJF101" s="53"/>
      <c r="OJG101" s="53"/>
      <c r="OJH101" s="53"/>
      <c r="OJI101" s="53"/>
      <c r="OJJ101" s="53"/>
      <c r="OJK101" s="53"/>
      <c r="OJL101" s="53"/>
      <c r="OJM101" s="53"/>
      <c r="OJN101" s="53"/>
      <c r="OJO101" s="53"/>
      <c r="OJP101" s="53"/>
      <c r="OJQ101" s="53"/>
      <c r="OJR101" s="53"/>
      <c r="OJS101" s="53"/>
      <c r="OJT101" s="53"/>
      <c r="OJU101" s="53"/>
      <c r="OJV101" s="53"/>
      <c r="OJW101" s="53"/>
      <c r="OJX101" s="53"/>
      <c r="OJY101" s="53"/>
      <c r="OJZ101" s="53"/>
      <c r="OKA101" s="53"/>
      <c r="OKB101" s="53"/>
      <c r="OKC101" s="53"/>
      <c r="OKD101" s="53"/>
      <c r="OKE101" s="53"/>
      <c r="OKF101" s="53"/>
      <c r="OKG101" s="53"/>
      <c r="OKH101" s="53"/>
      <c r="OKI101" s="53"/>
      <c r="OKJ101" s="53"/>
      <c r="OKK101" s="53"/>
      <c r="OKL101" s="53"/>
      <c r="OKM101" s="53"/>
      <c r="OKN101" s="53"/>
      <c r="OKO101" s="53"/>
      <c r="OKP101" s="53"/>
      <c r="OKQ101" s="53"/>
      <c r="OKR101" s="53"/>
      <c r="OKS101" s="53"/>
      <c r="OKT101" s="53"/>
      <c r="OKU101" s="53"/>
      <c r="OKV101" s="53"/>
      <c r="OKW101" s="53"/>
      <c r="OKX101" s="53"/>
      <c r="OKY101" s="53"/>
      <c r="OKZ101" s="53"/>
      <c r="OLA101" s="53"/>
      <c r="OLB101" s="53"/>
      <c r="OLC101" s="53"/>
      <c r="OLD101" s="53"/>
      <c r="OLE101" s="53"/>
      <c r="OLF101" s="53"/>
      <c r="OLG101" s="53"/>
      <c r="OLH101" s="53"/>
      <c r="OLI101" s="53"/>
      <c r="OLJ101" s="53"/>
      <c r="OLK101" s="53"/>
      <c r="OLL101" s="53"/>
      <c r="OLM101" s="53"/>
      <c r="OLN101" s="53"/>
      <c r="OLO101" s="53"/>
      <c r="OLP101" s="53"/>
      <c r="OLQ101" s="53"/>
      <c r="OLR101" s="53"/>
      <c r="OLS101" s="53"/>
      <c r="OLT101" s="53"/>
      <c r="OLU101" s="53"/>
      <c r="OLV101" s="53"/>
      <c r="OLW101" s="53"/>
      <c r="OLX101" s="53"/>
      <c r="OLY101" s="53"/>
      <c r="OLZ101" s="53"/>
      <c r="OMA101" s="53"/>
      <c r="OMB101" s="53"/>
      <c r="OMC101" s="53"/>
      <c r="OMD101" s="53"/>
      <c r="OME101" s="53"/>
      <c r="OMF101" s="53"/>
      <c r="OMG101" s="53"/>
      <c r="OMH101" s="53"/>
      <c r="OMI101" s="53"/>
      <c r="OMJ101" s="53"/>
      <c r="OMK101" s="53"/>
      <c r="OML101" s="53"/>
      <c r="OMM101" s="53"/>
      <c r="OMN101" s="53"/>
      <c r="OMO101" s="53"/>
      <c r="OMP101" s="53"/>
      <c r="OMQ101" s="53"/>
      <c r="OMR101" s="53"/>
      <c r="OMS101" s="53"/>
      <c r="OMT101" s="53"/>
      <c r="OMU101" s="53"/>
      <c r="OMV101" s="53"/>
      <c r="OMW101" s="53"/>
      <c r="OMX101" s="53"/>
      <c r="OMY101" s="53"/>
      <c r="OMZ101" s="53"/>
      <c r="ONA101" s="53"/>
      <c r="ONB101" s="53"/>
      <c r="ONC101" s="53"/>
      <c r="OND101" s="53"/>
      <c r="ONE101" s="53"/>
      <c r="ONF101" s="53"/>
      <c r="ONG101" s="53"/>
      <c r="ONH101" s="53"/>
      <c r="ONI101" s="53"/>
      <c r="ONJ101" s="53"/>
      <c r="ONK101" s="53"/>
      <c r="ONL101" s="53"/>
      <c r="ONM101" s="53"/>
      <c r="ONN101" s="53"/>
      <c r="ONO101" s="53"/>
      <c r="ONP101" s="53"/>
      <c r="ONQ101" s="53"/>
      <c r="ONR101" s="53"/>
      <c r="ONS101" s="53"/>
      <c r="ONT101" s="53"/>
      <c r="ONU101" s="53"/>
      <c r="ONV101" s="53"/>
      <c r="ONW101" s="53"/>
      <c r="ONX101" s="53"/>
      <c r="ONY101" s="53"/>
      <c r="ONZ101" s="53"/>
      <c r="OOA101" s="53"/>
      <c r="OOB101" s="53"/>
      <c r="OOC101" s="53"/>
      <c r="OOD101" s="53"/>
      <c r="OOE101" s="53"/>
      <c r="OOF101" s="53"/>
      <c r="OOG101" s="53"/>
      <c r="OOH101" s="53"/>
      <c r="OOI101" s="53"/>
      <c r="OOJ101" s="53"/>
      <c r="OOK101" s="53"/>
      <c r="OOL101" s="53"/>
      <c r="OOM101" s="53"/>
      <c r="OON101" s="53"/>
      <c r="OOO101" s="53"/>
      <c r="OOP101" s="53"/>
      <c r="OOQ101" s="53"/>
      <c r="OOR101" s="53"/>
      <c r="OOS101" s="53"/>
      <c r="OOT101" s="53"/>
      <c r="OOU101" s="53"/>
      <c r="OOV101" s="53"/>
      <c r="OOW101" s="53"/>
      <c r="OOX101" s="53"/>
      <c r="OOY101" s="53"/>
      <c r="OOZ101" s="53"/>
      <c r="OPA101" s="53"/>
      <c r="OPB101" s="53"/>
      <c r="OPC101" s="53"/>
      <c r="OPD101" s="53"/>
      <c r="OPE101" s="53"/>
      <c r="OPF101" s="53"/>
      <c r="OPG101" s="53"/>
      <c r="OPH101" s="53"/>
      <c r="OPI101" s="53"/>
      <c r="OPJ101" s="53"/>
      <c r="OPK101" s="53"/>
      <c r="OPL101" s="53"/>
      <c r="OPM101" s="53"/>
      <c r="OPN101" s="53"/>
      <c r="OPO101" s="53"/>
      <c r="OPP101" s="53"/>
      <c r="OPQ101" s="53"/>
      <c r="OPR101" s="53"/>
      <c r="OPS101" s="53"/>
      <c r="OPT101" s="53"/>
      <c r="OPU101" s="53"/>
      <c r="OPV101" s="53"/>
      <c r="OPW101" s="53"/>
      <c r="OPX101" s="53"/>
      <c r="OPY101" s="53"/>
      <c r="OPZ101" s="53"/>
      <c r="OQA101" s="53"/>
      <c r="OQB101" s="53"/>
      <c r="OQC101" s="53"/>
      <c r="OQD101" s="53"/>
      <c r="OQE101" s="53"/>
      <c r="OQF101" s="53"/>
      <c r="OQG101" s="53"/>
      <c r="OQH101" s="53"/>
      <c r="OQI101" s="53"/>
      <c r="OQJ101" s="53"/>
      <c r="OQK101" s="53"/>
      <c r="OQL101" s="53"/>
      <c r="OQM101" s="53"/>
      <c r="OQN101" s="53"/>
      <c r="OQO101" s="53"/>
      <c r="OQP101" s="53"/>
      <c r="OQQ101" s="53"/>
      <c r="OQR101" s="53"/>
      <c r="OQS101" s="53"/>
      <c r="OQT101" s="53"/>
      <c r="OQU101" s="53"/>
      <c r="OQV101" s="53"/>
      <c r="OQW101" s="53"/>
      <c r="OQX101" s="53"/>
      <c r="OQY101" s="53"/>
      <c r="OQZ101" s="53"/>
      <c r="ORA101" s="53"/>
      <c r="ORB101" s="53"/>
      <c r="ORC101" s="53"/>
      <c r="ORD101" s="53"/>
      <c r="ORE101" s="53"/>
      <c r="ORF101" s="53"/>
      <c r="ORG101" s="53"/>
      <c r="ORH101" s="53"/>
      <c r="ORI101" s="53"/>
      <c r="ORJ101" s="53"/>
      <c r="ORK101" s="53"/>
      <c r="ORL101" s="53"/>
      <c r="ORM101" s="53"/>
      <c r="ORN101" s="53"/>
      <c r="ORO101" s="53"/>
      <c r="ORP101" s="53"/>
      <c r="ORQ101" s="53"/>
      <c r="ORR101" s="53"/>
      <c r="ORS101" s="53"/>
      <c r="ORT101" s="53"/>
      <c r="ORU101" s="53"/>
      <c r="ORV101" s="53"/>
      <c r="ORW101" s="53"/>
      <c r="ORX101" s="53"/>
      <c r="ORY101" s="53"/>
      <c r="ORZ101" s="53"/>
      <c r="OSA101" s="53"/>
      <c r="OSB101" s="53"/>
      <c r="OSC101" s="53"/>
      <c r="OSD101" s="53"/>
      <c r="OSE101" s="53"/>
      <c r="OSF101" s="53"/>
      <c r="OSG101" s="53"/>
      <c r="OSH101" s="53"/>
      <c r="OSI101" s="53"/>
      <c r="OSJ101" s="53"/>
      <c r="OSK101" s="53"/>
      <c r="OSL101" s="53"/>
      <c r="OSM101" s="53"/>
      <c r="OSN101" s="53"/>
      <c r="OSO101" s="53"/>
      <c r="OSP101" s="53"/>
      <c r="OSQ101" s="53"/>
      <c r="OSR101" s="53"/>
      <c r="OSS101" s="53"/>
      <c r="OST101" s="53"/>
      <c r="OSU101" s="53"/>
      <c r="OSV101" s="53"/>
      <c r="OSW101" s="53"/>
      <c r="OSX101" s="53"/>
      <c r="OSY101" s="53"/>
      <c r="OSZ101" s="53"/>
      <c r="OTA101" s="53"/>
      <c r="OTB101" s="53"/>
      <c r="OTC101" s="53"/>
      <c r="OTD101" s="53"/>
      <c r="OTE101" s="53"/>
      <c r="OTF101" s="53"/>
      <c r="OTG101" s="53"/>
      <c r="OTH101" s="53"/>
      <c r="OTI101" s="53"/>
      <c r="OTJ101" s="53"/>
      <c r="OTK101" s="53"/>
      <c r="OTL101" s="53"/>
      <c r="OTM101" s="53"/>
      <c r="OTN101" s="53"/>
      <c r="OTO101" s="53"/>
      <c r="OTP101" s="53"/>
      <c r="OTQ101" s="53"/>
      <c r="OTR101" s="53"/>
      <c r="OTS101" s="53"/>
      <c r="OTT101" s="53"/>
      <c r="OTU101" s="53"/>
      <c r="OTV101" s="53"/>
      <c r="OTW101" s="53"/>
      <c r="OTX101" s="53"/>
      <c r="OTY101" s="53"/>
      <c r="OTZ101" s="53"/>
      <c r="OUA101" s="53"/>
      <c r="OUB101" s="53"/>
      <c r="OUC101" s="53"/>
      <c r="OUD101" s="53"/>
      <c r="OUE101" s="53"/>
      <c r="OUF101" s="53"/>
      <c r="OUG101" s="53"/>
      <c r="OUH101" s="53"/>
      <c r="OUI101" s="53"/>
      <c r="OUJ101" s="53"/>
      <c r="OUK101" s="53"/>
      <c r="OUL101" s="53"/>
      <c r="OUM101" s="53"/>
      <c r="OUN101" s="53"/>
      <c r="OUO101" s="53"/>
      <c r="OUP101" s="53"/>
      <c r="OUQ101" s="53"/>
      <c r="OUR101" s="53"/>
      <c r="OUS101" s="53"/>
      <c r="OUT101" s="53"/>
      <c r="OUU101" s="53"/>
      <c r="OUV101" s="53"/>
      <c r="OUW101" s="53"/>
      <c r="OUX101" s="53"/>
      <c r="OUY101" s="53"/>
      <c r="OUZ101" s="53"/>
      <c r="OVA101" s="53"/>
      <c r="OVB101" s="53"/>
      <c r="OVC101" s="53"/>
      <c r="OVD101" s="53"/>
      <c r="OVE101" s="53"/>
      <c r="OVF101" s="53"/>
      <c r="OVG101" s="53"/>
      <c r="OVH101" s="53"/>
      <c r="OVI101" s="53"/>
      <c r="OVJ101" s="53"/>
      <c r="OVK101" s="53"/>
      <c r="OVL101" s="53"/>
      <c r="OVM101" s="53"/>
      <c r="OVN101" s="53"/>
      <c r="OVO101" s="53"/>
      <c r="OVP101" s="53"/>
      <c r="OVQ101" s="53"/>
      <c r="OVR101" s="53"/>
      <c r="OVS101" s="53"/>
      <c r="OVT101" s="53"/>
      <c r="OVU101" s="53"/>
      <c r="OVV101" s="53"/>
      <c r="OVW101" s="53"/>
      <c r="OVX101" s="53"/>
      <c r="OVY101" s="53"/>
      <c r="OVZ101" s="53"/>
      <c r="OWA101" s="53"/>
      <c r="OWB101" s="53"/>
      <c r="OWC101" s="53"/>
      <c r="OWD101" s="53"/>
      <c r="OWE101" s="53"/>
      <c r="OWF101" s="53"/>
      <c r="OWG101" s="53"/>
      <c r="OWH101" s="53"/>
      <c r="OWI101" s="53"/>
      <c r="OWJ101" s="53"/>
      <c r="OWK101" s="53"/>
      <c r="OWL101" s="53"/>
      <c r="OWM101" s="53"/>
      <c r="OWN101" s="53"/>
      <c r="OWO101" s="53"/>
      <c r="OWP101" s="53"/>
      <c r="OWQ101" s="53"/>
      <c r="OWR101" s="53"/>
      <c r="OWS101" s="53"/>
      <c r="OWT101" s="53"/>
      <c r="OWU101" s="53"/>
      <c r="OWV101" s="53"/>
      <c r="OWW101" s="53"/>
      <c r="OWX101" s="53"/>
      <c r="OWY101" s="53"/>
      <c r="OWZ101" s="53"/>
      <c r="OXA101" s="53"/>
      <c r="OXB101" s="53"/>
      <c r="OXC101" s="53"/>
      <c r="OXD101" s="53"/>
      <c r="OXE101" s="53"/>
      <c r="OXF101" s="53"/>
      <c r="OXG101" s="53"/>
      <c r="OXH101" s="53"/>
      <c r="OXI101" s="53"/>
      <c r="OXJ101" s="53"/>
      <c r="OXK101" s="53"/>
      <c r="OXL101" s="53"/>
      <c r="OXM101" s="53"/>
      <c r="OXN101" s="53"/>
      <c r="OXO101" s="53"/>
      <c r="OXP101" s="53"/>
      <c r="OXQ101" s="53"/>
      <c r="OXR101" s="53"/>
      <c r="OXS101" s="53"/>
      <c r="OXT101" s="53"/>
      <c r="OXU101" s="53"/>
      <c r="OXV101" s="53"/>
      <c r="OXW101" s="53"/>
      <c r="OXX101" s="53"/>
      <c r="OXY101" s="53"/>
      <c r="OXZ101" s="53"/>
      <c r="OYA101" s="53"/>
      <c r="OYB101" s="53"/>
      <c r="OYC101" s="53"/>
      <c r="OYD101" s="53"/>
      <c r="OYE101" s="53"/>
      <c r="OYF101" s="53"/>
      <c r="OYG101" s="53"/>
      <c r="OYH101" s="53"/>
      <c r="OYI101" s="53"/>
      <c r="OYJ101" s="53"/>
      <c r="OYK101" s="53"/>
      <c r="OYL101" s="53"/>
      <c r="OYM101" s="53"/>
      <c r="OYN101" s="53"/>
      <c r="OYO101" s="53"/>
      <c r="OYP101" s="53"/>
      <c r="OYQ101" s="53"/>
      <c r="OYR101" s="53"/>
      <c r="OYS101" s="53"/>
      <c r="OYT101" s="53"/>
      <c r="OYU101" s="53"/>
      <c r="OYV101" s="53"/>
      <c r="OYW101" s="53"/>
      <c r="OYX101" s="53"/>
      <c r="OYY101" s="53"/>
      <c r="OYZ101" s="53"/>
      <c r="OZA101" s="53"/>
      <c r="OZB101" s="53"/>
      <c r="OZC101" s="53"/>
      <c r="OZD101" s="53"/>
      <c r="OZE101" s="53"/>
      <c r="OZF101" s="53"/>
      <c r="OZG101" s="53"/>
      <c r="OZH101" s="53"/>
      <c r="OZI101" s="53"/>
      <c r="OZJ101" s="53"/>
      <c r="OZK101" s="53"/>
      <c r="OZL101" s="53"/>
      <c r="OZM101" s="53"/>
      <c r="OZN101" s="53"/>
      <c r="OZO101" s="53"/>
      <c r="OZP101" s="53"/>
      <c r="OZQ101" s="53"/>
      <c r="OZR101" s="53"/>
      <c r="OZS101" s="53"/>
      <c r="OZT101" s="53"/>
      <c r="OZU101" s="53"/>
      <c r="OZV101" s="53"/>
      <c r="OZW101" s="53"/>
      <c r="OZX101" s="53"/>
      <c r="OZY101" s="53"/>
      <c r="OZZ101" s="53"/>
      <c r="PAA101" s="53"/>
      <c r="PAB101" s="53"/>
      <c r="PAC101" s="53"/>
      <c r="PAD101" s="53"/>
      <c r="PAE101" s="53"/>
      <c r="PAF101" s="53"/>
      <c r="PAG101" s="53"/>
      <c r="PAH101" s="53"/>
      <c r="PAI101" s="53"/>
      <c r="PAJ101" s="53"/>
      <c r="PAK101" s="53"/>
      <c r="PAL101" s="53"/>
      <c r="PAM101" s="53"/>
      <c r="PAN101" s="53"/>
      <c r="PAO101" s="53"/>
      <c r="PAP101" s="53"/>
      <c r="PAQ101" s="53"/>
      <c r="PAR101" s="53"/>
      <c r="PAS101" s="53"/>
      <c r="PAT101" s="53"/>
      <c r="PAU101" s="53"/>
      <c r="PAV101" s="53"/>
      <c r="PAW101" s="53"/>
      <c r="PAX101" s="53"/>
      <c r="PAY101" s="53"/>
      <c r="PAZ101" s="53"/>
      <c r="PBA101" s="53"/>
      <c r="PBB101" s="53"/>
      <c r="PBC101" s="53"/>
      <c r="PBD101" s="53"/>
      <c r="PBE101" s="53"/>
      <c r="PBF101" s="53"/>
      <c r="PBG101" s="53"/>
      <c r="PBH101" s="53"/>
      <c r="PBI101" s="53"/>
      <c r="PBJ101" s="53"/>
      <c r="PBK101" s="53"/>
      <c r="PBL101" s="53"/>
      <c r="PBM101" s="53"/>
      <c r="PBN101" s="53"/>
      <c r="PBO101" s="53"/>
      <c r="PBP101" s="53"/>
      <c r="PBQ101" s="53"/>
      <c r="PBR101" s="53"/>
      <c r="PBS101" s="53"/>
      <c r="PBT101" s="53"/>
      <c r="PBU101" s="53"/>
      <c r="PBV101" s="53"/>
      <c r="PBW101" s="53"/>
      <c r="PBX101" s="53"/>
      <c r="PBY101" s="53"/>
      <c r="PBZ101" s="53"/>
      <c r="PCA101" s="53"/>
      <c r="PCB101" s="53"/>
      <c r="PCC101" s="53"/>
      <c r="PCD101" s="53"/>
      <c r="PCE101" s="53"/>
      <c r="PCF101" s="53"/>
      <c r="PCG101" s="53"/>
      <c r="PCH101" s="53"/>
      <c r="PCI101" s="53"/>
      <c r="PCJ101" s="53"/>
      <c r="PCK101" s="53"/>
      <c r="PCL101" s="53"/>
      <c r="PCM101" s="53"/>
      <c r="PCN101" s="53"/>
      <c r="PCO101" s="53"/>
      <c r="PCP101" s="53"/>
      <c r="PCQ101" s="53"/>
      <c r="PCR101" s="53"/>
      <c r="PCS101" s="53"/>
      <c r="PCT101" s="53"/>
      <c r="PCU101" s="53"/>
      <c r="PCV101" s="53"/>
      <c r="PCW101" s="53"/>
      <c r="PCX101" s="53"/>
      <c r="PCY101" s="53"/>
      <c r="PCZ101" s="53"/>
      <c r="PDA101" s="53"/>
      <c r="PDB101" s="53"/>
      <c r="PDC101" s="53"/>
      <c r="PDD101" s="53"/>
      <c r="PDE101" s="53"/>
      <c r="PDF101" s="53"/>
      <c r="PDG101" s="53"/>
      <c r="PDH101" s="53"/>
      <c r="PDI101" s="53"/>
      <c r="PDJ101" s="53"/>
      <c r="PDK101" s="53"/>
      <c r="PDL101" s="53"/>
      <c r="PDM101" s="53"/>
      <c r="PDN101" s="53"/>
      <c r="PDO101" s="53"/>
      <c r="PDP101" s="53"/>
      <c r="PDQ101" s="53"/>
      <c r="PDR101" s="53"/>
      <c r="PDS101" s="53"/>
      <c r="PDT101" s="53"/>
      <c r="PDU101" s="53"/>
      <c r="PDV101" s="53"/>
      <c r="PDW101" s="53"/>
      <c r="PDX101" s="53"/>
      <c r="PDY101" s="53"/>
      <c r="PDZ101" s="53"/>
      <c r="PEA101" s="53"/>
      <c r="PEB101" s="53"/>
      <c r="PEC101" s="53"/>
      <c r="PED101" s="53"/>
      <c r="PEE101" s="53"/>
      <c r="PEF101" s="53"/>
      <c r="PEG101" s="53"/>
      <c r="PEH101" s="53"/>
      <c r="PEI101" s="53"/>
      <c r="PEJ101" s="53"/>
      <c r="PEK101" s="53"/>
      <c r="PEL101" s="53"/>
      <c r="PEM101" s="53"/>
      <c r="PEN101" s="53"/>
      <c r="PEO101" s="53"/>
      <c r="PEP101" s="53"/>
      <c r="PEQ101" s="53"/>
      <c r="PER101" s="53"/>
      <c r="PES101" s="53"/>
      <c r="PET101" s="53"/>
      <c r="PEU101" s="53"/>
      <c r="PEV101" s="53"/>
      <c r="PEW101" s="53"/>
      <c r="PEX101" s="53"/>
      <c r="PEY101" s="53"/>
      <c r="PEZ101" s="53"/>
      <c r="PFA101" s="53"/>
      <c r="PFB101" s="53"/>
      <c r="PFC101" s="53"/>
      <c r="PFD101" s="53"/>
      <c r="PFE101" s="53"/>
      <c r="PFF101" s="53"/>
      <c r="PFG101" s="53"/>
      <c r="PFH101" s="53"/>
      <c r="PFI101" s="53"/>
      <c r="PFJ101" s="53"/>
      <c r="PFK101" s="53"/>
      <c r="PFL101" s="53"/>
      <c r="PFM101" s="53"/>
      <c r="PFN101" s="53"/>
      <c r="PFO101" s="53"/>
      <c r="PFP101" s="53"/>
      <c r="PFQ101" s="53"/>
      <c r="PFR101" s="53"/>
      <c r="PFS101" s="53"/>
      <c r="PFT101" s="53"/>
      <c r="PFU101" s="53"/>
      <c r="PFV101" s="53"/>
      <c r="PFW101" s="53"/>
      <c r="PFX101" s="53"/>
      <c r="PFY101" s="53"/>
      <c r="PFZ101" s="53"/>
      <c r="PGA101" s="53"/>
      <c r="PGB101" s="53"/>
      <c r="PGC101" s="53"/>
      <c r="PGD101" s="53"/>
      <c r="PGE101" s="53"/>
      <c r="PGF101" s="53"/>
      <c r="PGG101" s="53"/>
      <c r="PGH101" s="53"/>
      <c r="PGI101" s="53"/>
      <c r="PGJ101" s="53"/>
      <c r="PGK101" s="53"/>
      <c r="PGL101" s="53"/>
      <c r="PGM101" s="53"/>
      <c r="PGN101" s="53"/>
      <c r="PGO101" s="53"/>
      <c r="PGP101" s="53"/>
      <c r="PGQ101" s="53"/>
      <c r="PGR101" s="53"/>
      <c r="PGS101" s="53"/>
      <c r="PGT101" s="53"/>
      <c r="PGU101" s="53"/>
      <c r="PGV101" s="53"/>
      <c r="PGW101" s="53"/>
      <c r="PGX101" s="53"/>
      <c r="PGY101" s="53"/>
      <c r="PGZ101" s="53"/>
      <c r="PHA101" s="53"/>
      <c r="PHB101" s="53"/>
      <c r="PHC101" s="53"/>
      <c r="PHD101" s="53"/>
      <c r="PHE101" s="53"/>
      <c r="PHF101" s="53"/>
      <c r="PHG101" s="53"/>
      <c r="PHH101" s="53"/>
      <c r="PHI101" s="53"/>
      <c r="PHJ101" s="53"/>
      <c r="PHK101" s="53"/>
      <c r="PHL101" s="53"/>
      <c r="PHM101" s="53"/>
      <c r="PHN101" s="53"/>
      <c r="PHO101" s="53"/>
      <c r="PHP101" s="53"/>
      <c r="PHQ101" s="53"/>
      <c r="PHR101" s="53"/>
      <c r="PHS101" s="53"/>
      <c r="PHT101" s="53"/>
      <c r="PHU101" s="53"/>
      <c r="PHV101" s="53"/>
      <c r="PHW101" s="53"/>
      <c r="PHX101" s="53"/>
      <c r="PHY101" s="53"/>
      <c r="PHZ101" s="53"/>
      <c r="PIA101" s="53"/>
      <c r="PIB101" s="53"/>
      <c r="PIC101" s="53"/>
      <c r="PID101" s="53"/>
      <c r="PIE101" s="53"/>
      <c r="PIF101" s="53"/>
      <c r="PIG101" s="53"/>
      <c r="PIH101" s="53"/>
      <c r="PII101" s="53"/>
      <c r="PIJ101" s="53"/>
      <c r="PIK101" s="53"/>
      <c r="PIL101" s="53"/>
      <c r="PIM101" s="53"/>
      <c r="PIN101" s="53"/>
      <c r="PIO101" s="53"/>
      <c r="PIP101" s="53"/>
      <c r="PIQ101" s="53"/>
      <c r="PIR101" s="53"/>
      <c r="PIS101" s="53"/>
      <c r="PIT101" s="53"/>
      <c r="PIU101" s="53"/>
      <c r="PIV101" s="53"/>
      <c r="PIW101" s="53"/>
      <c r="PIX101" s="53"/>
      <c r="PIY101" s="53"/>
      <c r="PIZ101" s="53"/>
      <c r="PJA101" s="53"/>
      <c r="PJB101" s="53"/>
      <c r="PJC101" s="53"/>
      <c r="PJD101" s="53"/>
      <c r="PJE101" s="53"/>
      <c r="PJF101" s="53"/>
      <c r="PJG101" s="53"/>
      <c r="PJH101" s="53"/>
      <c r="PJI101" s="53"/>
      <c r="PJJ101" s="53"/>
      <c r="PJK101" s="53"/>
      <c r="PJL101" s="53"/>
      <c r="PJM101" s="53"/>
      <c r="PJN101" s="53"/>
      <c r="PJO101" s="53"/>
      <c r="PJP101" s="53"/>
      <c r="PJQ101" s="53"/>
      <c r="PJR101" s="53"/>
      <c r="PJS101" s="53"/>
      <c r="PJT101" s="53"/>
      <c r="PJU101" s="53"/>
      <c r="PJV101" s="53"/>
      <c r="PJW101" s="53"/>
      <c r="PJX101" s="53"/>
      <c r="PJY101" s="53"/>
      <c r="PJZ101" s="53"/>
      <c r="PKA101" s="53"/>
      <c r="PKB101" s="53"/>
      <c r="PKC101" s="53"/>
      <c r="PKD101" s="53"/>
      <c r="PKE101" s="53"/>
      <c r="PKF101" s="53"/>
      <c r="PKG101" s="53"/>
      <c r="PKH101" s="53"/>
      <c r="PKI101" s="53"/>
      <c r="PKJ101" s="53"/>
      <c r="PKK101" s="53"/>
      <c r="PKL101" s="53"/>
      <c r="PKM101" s="53"/>
      <c r="PKN101" s="53"/>
      <c r="PKO101" s="53"/>
      <c r="PKP101" s="53"/>
      <c r="PKQ101" s="53"/>
      <c r="PKR101" s="53"/>
      <c r="PKS101" s="53"/>
      <c r="PKT101" s="53"/>
      <c r="PKU101" s="53"/>
      <c r="PKV101" s="53"/>
      <c r="PKW101" s="53"/>
      <c r="PKX101" s="53"/>
      <c r="PKY101" s="53"/>
      <c r="PKZ101" s="53"/>
      <c r="PLA101" s="53"/>
      <c r="PLB101" s="53"/>
      <c r="PLC101" s="53"/>
      <c r="PLD101" s="53"/>
      <c r="PLE101" s="53"/>
      <c r="PLF101" s="53"/>
      <c r="PLG101" s="53"/>
      <c r="PLH101" s="53"/>
      <c r="PLI101" s="53"/>
      <c r="PLJ101" s="53"/>
      <c r="PLK101" s="53"/>
      <c r="PLL101" s="53"/>
      <c r="PLM101" s="53"/>
      <c r="PLN101" s="53"/>
      <c r="PLO101" s="53"/>
      <c r="PLP101" s="53"/>
      <c r="PLQ101" s="53"/>
      <c r="PLR101" s="53"/>
      <c r="PLS101" s="53"/>
      <c r="PLT101" s="53"/>
      <c r="PLU101" s="53"/>
      <c r="PLV101" s="53"/>
      <c r="PLW101" s="53"/>
      <c r="PLX101" s="53"/>
      <c r="PLY101" s="53"/>
      <c r="PLZ101" s="53"/>
      <c r="PMA101" s="53"/>
      <c r="PMB101" s="53"/>
      <c r="PMC101" s="53"/>
      <c r="PMD101" s="53"/>
      <c r="PME101" s="53"/>
      <c r="PMF101" s="53"/>
      <c r="PMG101" s="53"/>
      <c r="PMH101" s="53"/>
      <c r="PMI101" s="53"/>
      <c r="PMJ101" s="53"/>
      <c r="PMK101" s="53"/>
      <c r="PML101" s="53"/>
      <c r="PMM101" s="53"/>
      <c r="PMN101" s="53"/>
      <c r="PMO101" s="53"/>
      <c r="PMP101" s="53"/>
      <c r="PMQ101" s="53"/>
      <c r="PMR101" s="53"/>
      <c r="PMS101" s="53"/>
      <c r="PMT101" s="53"/>
      <c r="PMU101" s="53"/>
      <c r="PMV101" s="53"/>
      <c r="PMW101" s="53"/>
      <c r="PMX101" s="53"/>
      <c r="PMY101" s="53"/>
      <c r="PMZ101" s="53"/>
      <c r="PNA101" s="53"/>
      <c r="PNB101" s="53"/>
      <c r="PNC101" s="53"/>
      <c r="PND101" s="53"/>
      <c r="PNE101" s="53"/>
      <c r="PNF101" s="53"/>
      <c r="PNG101" s="53"/>
      <c r="PNH101" s="53"/>
      <c r="PNI101" s="53"/>
      <c r="PNJ101" s="53"/>
      <c r="PNK101" s="53"/>
      <c r="PNL101" s="53"/>
      <c r="PNM101" s="53"/>
      <c r="PNN101" s="53"/>
      <c r="PNO101" s="53"/>
      <c r="PNP101" s="53"/>
      <c r="PNQ101" s="53"/>
      <c r="PNR101" s="53"/>
      <c r="PNS101" s="53"/>
      <c r="PNT101" s="53"/>
      <c r="PNU101" s="53"/>
      <c r="PNV101" s="53"/>
      <c r="PNW101" s="53"/>
      <c r="PNX101" s="53"/>
      <c r="PNY101" s="53"/>
      <c r="PNZ101" s="53"/>
      <c r="POA101" s="53"/>
      <c r="POB101" s="53"/>
      <c r="POC101" s="53"/>
      <c r="POD101" s="53"/>
      <c r="POE101" s="53"/>
      <c r="POF101" s="53"/>
      <c r="POG101" s="53"/>
      <c r="POH101" s="53"/>
      <c r="POI101" s="53"/>
      <c r="POJ101" s="53"/>
      <c r="POK101" s="53"/>
      <c r="POL101" s="53"/>
      <c r="POM101" s="53"/>
      <c r="PON101" s="53"/>
      <c r="POO101" s="53"/>
      <c r="POP101" s="53"/>
      <c r="POQ101" s="53"/>
      <c r="POR101" s="53"/>
      <c r="POS101" s="53"/>
      <c r="POT101" s="53"/>
      <c r="POU101" s="53"/>
      <c r="POV101" s="53"/>
      <c r="POW101" s="53"/>
      <c r="POX101" s="53"/>
      <c r="POY101" s="53"/>
      <c r="POZ101" s="53"/>
      <c r="PPA101" s="53"/>
      <c r="PPB101" s="53"/>
      <c r="PPC101" s="53"/>
      <c r="PPD101" s="53"/>
      <c r="PPE101" s="53"/>
      <c r="PPF101" s="53"/>
      <c r="PPG101" s="53"/>
      <c r="PPH101" s="53"/>
      <c r="PPI101" s="53"/>
      <c r="PPJ101" s="53"/>
      <c r="PPK101" s="53"/>
      <c r="PPL101" s="53"/>
      <c r="PPM101" s="53"/>
      <c r="PPN101" s="53"/>
      <c r="PPO101" s="53"/>
      <c r="PPP101" s="53"/>
      <c r="PPQ101" s="53"/>
      <c r="PPR101" s="53"/>
      <c r="PPS101" s="53"/>
      <c r="PPT101" s="53"/>
      <c r="PPU101" s="53"/>
      <c r="PPV101" s="53"/>
      <c r="PPW101" s="53"/>
      <c r="PPX101" s="53"/>
      <c r="PPY101" s="53"/>
      <c r="PPZ101" s="53"/>
      <c r="PQA101" s="53"/>
      <c r="PQB101" s="53"/>
      <c r="PQC101" s="53"/>
      <c r="PQD101" s="53"/>
      <c r="PQE101" s="53"/>
      <c r="PQF101" s="53"/>
      <c r="PQG101" s="53"/>
      <c r="PQH101" s="53"/>
      <c r="PQI101" s="53"/>
      <c r="PQJ101" s="53"/>
      <c r="PQK101" s="53"/>
      <c r="PQL101" s="53"/>
      <c r="PQM101" s="53"/>
      <c r="PQN101" s="53"/>
      <c r="PQO101" s="53"/>
      <c r="PQP101" s="53"/>
      <c r="PQQ101" s="53"/>
      <c r="PQR101" s="53"/>
      <c r="PQS101" s="53"/>
      <c r="PQT101" s="53"/>
      <c r="PQU101" s="53"/>
      <c r="PQV101" s="53"/>
      <c r="PQW101" s="53"/>
      <c r="PQX101" s="53"/>
      <c r="PQY101" s="53"/>
      <c r="PQZ101" s="53"/>
      <c r="PRA101" s="53"/>
      <c r="PRB101" s="53"/>
      <c r="PRC101" s="53"/>
      <c r="PRD101" s="53"/>
      <c r="PRE101" s="53"/>
      <c r="PRF101" s="53"/>
      <c r="PRG101" s="53"/>
      <c r="PRH101" s="53"/>
      <c r="PRI101" s="53"/>
      <c r="PRJ101" s="53"/>
      <c r="PRK101" s="53"/>
      <c r="PRL101" s="53"/>
      <c r="PRM101" s="53"/>
      <c r="PRN101" s="53"/>
      <c r="PRO101" s="53"/>
      <c r="PRP101" s="53"/>
      <c r="PRQ101" s="53"/>
      <c r="PRR101" s="53"/>
      <c r="PRS101" s="53"/>
      <c r="PRT101" s="53"/>
      <c r="PRU101" s="53"/>
      <c r="PRV101" s="53"/>
      <c r="PRW101" s="53"/>
      <c r="PRX101" s="53"/>
      <c r="PRY101" s="53"/>
      <c r="PRZ101" s="53"/>
      <c r="PSA101" s="53"/>
      <c r="PSB101" s="53"/>
      <c r="PSC101" s="53"/>
      <c r="PSD101" s="53"/>
      <c r="PSE101" s="53"/>
      <c r="PSF101" s="53"/>
      <c r="PSG101" s="53"/>
      <c r="PSH101" s="53"/>
      <c r="PSI101" s="53"/>
      <c r="PSJ101" s="53"/>
      <c r="PSK101" s="53"/>
      <c r="PSL101" s="53"/>
      <c r="PSM101" s="53"/>
      <c r="PSN101" s="53"/>
      <c r="PSO101" s="53"/>
      <c r="PSP101" s="53"/>
      <c r="PSQ101" s="53"/>
      <c r="PSR101" s="53"/>
      <c r="PSS101" s="53"/>
      <c r="PST101" s="53"/>
      <c r="PSU101" s="53"/>
      <c r="PSV101" s="53"/>
      <c r="PSW101" s="53"/>
      <c r="PSX101" s="53"/>
      <c r="PSY101" s="53"/>
      <c r="PSZ101" s="53"/>
      <c r="PTA101" s="53"/>
      <c r="PTB101" s="53"/>
      <c r="PTC101" s="53"/>
      <c r="PTD101" s="53"/>
      <c r="PTE101" s="53"/>
      <c r="PTF101" s="53"/>
      <c r="PTG101" s="53"/>
      <c r="PTH101" s="53"/>
      <c r="PTI101" s="53"/>
      <c r="PTJ101" s="53"/>
      <c r="PTK101" s="53"/>
      <c r="PTL101" s="53"/>
      <c r="PTM101" s="53"/>
      <c r="PTN101" s="53"/>
      <c r="PTO101" s="53"/>
      <c r="PTP101" s="53"/>
      <c r="PTQ101" s="53"/>
      <c r="PTR101" s="53"/>
      <c r="PTS101" s="53"/>
      <c r="PTT101" s="53"/>
      <c r="PTU101" s="53"/>
      <c r="PTV101" s="53"/>
      <c r="PTW101" s="53"/>
      <c r="PTX101" s="53"/>
      <c r="PTY101" s="53"/>
      <c r="PTZ101" s="53"/>
      <c r="PUA101" s="53"/>
      <c r="PUB101" s="53"/>
      <c r="PUC101" s="53"/>
      <c r="PUD101" s="53"/>
      <c r="PUE101" s="53"/>
      <c r="PUF101" s="53"/>
      <c r="PUG101" s="53"/>
      <c r="PUH101" s="53"/>
      <c r="PUI101" s="53"/>
      <c r="PUJ101" s="53"/>
      <c r="PUK101" s="53"/>
      <c r="PUL101" s="53"/>
      <c r="PUM101" s="53"/>
      <c r="PUN101" s="53"/>
      <c r="PUO101" s="53"/>
      <c r="PUP101" s="53"/>
      <c r="PUQ101" s="53"/>
      <c r="PUR101" s="53"/>
      <c r="PUS101" s="53"/>
      <c r="PUT101" s="53"/>
      <c r="PUU101" s="53"/>
      <c r="PUV101" s="53"/>
      <c r="PUW101" s="53"/>
      <c r="PUX101" s="53"/>
      <c r="PUY101" s="53"/>
      <c r="PUZ101" s="53"/>
      <c r="PVA101" s="53"/>
      <c r="PVB101" s="53"/>
      <c r="PVC101" s="53"/>
      <c r="PVD101" s="53"/>
      <c r="PVE101" s="53"/>
      <c r="PVF101" s="53"/>
      <c r="PVG101" s="53"/>
      <c r="PVH101" s="53"/>
      <c r="PVI101" s="53"/>
      <c r="PVJ101" s="53"/>
      <c r="PVK101" s="53"/>
      <c r="PVL101" s="53"/>
      <c r="PVM101" s="53"/>
      <c r="PVN101" s="53"/>
      <c r="PVO101" s="53"/>
      <c r="PVP101" s="53"/>
      <c r="PVQ101" s="53"/>
      <c r="PVR101" s="53"/>
      <c r="PVS101" s="53"/>
      <c r="PVT101" s="53"/>
      <c r="PVU101" s="53"/>
      <c r="PVV101" s="53"/>
      <c r="PVW101" s="53"/>
      <c r="PVX101" s="53"/>
      <c r="PVY101" s="53"/>
      <c r="PVZ101" s="53"/>
      <c r="PWA101" s="53"/>
      <c r="PWB101" s="53"/>
      <c r="PWC101" s="53"/>
      <c r="PWD101" s="53"/>
      <c r="PWE101" s="53"/>
      <c r="PWF101" s="53"/>
      <c r="PWG101" s="53"/>
      <c r="PWH101" s="53"/>
      <c r="PWI101" s="53"/>
      <c r="PWJ101" s="53"/>
      <c r="PWK101" s="53"/>
      <c r="PWL101" s="53"/>
      <c r="PWM101" s="53"/>
      <c r="PWN101" s="53"/>
      <c r="PWO101" s="53"/>
      <c r="PWP101" s="53"/>
      <c r="PWQ101" s="53"/>
      <c r="PWR101" s="53"/>
      <c r="PWS101" s="53"/>
      <c r="PWT101" s="53"/>
      <c r="PWU101" s="53"/>
      <c r="PWV101" s="53"/>
      <c r="PWW101" s="53"/>
      <c r="PWX101" s="53"/>
      <c r="PWY101" s="53"/>
      <c r="PWZ101" s="53"/>
      <c r="PXA101" s="53"/>
      <c r="PXB101" s="53"/>
      <c r="PXC101" s="53"/>
      <c r="PXD101" s="53"/>
      <c r="PXE101" s="53"/>
      <c r="PXF101" s="53"/>
      <c r="PXG101" s="53"/>
      <c r="PXH101" s="53"/>
      <c r="PXI101" s="53"/>
      <c r="PXJ101" s="53"/>
      <c r="PXK101" s="53"/>
      <c r="PXL101" s="53"/>
      <c r="PXM101" s="53"/>
      <c r="PXN101" s="53"/>
      <c r="PXO101" s="53"/>
      <c r="PXP101" s="53"/>
      <c r="PXQ101" s="53"/>
      <c r="PXR101" s="53"/>
      <c r="PXS101" s="53"/>
      <c r="PXT101" s="53"/>
      <c r="PXU101" s="53"/>
      <c r="PXV101" s="53"/>
      <c r="PXW101" s="53"/>
      <c r="PXX101" s="53"/>
      <c r="PXY101" s="53"/>
      <c r="PXZ101" s="53"/>
      <c r="PYA101" s="53"/>
      <c r="PYB101" s="53"/>
      <c r="PYC101" s="53"/>
      <c r="PYD101" s="53"/>
      <c r="PYE101" s="53"/>
      <c r="PYF101" s="53"/>
      <c r="PYG101" s="53"/>
      <c r="PYH101" s="53"/>
      <c r="PYI101" s="53"/>
      <c r="PYJ101" s="53"/>
      <c r="PYK101" s="53"/>
      <c r="PYL101" s="53"/>
      <c r="PYM101" s="53"/>
      <c r="PYN101" s="53"/>
      <c r="PYO101" s="53"/>
      <c r="PYP101" s="53"/>
      <c r="PYQ101" s="53"/>
      <c r="PYR101" s="53"/>
      <c r="PYS101" s="53"/>
      <c r="PYT101" s="53"/>
      <c r="PYU101" s="53"/>
      <c r="PYV101" s="53"/>
      <c r="PYW101" s="53"/>
      <c r="PYX101" s="53"/>
      <c r="PYY101" s="53"/>
      <c r="PYZ101" s="53"/>
      <c r="PZA101" s="53"/>
      <c r="PZB101" s="53"/>
      <c r="PZC101" s="53"/>
      <c r="PZD101" s="53"/>
      <c r="PZE101" s="53"/>
      <c r="PZF101" s="53"/>
      <c r="PZG101" s="53"/>
      <c r="PZH101" s="53"/>
      <c r="PZI101" s="53"/>
      <c r="PZJ101" s="53"/>
      <c r="PZK101" s="53"/>
      <c r="PZL101" s="53"/>
      <c r="PZM101" s="53"/>
      <c r="PZN101" s="53"/>
      <c r="PZO101" s="53"/>
      <c r="PZP101" s="53"/>
      <c r="PZQ101" s="53"/>
      <c r="PZR101" s="53"/>
      <c r="PZS101" s="53"/>
      <c r="PZT101" s="53"/>
      <c r="PZU101" s="53"/>
      <c r="PZV101" s="53"/>
      <c r="PZW101" s="53"/>
      <c r="PZX101" s="53"/>
      <c r="PZY101" s="53"/>
      <c r="PZZ101" s="53"/>
      <c r="QAA101" s="53"/>
      <c r="QAB101" s="53"/>
      <c r="QAC101" s="53"/>
      <c r="QAD101" s="53"/>
      <c r="QAE101" s="53"/>
      <c r="QAF101" s="53"/>
      <c r="QAG101" s="53"/>
      <c r="QAH101" s="53"/>
      <c r="QAI101" s="53"/>
      <c r="QAJ101" s="53"/>
      <c r="QAK101" s="53"/>
      <c r="QAL101" s="53"/>
      <c r="QAM101" s="53"/>
      <c r="QAN101" s="53"/>
      <c r="QAO101" s="53"/>
      <c r="QAP101" s="53"/>
      <c r="QAQ101" s="53"/>
      <c r="QAR101" s="53"/>
      <c r="QAS101" s="53"/>
      <c r="QAT101" s="53"/>
      <c r="QAU101" s="53"/>
      <c r="QAV101" s="53"/>
      <c r="QAW101" s="53"/>
      <c r="QAX101" s="53"/>
      <c r="QAY101" s="53"/>
      <c r="QAZ101" s="53"/>
      <c r="QBA101" s="53"/>
      <c r="QBB101" s="53"/>
      <c r="QBC101" s="53"/>
      <c r="QBD101" s="53"/>
      <c r="QBE101" s="53"/>
      <c r="QBF101" s="53"/>
      <c r="QBG101" s="53"/>
      <c r="QBH101" s="53"/>
      <c r="QBI101" s="53"/>
      <c r="QBJ101" s="53"/>
      <c r="QBK101" s="53"/>
      <c r="QBL101" s="53"/>
      <c r="QBM101" s="53"/>
      <c r="QBN101" s="53"/>
      <c r="QBO101" s="53"/>
      <c r="QBP101" s="53"/>
      <c r="QBQ101" s="53"/>
      <c r="QBR101" s="53"/>
      <c r="QBS101" s="53"/>
      <c r="QBT101" s="53"/>
      <c r="QBU101" s="53"/>
      <c r="QBV101" s="53"/>
      <c r="QBW101" s="53"/>
      <c r="QBX101" s="53"/>
      <c r="QBY101" s="53"/>
      <c r="QBZ101" s="53"/>
      <c r="QCA101" s="53"/>
      <c r="QCB101" s="53"/>
      <c r="QCC101" s="53"/>
      <c r="QCD101" s="53"/>
      <c r="QCE101" s="53"/>
      <c r="QCF101" s="53"/>
      <c r="QCG101" s="53"/>
      <c r="QCH101" s="53"/>
      <c r="QCI101" s="53"/>
      <c r="QCJ101" s="53"/>
      <c r="QCK101" s="53"/>
      <c r="QCL101" s="53"/>
      <c r="QCM101" s="53"/>
      <c r="QCN101" s="53"/>
      <c r="QCO101" s="53"/>
      <c r="QCP101" s="53"/>
      <c r="QCQ101" s="53"/>
      <c r="QCR101" s="53"/>
      <c r="QCS101" s="53"/>
      <c r="QCT101" s="53"/>
      <c r="QCU101" s="53"/>
      <c r="QCV101" s="53"/>
      <c r="QCW101" s="53"/>
      <c r="QCX101" s="53"/>
      <c r="QCY101" s="53"/>
      <c r="QCZ101" s="53"/>
      <c r="QDA101" s="53"/>
      <c r="QDB101" s="53"/>
      <c r="QDC101" s="53"/>
      <c r="QDD101" s="53"/>
      <c r="QDE101" s="53"/>
      <c r="QDF101" s="53"/>
      <c r="QDG101" s="53"/>
      <c r="QDH101" s="53"/>
      <c r="QDI101" s="53"/>
      <c r="QDJ101" s="53"/>
      <c r="QDK101" s="53"/>
      <c r="QDL101" s="53"/>
      <c r="QDM101" s="53"/>
      <c r="QDN101" s="53"/>
      <c r="QDO101" s="53"/>
      <c r="QDP101" s="53"/>
      <c r="QDQ101" s="53"/>
      <c r="QDR101" s="53"/>
      <c r="QDS101" s="53"/>
      <c r="QDT101" s="53"/>
      <c r="QDU101" s="53"/>
      <c r="QDV101" s="53"/>
      <c r="QDW101" s="53"/>
      <c r="QDX101" s="53"/>
      <c r="QDY101" s="53"/>
      <c r="QDZ101" s="53"/>
      <c r="QEA101" s="53"/>
      <c r="QEB101" s="53"/>
      <c r="QEC101" s="53"/>
      <c r="QED101" s="53"/>
      <c r="QEE101" s="53"/>
      <c r="QEF101" s="53"/>
      <c r="QEG101" s="53"/>
      <c r="QEH101" s="53"/>
      <c r="QEI101" s="53"/>
      <c r="QEJ101" s="53"/>
      <c r="QEK101" s="53"/>
      <c r="QEL101" s="53"/>
      <c r="QEM101" s="53"/>
      <c r="QEN101" s="53"/>
      <c r="QEO101" s="53"/>
      <c r="QEP101" s="53"/>
      <c r="QEQ101" s="53"/>
      <c r="QER101" s="53"/>
      <c r="QES101" s="53"/>
      <c r="QET101" s="53"/>
      <c r="QEU101" s="53"/>
      <c r="QEV101" s="53"/>
      <c r="QEW101" s="53"/>
      <c r="QEX101" s="53"/>
      <c r="QEY101" s="53"/>
      <c r="QEZ101" s="53"/>
      <c r="QFA101" s="53"/>
      <c r="QFB101" s="53"/>
      <c r="QFC101" s="53"/>
      <c r="QFD101" s="53"/>
      <c r="QFE101" s="53"/>
      <c r="QFF101" s="53"/>
      <c r="QFG101" s="53"/>
      <c r="QFH101" s="53"/>
      <c r="QFI101" s="53"/>
      <c r="QFJ101" s="53"/>
      <c r="QFK101" s="53"/>
      <c r="QFL101" s="53"/>
      <c r="QFM101" s="53"/>
      <c r="QFN101" s="53"/>
      <c r="QFO101" s="53"/>
      <c r="QFP101" s="53"/>
      <c r="QFQ101" s="53"/>
      <c r="QFR101" s="53"/>
      <c r="QFS101" s="53"/>
      <c r="QFT101" s="53"/>
      <c r="QFU101" s="53"/>
      <c r="QFV101" s="53"/>
      <c r="QFW101" s="53"/>
      <c r="QFX101" s="53"/>
      <c r="QFY101" s="53"/>
      <c r="QFZ101" s="53"/>
      <c r="QGA101" s="53"/>
      <c r="QGB101" s="53"/>
      <c r="QGC101" s="53"/>
      <c r="QGD101" s="53"/>
      <c r="QGE101" s="53"/>
      <c r="QGF101" s="53"/>
      <c r="QGG101" s="53"/>
      <c r="QGH101" s="53"/>
      <c r="QGI101" s="53"/>
      <c r="QGJ101" s="53"/>
      <c r="QGK101" s="53"/>
      <c r="QGL101" s="53"/>
      <c r="QGM101" s="53"/>
      <c r="QGN101" s="53"/>
      <c r="QGO101" s="53"/>
      <c r="QGP101" s="53"/>
      <c r="QGQ101" s="53"/>
      <c r="QGR101" s="53"/>
      <c r="QGS101" s="53"/>
      <c r="QGT101" s="53"/>
      <c r="QGU101" s="53"/>
      <c r="QGV101" s="53"/>
      <c r="QGW101" s="53"/>
      <c r="QGX101" s="53"/>
      <c r="QGY101" s="53"/>
      <c r="QGZ101" s="53"/>
      <c r="QHA101" s="53"/>
      <c r="QHB101" s="53"/>
      <c r="QHC101" s="53"/>
      <c r="QHD101" s="53"/>
      <c r="QHE101" s="53"/>
      <c r="QHF101" s="53"/>
      <c r="QHG101" s="53"/>
      <c r="QHH101" s="53"/>
      <c r="QHI101" s="53"/>
      <c r="QHJ101" s="53"/>
      <c r="QHK101" s="53"/>
      <c r="QHL101" s="53"/>
      <c r="QHM101" s="53"/>
      <c r="QHN101" s="53"/>
      <c r="QHO101" s="53"/>
      <c r="QHP101" s="53"/>
      <c r="QHQ101" s="53"/>
      <c r="QHR101" s="53"/>
      <c r="QHS101" s="53"/>
      <c r="QHT101" s="53"/>
      <c r="QHU101" s="53"/>
      <c r="QHV101" s="53"/>
      <c r="QHW101" s="53"/>
      <c r="QHX101" s="53"/>
      <c r="QHY101" s="53"/>
      <c r="QHZ101" s="53"/>
      <c r="QIA101" s="53"/>
      <c r="QIB101" s="53"/>
      <c r="QIC101" s="53"/>
      <c r="QID101" s="53"/>
      <c r="QIE101" s="53"/>
      <c r="QIF101" s="53"/>
      <c r="QIG101" s="53"/>
      <c r="QIH101" s="53"/>
      <c r="QII101" s="53"/>
      <c r="QIJ101" s="53"/>
      <c r="QIK101" s="53"/>
      <c r="QIL101" s="53"/>
      <c r="QIM101" s="53"/>
      <c r="QIN101" s="53"/>
      <c r="QIO101" s="53"/>
      <c r="QIP101" s="53"/>
      <c r="QIQ101" s="53"/>
      <c r="QIR101" s="53"/>
      <c r="QIS101" s="53"/>
      <c r="QIT101" s="53"/>
      <c r="QIU101" s="53"/>
      <c r="QIV101" s="53"/>
      <c r="QIW101" s="53"/>
      <c r="QIX101" s="53"/>
      <c r="QIY101" s="53"/>
      <c r="QIZ101" s="53"/>
      <c r="QJA101" s="53"/>
      <c r="QJB101" s="53"/>
      <c r="QJC101" s="53"/>
      <c r="QJD101" s="53"/>
      <c r="QJE101" s="53"/>
      <c r="QJF101" s="53"/>
      <c r="QJG101" s="53"/>
      <c r="QJH101" s="53"/>
      <c r="QJI101" s="53"/>
      <c r="QJJ101" s="53"/>
      <c r="QJK101" s="53"/>
      <c r="QJL101" s="53"/>
      <c r="QJM101" s="53"/>
      <c r="QJN101" s="53"/>
      <c r="QJO101" s="53"/>
      <c r="QJP101" s="53"/>
      <c r="QJQ101" s="53"/>
      <c r="QJR101" s="53"/>
      <c r="QJS101" s="53"/>
      <c r="QJT101" s="53"/>
      <c r="QJU101" s="53"/>
      <c r="QJV101" s="53"/>
      <c r="QJW101" s="53"/>
      <c r="QJX101" s="53"/>
      <c r="QJY101" s="53"/>
      <c r="QJZ101" s="53"/>
      <c r="QKA101" s="53"/>
      <c r="QKB101" s="53"/>
      <c r="QKC101" s="53"/>
      <c r="QKD101" s="53"/>
      <c r="QKE101" s="53"/>
      <c r="QKF101" s="53"/>
      <c r="QKG101" s="53"/>
      <c r="QKH101" s="53"/>
      <c r="QKI101" s="53"/>
      <c r="QKJ101" s="53"/>
      <c r="QKK101" s="53"/>
      <c r="QKL101" s="53"/>
      <c r="QKM101" s="53"/>
      <c r="QKN101" s="53"/>
      <c r="QKO101" s="53"/>
      <c r="QKP101" s="53"/>
      <c r="QKQ101" s="53"/>
      <c r="QKR101" s="53"/>
      <c r="QKS101" s="53"/>
      <c r="QKT101" s="53"/>
      <c r="QKU101" s="53"/>
      <c r="QKV101" s="53"/>
      <c r="QKW101" s="53"/>
      <c r="QKX101" s="53"/>
      <c r="QKY101" s="53"/>
      <c r="QKZ101" s="53"/>
      <c r="QLA101" s="53"/>
      <c r="QLB101" s="53"/>
      <c r="QLC101" s="53"/>
      <c r="QLD101" s="53"/>
      <c r="QLE101" s="53"/>
      <c r="QLF101" s="53"/>
      <c r="QLG101" s="53"/>
      <c r="QLH101" s="53"/>
      <c r="QLI101" s="53"/>
      <c r="QLJ101" s="53"/>
      <c r="QLK101" s="53"/>
      <c r="QLL101" s="53"/>
      <c r="QLM101" s="53"/>
      <c r="QLN101" s="53"/>
      <c r="QLO101" s="53"/>
      <c r="QLP101" s="53"/>
      <c r="QLQ101" s="53"/>
      <c r="QLR101" s="53"/>
      <c r="QLS101" s="53"/>
      <c r="QLT101" s="53"/>
      <c r="QLU101" s="53"/>
      <c r="QLV101" s="53"/>
      <c r="QLW101" s="53"/>
      <c r="QLX101" s="53"/>
      <c r="QLY101" s="53"/>
      <c r="QLZ101" s="53"/>
      <c r="QMA101" s="53"/>
      <c r="QMB101" s="53"/>
      <c r="QMC101" s="53"/>
      <c r="QMD101" s="53"/>
      <c r="QME101" s="53"/>
      <c r="QMF101" s="53"/>
      <c r="QMG101" s="53"/>
      <c r="QMH101" s="53"/>
      <c r="QMI101" s="53"/>
      <c r="QMJ101" s="53"/>
      <c r="QMK101" s="53"/>
      <c r="QML101" s="53"/>
      <c r="QMM101" s="53"/>
      <c r="QMN101" s="53"/>
      <c r="QMO101" s="53"/>
      <c r="QMP101" s="53"/>
      <c r="QMQ101" s="53"/>
      <c r="QMR101" s="53"/>
      <c r="QMS101" s="53"/>
      <c r="QMT101" s="53"/>
      <c r="QMU101" s="53"/>
      <c r="QMV101" s="53"/>
      <c r="QMW101" s="53"/>
      <c r="QMX101" s="53"/>
      <c r="QMY101" s="53"/>
      <c r="QMZ101" s="53"/>
      <c r="QNA101" s="53"/>
      <c r="QNB101" s="53"/>
      <c r="QNC101" s="53"/>
      <c r="QND101" s="53"/>
      <c r="QNE101" s="53"/>
      <c r="QNF101" s="53"/>
      <c r="QNG101" s="53"/>
      <c r="QNH101" s="53"/>
      <c r="QNI101" s="53"/>
      <c r="QNJ101" s="53"/>
      <c r="QNK101" s="53"/>
      <c r="QNL101" s="53"/>
      <c r="QNM101" s="53"/>
      <c r="QNN101" s="53"/>
      <c r="QNO101" s="53"/>
      <c r="QNP101" s="53"/>
      <c r="QNQ101" s="53"/>
      <c r="QNR101" s="53"/>
      <c r="QNS101" s="53"/>
      <c r="QNT101" s="53"/>
      <c r="QNU101" s="53"/>
      <c r="QNV101" s="53"/>
      <c r="QNW101" s="53"/>
      <c r="QNX101" s="53"/>
      <c r="QNY101" s="53"/>
      <c r="QNZ101" s="53"/>
      <c r="QOA101" s="53"/>
      <c r="QOB101" s="53"/>
      <c r="QOC101" s="53"/>
      <c r="QOD101" s="53"/>
      <c r="QOE101" s="53"/>
      <c r="QOF101" s="53"/>
      <c r="QOG101" s="53"/>
      <c r="QOH101" s="53"/>
      <c r="QOI101" s="53"/>
      <c r="QOJ101" s="53"/>
      <c r="QOK101" s="53"/>
      <c r="QOL101" s="53"/>
      <c r="QOM101" s="53"/>
      <c r="QON101" s="53"/>
      <c r="QOO101" s="53"/>
      <c r="QOP101" s="53"/>
      <c r="QOQ101" s="53"/>
      <c r="QOR101" s="53"/>
      <c r="QOS101" s="53"/>
      <c r="QOT101" s="53"/>
      <c r="QOU101" s="53"/>
      <c r="QOV101" s="53"/>
      <c r="QOW101" s="53"/>
      <c r="QOX101" s="53"/>
      <c r="QOY101" s="53"/>
      <c r="QOZ101" s="53"/>
      <c r="QPA101" s="53"/>
      <c r="QPB101" s="53"/>
      <c r="QPC101" s="53"/>
      <c r="QPD101" s="53"/>
      <c r="QPE101" s="53"/>
      <c r="QPF101" s="53"/>
      <c r="QPG101" s="53"/>
      <c r="QPH101" s="53"/>
      <c r="QPI101" s="53"/>
      <c r="QPJ101" s="53"/>
      <c r="QPK101" s="53"/>
      <c r="QPL101" s="53"/>
      <c r="QPM101" s="53"/>
      <c r="QPN101" s="53"/>
      <c r="QPO101" s="53"/>
      <c r="QPP101" s="53"/>
      <c r="QPQ101" s="53"/>
      <c r="QPR101" s="53"/>
      <c r="QPS101" s="53"/>
      <c r="QPT101" s="53"/>
      <c r="QPU101" s="53"/>
      <c r="QPV101" s="53"/>
      <c r="QPW101" s="53"/>
      <c r="QPX101" s="53"/>
      <c r="QPY101" s="53"/>
      <c r="QPZ101" s="53"/>
      <c r="QQA101" s="53"/>
      <c r="QQB101" s="53"/>
      <c r="QQC101" s="53"/>
      <c r="QQD101" s="53"/>
      <c r="QQE101" s="53"/>
      <c r="QQF101" s="53"/>
      <c r="QQG101" s="53"/>
      <c r="QQH101" s="53"/>
      <c r="QQI101" s="53"/>
      <c r="QQJ101" s="53"/>
      <c r="QQK101" s="53"/>
      <c r="QQL101" s="53"/>
      <c r="QQM101" s="53"/>
      <c r="QQN101" s="53"/>
      <c r="QQO101" s="53"/>
      <c r="QQP101" s="53"/>
      <c r="QQQ101" s="53"/>
      <c r="QQR101" s="53"/>
      <c r="QQS101" s="53"/>
      <c r="QQT101" s="53"/>
      <c r="QQU101" s="53"/>
      <c r="QQV101" s="53"/>
      <c r="QQW101" s="53"/>
      <c r="QQX101" s="53"/>
      <c r="QQY101" s="53"/>
      <c r="QQZ101" s="53"/>
      <c r="QRA101" s="53"/>
      <c r="QRB101" s="53"/>
      <c r="QRC101" s="53"/>
      <c r="QRD101" s="53"/>
      <c r="QRE101" s="53"/>
      <c r="QRF101" s="53"/>
      <c r="QRG101" s="53"/>
      <c r="QRH101" s="53"/>
      <c r="QRI101" s="53"/>
      <c r="QRJ101" s="53"/>
      <c r="QRK101" s="53"/>
      <c r="QRL101" s="53"/>
      <c r="QRM101" s="53"/>
      <c r="QRN101" s="53"/>
      <c r="QRO101" s="53"/>
      <c r="QRP101" s="53"/>
      <c r="QRQ101" s="53"/>
      <c r="QRR101" s="53"/>
      <c r="QRS101" s="53"/>
      <c r="QRT101" s="53"/>
      <c r="QRU101" s="53"/>
      <c r="QRV101" s="53"/>
      <c r="QRW101" s="53"/>
      <c r="QRX101" s="53"/>
      <c r="QRY101" s="53"/>
      <c r="QRZ101" s="53"/>
      <c r="QSA101" s="53"/>
      <c r="QSB101" s="53"/>
      <c r="QSC101" s="53"/>
      <c r="QSD101" s="53"/>
      <c r="QSE101" s="53"/>
      <c r="QSF101" s="53"/>
      <c r="QSG101" s="53"/>
      <c r="QSH101" s="53"/>
      <c r="QSI101" s="53"/>
      <c r="QSJ101" s="53"/>
      <c r="QSK101" s="53"/>
      <c r="QSL101" s="53"/>
      <c r="QSM101" s="53"/>
      <c r="QSN101" s="53"/>
      <c r="QSO101" s="53"/>
      <c r="QSP101" s="53"/>
      <c r="QSQ101" s="53"/>
      <c r="QSR101" s="53"/>
      <c r="QSS101" s="53"/>
      <c r="QST101" s="53"/>
      <c r="QSU101" s="53"/>
      <c r="QSV101" s="53"/>
      <c r="QSW101" s="53"/>
      <c r="QSX101" s="53"/>
      <c r="QSY101" s="53"/>
      <c r="QSZ101" s="53"/>
      <c r="QTA101" s="53"/>
      <c r="QTB101" s="53"/>
      <c r="QTC101" s="53"/>
      <c r="QTD101" s="53"/>
      <c r="QTE101" s="53"/>
      <c r="QTF101" s="53"/>
      <c r="QTG101" s="53"/>
      <c r="QTH101" s="53"/>
      <c r="QTI101" s="53"/>
      <c r="QTJ101" s="53"/>
      <c r="QTK101" s="53"/>
      <c r="QTL101" s="53"/>
      <c r="QTM101" s="53"/>
      <c r="QTN101" s="53"/>
      <c r="QTO101" s="53"/>
      <c r="QTP101" s="53"/>
      <c r="QTQ101" s="53"/>
      <c r="QTR101" s="53"/>
      <c r="QTS101" s="53"/>
      <c r="QTT101" s="53"/>
      <c r="QTU101" s="53"/>
      <c r="QTV101" s="53"/>
      <c r="QTW101" s="53"/>
      <c r="QTX101" s="53"/>
      <c r="QTY101" s="53"/>
      <c r="QTZ101" s="53"/>
      <c r="QUA101" s="53"/>
      <c r="QUB101" s="53"/>
      <c r="QUC101" s="53"/>
      <c r="QUD101" s="53"/>
      <c r="QUE101" s="53"/>
      <c r="QUF101" s="53"/>
      <c r="QUG101" s="53"/>
      <c r="QUH101" s="53"/>
      <c r="QUI101" s="53"/>
      <c r="QUJ101" s="53"/>
      <c r="QUK101" s="53"/>
      <c r="QUL101" s="53"/>
      <c r="QUM101" s="53"/>
      <c r="QUN101" s="53"/>
      <c r="QUO101" s="53"/>
      <c r="QUP101" s="53"/>
      <c r="QUQ101" s="53"/>
      <c r="QUR101" s="53"/>
      <c r="QUS101" s="53"/>
      <c r="QUT101" s="53"/>
      <c r="QUU101" s="53"/>
      <c r="QUV101" s="53"/>
      <c r="QUW101" s="53"/>
      <c r="QUX101" s="53"/>
      <c r="QUY101" s="53"/>
      <c r="QUZ101" s="53"/>
      <c r="QVA101" s="53"/>
      <c r="QVB101" s="53"/>
      <c r="QVC101" s="53"/>
      <c r="QVD101" s="53"/>
      <c r="QVE101" s="53"/>
      <c r="QVF101" s="53"/>
      <c r="QVG101" s="53"/>
      <c r="QVH101" s="53"/>
      <c r="QVI101" s="53"/>
      <c r="QVJ101" s="53"/>
      <c r="QVK101" s="53"/>
      <c r="QVL101" s="53"/>
      <c r="QVM101" s="53"/>
      <c r="QVN101" s="53"/>
      <c r="QVO101" s="53"/>
      <c r="QVP101" s="53"/>
      <c r="QVQ101" s="53"/>
      <c r="QVR101" s="53"/>
      <c r="QVS101" s="53"/>
      <c r="QVT101" s="53"/>
      <c r="QVU101" s="53"/>
      <c r="QVV101" s="53"/>
      <c r="QVW101" s="53"/>
      <c r="QVX101" s="53"/>
      <c r="QVY101" s="53"/>
      <c r="QVZ101" s="53"/>
      <c r="QWA101" s="53"/>
      <c r="QWB101" s="53"/>
      <c r="QWC101" s="53"/>
      <c r="QWD101" s="53"/>
      <c r="QWE101" s="53"/>
      <c r="QWF101" s="53"/>
      <c r="QWG101" s="53"/>
      <c r="QWH101" s="53"/>
      <c r="QWI101" s="53"/>
      <c r="QWJ101" s="53"/>
      <c r="QWK101" s="53"/>
      <c r="QWL101" s="53"/>
      <c r="QWM101" s="53"/>
      <c r="QWN101" s="53"/>
      <c r="QWO101" s="53"/>
      <c r="QWP101" s="53"/>
      <c r="QWQ101" s="53"/>
      <c r="QWR101" s="53"/>
      <c r="QWS101" s="53"/>
      <c r="QWT101" s="53"/>
      <c r="QWU101" s="53"/>
      <c r="QWV101" s="53"/>
      <c r="QWW101" s="53"/>
      <c r="QWX101" s="53"/>
      <c r="QWY101" s="53"/>
      <c r="QWZ101" s="53"/>
      <c r="QXA101" s="53"/>
      <c r="QXB101" s="53"/>
      <c r="QXC101" s="53"/>
      <c r="QXD101" s="53"/>
      <c r="QXE101" s="53"/>
      <c r="QXF101" s="53"/>
      <c r="QXG101" s="53"/>
      <c r="QXH101" s="53"/>
      <c r="QXI101" s="53"/>
      <c r="QXJ101" s="53"/>
      <c r="QXK101" s="53"/>
      <c r="QXL101" s="53"/>
      <c r="QXM101" s="53"/>
      <c r="QXN101" s="53"/>
      <c r="QXO101" s="53"/>
      <c r="QXP101" s="53"/>
      <c r="QXQ101" s="53"/>
      <c r="QXR101" s="53"/>
      <c r="QXS101" s="53"/>
      <c r="QXT101" s="53"/>
      <c r="QXU101" s="53"/>
      <c r="QXV101" s="53"/>
      <c r="QXW101" s="53"/>
      <c r="QXX101" s="53"/>
      <c r="QXY101" s="53"/>
      <c r="QXZ101" s="53"/>
      <c r="QYA101" s="53"/>
      <c r="QYB101" s="53"/>
      <c r="QYC101" s="53"/>
      <c r="QYD101" s="53"/>
      <c r="QYE101" s="53"/>
      <c r="QYF101" s="53"/>
      <c r="QYG101" s="53"/>
      <c r="QYH101" s="53"/>
      <c r="QYI101" s="53"/>
      <c r="QYJ101" s="53"/>
      <c r="QYK101" s="53"/>
      <c r="QYL101" s="53"/>
      <c r="QYM101" s="53"/>
      <c r="QYN101" s="53"/>
      <c r="QYO101" s="53"/>
      <c r="QYP101" s="53"/>
      <c r="QYQ101" s="53"/>
      <c r="QYR101" s="53"/>
      <c r="QYS101" s="53"/>
      <c r="QYT101" s="53"/>
      <c r="QYU101" s="53"/>
      <c r="QYV101" s="53"/>
      <c r="QYW101" s="53"/>
      <c r="QYX101" s="53"/>
      <c r="QYY101" s="53"/>
      <c r="QYZ101" s="53"/>
      <c r="QZA101" s="53"/>
      <c r="QZB101" s="53"/>
      <c r="QZC101" s="53"/>
      <c r="QZD101" s="53"/>
      <c r="QZE101" s="53"/>
      <c r="QZF101" s="53"/>
      <c r="QZG101" s="53"/>
      <c r="QZH101" s="53"/>
      <c r="QZI101" s="53"/>
      <c r="QZJ101" s="53"/>
      <c r="QZK101" s="53"/>
      <c r="QZL101" s="53"/>
      <c r="QZM101" s="53"/>
      <c r="QZN101" s="53"/>
      <c r="QZO101" s="53"/>
      <c r="QZP101" s="53"/>
      <c r="QZQ101" s="53"/>
      <c r="QZR101" s="53"/>
      <c r="QZS101" s="53"/>
      <c r="QZT101" s="53"/>
      <c r="QZU101" s="53"/>
      <c r="QZV101" s="53"/>
      <c r="QZW101" s="53"/>
      <c r="QZX101" s="53"/>
      <c r="QZY101" s="53"/>
      <c r="QZZ101" s="53"/>
      <c r="RAA101" s="53"/>
      <c r="RAB101" s="53"/>
      <c r="RAC101" s="53"/>
      <c r="RAD101" s="53"/>
      <c r="RAE101" s="53"/>
      <c r="RAF101" s="53"/>
      <c r="RAG101" s="53"/>
      <c r="RAH101" s="53"/>
      <c r="RAI101" s="53"/>
      <c r="RAJ101" s="53"/>
      <c r="RAK101" s="53"/>
      <c r="RAL101" s="53"/>
      <c r="RAM101" s="53"/>
      <c r="RAN101" s="53"/>
      <c r="RAO101" s="53"/>
      <c r="RAP101" s="53"/>
      <c r="RAQ101" s="53"/>
      <c r="RAR101" s="53"/>
      <c r="RAS101" s="53"/>
      <c r="RAT101" s="53"/>
      <c r="RAU101" s="53"/>
      <c r="RAV101" s="53"/>
      <c r="RAW101" s="53"/>
      <c r="RAX101" s="53"/>
      <c r="RAY101" s="53"/>
      <c r="RAZ101" s="53"/>
      <c r="RBA101" s="53"/>
      <c r="RBB101" s="53"/>
      <c r="RBC101" s="53"/>
      <c r="RBD101" s="53"/>
      <c r="RBE101" s="53"/>
      <c r="RBF101" s="53"/>
      <c r="RBG101" s="53"/>
      <c r="RBH101" s="53"/>
      <c r="RBI101" s="53"/>
      <c r="RBJ101" s="53"/>
      <c r="RBK101" s="53"/>
      <c r="RBL101" s="53"/>
      <c r="RBM101" s="53"/>
      <c r="RBN101" s="53"/>
      <c r="RBO101" s="53"/>
      <c r="RBP101" s="53"/>
      <c r="RBQ101" s="53"/>
      <c r="RBR101" s="53"/>
      <c r="RBS101" s="53"/>
      <c r="RBT101" s="53"/>
      <c r="RBU101" s="53"/>
      <c r="RBV101" s="53"/>
      <c r="RBW101" s="53"/>
      <c r="RBX101" s="53"/>
      <c r="RBY101" s="53"/>
      <c r="RBZ101" s="53"/>
      <c r="RCA101" s="53"/>
      <c r="RCB101" s="53"/>
      <c r="RCC101" s="53"/>
      <c r="RCD101" s="53"/>
      <c r="RCE101" s="53"/>
      <c r="RCF101" s="53"/>
      <c r="RCG101" s="53"/>
      <c r="RCH101" s="53"/>
      <c r="RCI101" s="53"/>
      <c r="RCJ101" s="53"/>
      <c r="RCK101" s="53"/>
      <c r="RCL101" s="53"/>
      <c r="RCM101" s="53"/>
      <c r="RCN101" s="53"/>
      <c r="RCO101" s="53"/>
      <c r="RCP101" s="53"/>
      <c r="RCQ101" s="53"/>
      <c r="RCR101" s="53"/>
      <c r="RCS101" s="53"/>
      <c r="RCT101" s="53"/>
      <c r="RCU101" s="53"/>
      <c r="RCV101" s="53"/>
      <c r="RCW101" s="53"/>
      <c r="RCX101" s="53"/>
      <c r="RCY101" s="53"/>
      <c r="RCZ101" s="53"/>
      <c r="RDA101" s="53"/>
      <c r="RDB101" s="53"/>
      <c r="RDC101" s="53"/>
      <c r="RDD101" s="53"/>
      <c r="RDE101" s="53"/>
      <c r="RDF101" s="53"/>
      <c r="RDG101" s="53"/>
      <c r="RDH101" s="53"/>
      <c r="RDI101" s="53"/>
      <c r="RDJ101" s="53"/>
      <c r="RDK101" s="53"/>
      <c r="RDL101" s="53"/>
      <c r="RDM101" s="53"/>
      <c r="RDN101" s="53"/>
      <c r="RDO101" s="53"/>
      <c r="RDP101" s="53"/>
      <c r="RDQ101" s="53"/>
      <c r="RDR101" s="53"/>
      <c r="RDS101" s="53"/>
      <c r="RDT101" s="53"/>
      <c r="RDU101" s="53"/>
      <c r="RDV101" s="53"/>
      <c r="RDW101" s="53"/>
      <c r="RDX101" s="53"/>
      <c r="RDY101" s="53"/>
      <c r="RDZ101" s="53"/>
      <c r="REA101" s="53"/>
      <c r="REB101" s="53"/>
      <c r="REC101" s="53"/>
      <c r="RED101" s="53"/>
      <c r="REE101" s="53"/>
      <c r="REF101" s="53"/>
      <c r="REG101" s="53"/>
      <c r="REH101" s="53"/>
      <c r="REI101" s="53"/>
      <c r="REJ101" s="53"/>
      <c r="REK101" s="53"/>
      <c r="REL101" s="53"/>
      <c r="REM101" s="53"/>
      <c r="REN101" s="53"/>
      <c r="REO101" s="53"/>
      <c r="REP101" s="53"/>
      <c r="REQ101" s="53"/>
      <c r="RER101" s="53"/>
      <c r="RES101" s="53"/>
      <c r="RET101" s="53"/>
      <c r="REU101" s="53"/>
      <c r="REV101" s="53"/>
      <c r="REW101" s="53"/>
      <c r="REX101" s="53"/>
      <c r="REY101" s="53"/>
      <c r="REZ101" s="53"/>
      <c r="RFA101" s="53"/>
      <c r="RFB101" s="53"/>
      <c r="RFC101" s="53"/>
      <c r="RFD101" s="53"/>
      <c r="RFE101" s="53"/>
      <c r="RFF101" s="53"/>
      <c r="RFG101" s="53"/>
      <c r="RFH101" s="53"/>
      <c r="RFI101" s="53"/>
      <c r="RFJ101" s="53"/>
      <c r="RFK101" s="53"/>
      <c r="RFL101" s="53"/>
      <c r="RFM101" s="53"/>
      <c r="RFN101" s="53"/>
      <c r="RFO101" s="53"/>
      <c r="RFP101" s="53"/>
      <c r="RFQ101" s="53"/>
      <c r="RFR101" s="53"/>
      <c r="RFS101" s="53"/>
      <c r="RFT101" s="53"/>
      <c r="RFU101" s="53"/>
      <c r="RFV101" s="53"/>
      <c r="RFW101" s="53"/>
      <c r="RFX101" s="53"/>
      <c r="RFY101" s="53"/>
      <c r="RFZ101" s="53"/>
      <c r="RGA101" s="53"/>
      <c r="RGB101" s="53"/>
      <c r="RGC101" s="53"/>
      <c r="RGD101" s="53"/>
      <c r="RGE101" s="53"/>
      <c r="RGF101" s="53"/>
      <c r="RGG101" s="53"/>
      <c r="RGH101" s="53"/>
      <c r="RGI101" s="53"/>
      <c r="RGJ101" s="53"/>
      <c r="RGK101" s="53"/>
      <c r="RGL101" s="53"/>
      <c r="RGM101" s="53"/>
      <c r="RGN101" s="53"/>
      <c r="RGO101" s="53"/>
      <c r="RGP101" s="53"/>
      <c r="RGQ101" s="53"/>
      <c r="RGR101" s="53"/>
      <c r="RGS101" s="53"/>
      <c r="RGT101" s="53"/>
      <c r="RGU101" s="53"/>
      <c r="RGV101" s="53"/>
      <c r="RGW101" s="53"/>
      <c r="RGX101" s="53"/>
      <c r="RGY101" s="53"/>
      <c r="RGZ101" s="53"/>
      <c r="RHA101" s="53"/>
      <c r="RHB101" s="53"/>
      <c r="RHC101" s="53"/>
      <c r="RHD101" s="53"/>
      <c r="RHE101" s="53"/>
      <c r="RHF101" s="53"/>
      <c r="RHG101" s="53"/>
      <c r="RHH101" s="53"/>
      <c r="RHI101" s="53"/>
      <c r="RHJ101" s="53"/>
      <c r="RHK101" s="53"/>
      <c r="RHL101" s="53"/>
      <c r="RHM101" s="53"/>
      <c r="RHN101" s="53"/>
      <c r="RHO101" s="53"/>
      <c r="RHP101" s="53"/>
      <c r="RHQ101" s="53"/>
      <c r="RHR101" s="53"/>
      <c r="RHS101" s="53"/>
      <c r="RHT101" s="53"/>
      <c r="RHU101" s="53"/>
      <c r="RHV101" s="53"/>
      <c r="RHW101" s="53"/>
      <c r="RHX101" s="53"/>
      <c r="RHY101" s="53"/>
      <c r="RHZ101" s="53"/>
      <c r="RIA101" s="53"/>
      <c r="RIB101" s="53"/>
      <c r="RIC101" s="53"/>
      <c r="RID101" s="53"/>
      <c r="RIE101" s="53"/>
      <c r="RIF101" s="53"/>
      <c r="RIG101" s="53"/>
      <c r="RIH101" s="53"/>
      <c r="RII101" s="53"/>
      <c r="RIJ101" s="53"/>
      <c r="RIK101" s="53"/>
      <c r="RIL101" s="53"/>
      <c r="RIM101" s="53"/>
      <c r="RIN101" s="53"/>
      <c r="RIO101" s="53"/>
      <c r="RIP101" s="53"/>
      <c r="RIQ101" s="53"/>
      <c r="RIR101" s="53"/>
      <c r="RIS101" s="53"/>
      <c r="RIT101" s="53"/>
      <c r="RIU101" s="53"/>
      <c r="RIV101" s="53"/>
      <c r="RIW101" s="53"/>
      <c r="RIX101" s="53"/>
      <c r="RIY101" s="53"/>
      <c r="RIZ101" s="53"/>
      <c r="RJA101" s="53"/>
      <c r="RJB101" s="53"/>
      <c r="RJC101" s="53"/>
      <c r="RJD101" s="53"/>
      <c r="RJE101" s="53"/>
      <c r="RJF101" s="53"/>
      <c r="RJG101" s="53"/>
      <c r="RJH101" s="53"/>
      <c r="RJI101" s="53"/>
      <c r="RJJ101" s="53"/>
      <c r="RJK101" s="53"/>
      <c r="RJL101" s="53"/>
      <c r="RJM101" s="53"/>
      <c r="RJN101" s="53"/>
      <c r="RJO101" s="53"/>
      <c r="RJP101" s="53"/>
      <c r="RJQ101" s="53"/>
      <c r="RJR101" s="53"/>
      <c r="RJS101" s="53"/>
      <c r="RJT101" s="53"/>
      <c r="RJU101" s="53"/>
      <c r="RJV101" s="53"/>
      <c r="RJW101" s="53"/>
      <c r="RJX101" s="53"/>
      <c r="RJY101" s="53"/>
      <c r="RJZ101" s="53"/>
      <c r="RKA101" s="53"/>
      <c r="RKB101" s="53"/>
      <c r="RKC101" s="53"/>
      <c r="RKD101" s="53"/>
      <c r="RKE101" s="53"/>
      <c r="RKF101" s="53"/>
      <c r="RKG101" s="53"/>
      <c r="RKH101" s="53"/>
      <c r="RKI101" s="53"/>
      <c r="RKJ101" s="53"/>
      <c r="RKK101" s="53"/>
      <c r="RKL101" s="53"/>
      <c r="RKM101" s="53"/>
      <c r="RKN101" s="53"/>
      <c r="RKO101" s="53"/>
      <c r="RKP101" s="53"/>
      <c r="RKQ101" s="53"/>
      <c r="RKR101" s="53"/>
      <c r="RKS101" s="53"/>
      <c r="RKT101" s="53"/>
      <c r="RKU101" s="53"/>
      <c r="RKV101" s="53"/>
      <c r="RKW101" s="53"/>
      <c r="RKX101" s="53"/>
      <c r="RKY101" s="53"/>
      <c r="RKZ101" s="53"/>
      <c r="RLA101" s="53"/>
      <c r="RLB101" s="53"/>
      <c r="RLC101" s="53"/>
      <c r="RLD101" s="53"/>
      <c r="RLE101" s="53"/>
      <c r="RLF101" s="53"/>
      <c r="RLG101" s="53"/>
      <c r="RLH101" s="53"/>
      <c r="RLI101" s="53"/>
      <c r="RLJ101" s="53"/>
      <c r="RLK101" s="53"/>
      <c r="RLL101" s="53"/>
      <c r="RLM101" s="53"/>
      <c r="RLN101" s="53"/>
      <c r="RLO101" s="53"/>
      <c r="RLP101" s="53"/>
      <c r="RLQ101" s="53"/>
      <c r="RLR101" s="53"/>
      <c r="RLS101" s="53"/>
      <c r="RLT101" s="53"/>
      <c r="RLU101" s="53"/>
      <c r="RLV101" s="53"/>
      <c r="RLW101" s="53"/>
      <c r="RLX101" s="53"/>
      <c r="RLY101" s="53"/>
      <c r="RLZ101" s="53"/>
      <c r="RMA101" s="53"/>
      <c r="RMB101" s="53"/>
      <c r="RMC101" s="53"/>
      <c r="RMD101" s="53"/>
      <c r="RME101" s="53"/>
      <c r="RMF101" s="53"/>
      <c r="RMG101" s="53"/>
      <c r="RMH101" s="53"/>
      <c r="RMI101" s="53"/>
      <c r="RMJ101" s="53"/>
      <c r="RMK101" s="53"/>
      <c r="RML101" s="53"/>
      <c r="RMM101" s="53"/>
      <c r="RMN101" s="53"/>
      <c r="RMO101" s="53"/>
      <c r="RMP101" s="53"/>
      <c r="RMQ101" s="53"/>
      <c r="RMR101" s="53"/>
      <c r="RMS101" s="53"/>
      <c r="RMT101" s="53"/>
      <c r="RMU101" s="53"/>
      <c r="RMV101" s="53"/>
      <c r="RMW101" s="53"/>
      <c r="RMX101" s="53"/>
      <c r="RMY101" s="53"/>
      <c r="RMZ101" s="53"/>
      <c r="RNA101" s="53"/>
      <c r="RNB101" s="53"/>
      <c r="RNC101" s="53"/>
      <c r="RND101" s="53"/>
      <c r="RNE101" s="53"/>
      <c r="RNF101" s="53"/>
      <c r="RNG101" s="53"/>
      <c r="RNH101" s="53"/>
      <c r="RNI101" s="53"/>
      <c r="RNJ101" s="53"/>
      <c r="RNK101" s="53"/>
      <c r="RNL101" s="53"/>
      <c r="RNM101" s="53"/>
      <c r="RNN101" s="53"/>
      <c r="RNO101" s="53"/>
      <c r="RNP101" s="53"/>
      <c r="RNQ101" s="53"/>
      <c r="RNR101" s="53"/>
      <c r="RNS101" s="53"/>
      <c r="RNT101" s="53"/>
      <c r="RNU101" s="53"/>
      <c r="RNV101" s="53"/>
      <c r="RNW101" s="53"/>
      <c r="RNX101" s="53"/>
      <c r="RNY101" s="53"/>
      <c r="RNZ101" s="53"/>
      <c r="ROA101" s="53"/>
      <c r="ROB101" s="53"/>
      <c r="ROC101" s="53"/>
      <c r="ROD101" s="53"/>
      <c r="ROE101" s="53"/>
      <c r="ROF101" s="53"/>
      <c r="ROG101" s="53"/>
      <c r="ROH101" s="53"/>
      <c r="ROI101" s="53"/>
      <c r="ROJ101" s="53"/>
      <c r="ROK101" s="53"/>
      <c r="ROL101" s="53"/>
      <c r="ROM101" s="53"/>
      <c r="RON101" s="53"/>
      <c r="ROO101" s="53"/>
      <c r="ROP101" s="53"/>
      <c r="ROQ101" s="53"/>
      <c r="ROR101" s="53"/>
      <c r="ROS101" s="53"/>
      <c r="ROT101" s="53"/>
      <c r="ROU101" s="53"/>
      <c r="ROV101" s="53"/>
      <c r="ROW101" s="53"/>
      <c r="ROX101" s="53"/>
      <c r="ROY101" s="53"/>
      <c r="ROZ101" s="53"/>
      <c r="RPA101" s="53"/>
      <c r="RPB101" s="53"/>
      <c r="RPC101" s="53"/>
      <c r="RPD101" s="53"/>
      <c r="RPE101" s="53"/>
      <c r="RPF101" s="53"/>
      <c r="RPG101" s="53"/>
      <c r="RPH101" s="53"/>
      <c r="RPI101" s="53"/>
      <c r="RPJ101" s="53"/>
      <c r="RPK101" s="53"/>
      <c r="RPL101" s="53"/>
      <c r="RPM101" s="53"/>
      <c r="RPN101" s="53"/>
      <c r="RPO101" s="53"/>
      <c r="RPP101" s="53"/>
      <c r="RPQ101" s="53"/>
      <c r="RPR101" s="53"/>
      <c r="RPS101" s="53"/>
      <c r="RPT101" s="53"/>
      <c r="RPU101" s="53"/>
      <c r="RPV101" s="53"/>
      <c r="RPW101" s="53"/>
      <c r="RPX101" s="53"/>
      <c r="RPY101" s="53"/>
      <c r="RPZ101" s="53"/>
      <c r="RQA101" s="53"/>
      <c r="RQB101" s="53"/>
      <c r="RQC101" s="53"/>
      <c r="RQD101" s="53"/>
      <c r="RQE101" s="53"/>
      <c r="RQF101" s="53"/>
      <c r="RQG101" s="53"/>
      <c r="RQH101" s="53"/>
      <c r="RQI101" s="53"/>
      <c r="RQJ101" s="53"/>
      <c r="RQK101" s="53"/>
      <c r="RQL101" s="53"/>
      <c r="RQM101" s="53"/>
      <c r="RQN101" s="53"/>
      <c r="RQO101" s="53"/>
      <c r="RQP101" s="53"/>
      <c r="RQQ101" s="53"/>
      <c r="RQR101" s="53"/>
      <c r="RQS101" s="53"/>
      <c r="RQT101" s="53"/>
      <c r="RQU101" s="53"/>
      <c r="RQV101" s="53"/>
      <c r="RQW101" s="53"/>
      <c r="RQX101" s="53"/>
      <c r="RQY101" s="53"/>
      <c r="RQZ101" s="53"/>
      <c r="RRA101" s="53"/>
      <c r="RRB101" s="53"/>
      <c r="RRC101" s="53"/>
      <c r="RRD101" s="53"/>
      <c r="RRE101" s="53"/>
      <c r="RRF101" s="53"/>
      <c r="RRG101" s="53"/>
      <c r="RRH101" s="53"/>
      <c r="RRI101" s="53"/>
      <c r="RRJ101" s="53"/>
      <c r="RRK101" s="53"/>
      <c r="RRL101" s="53"/>
      <c r="RRM101" s="53"/>
      <c r="RRN101" s="53"/>
      <c r="RRO101" s="53"/>
      <c r="RRP101" s="53"/>
      <c r="RRQ101" s="53"/>
      <c r="RRR101" s="53"/>
      <c r="RRS101" s="53"/>
      <c r="RRT101" s="53"/>
      <c r="RRU101" s="53"/>
      <c r="RRV101" s="53"/>
      <c r="RRW101" s="53"/>
      <c r="RRX101" s="53"/>
      <c r="RRY101" s="53"/>
      <c r="RRZ101" s="53"/>
      <c r="RSA101" s="53"/>
      <c r="RSB101" s="53"/>
      <c r="RSC101" s="53"/>
      <c r="RSD101" s="53"/>
      <c r="RSE101" s="53"/>
      <c r="RSF101" s="53"/>
      <c r="RSG101" s="53"/>
      <c r="RSH101" s="53"/>
      <c r="RSI101" s="53"/>
      <c r="RSJ101" s="53"/>
      <c r="RSK101" s="53"/>
      <c r="RSL101" s="53"/>
      <c r="RSM101" s="53"/>
      <c r="RSN101" s="53"/>
      <c r="RSO101" s="53"/>
      <c r="RSP101" s="53"/>
      <c r="RSQ101" s="53"/>
      <c r="RSR101" s="53"/>
      <c r="RSS101" s="53"/>
      <c r="RST101" s="53"/>
      <c r="RSU101" s="53"/>
      <c r="RSV101" s="53"/>
      <c r="RSW101" s="53"/>
      <c r="RSX101" s="53"/>
      <c r="RSY101" s="53"/>
      <c r="RSZ101" s="53"/>
      <c r="RTA101" s="53"/>
      <c r="RTB101" s="53"/>
      <c r="RTC101" s="53"/>
      <c r="RTD101" s="53"/>
      <c r="RTE101" s="53"/>
      <c r="RTF101" s="53"/>
      <c r="RTG101" s="53"/>
      <c r="RTH101" s="53"/>
      <c r="RTI101" s="53"/>
      <c r="RTJ101" s="53"/>
      <c r="RTK101" s="53"/>
      <c r="RTL101" s="53"/>
      <c r="RTM101" s="53"/>
      <c r="RTN101" s="53"/>
      <c r="RTO101" s="53"/>
      <c r="RTP101" s="53"/>
      <c r="RTQ101" s="53"/>
      <c r="RTR101" s="53"/>
      <c r="RTS101" s="53"/>
      <c r="RTT101" s="53"/>
      <c r="RTU101" s="53"/>
      <c r="RTV101" s="53"/>
      <c r="RTW101" s="53"/>
      <c r="RTX101" s="53"/>
      <c r="RTY101" s="53"/>
      <c r="RTZ101" s="53"/>
      <c r="RUA101" s="53"/>
      <c r="RUB101" s="53"/>
      <c r="RUC101" s="53"/>
      <c r="RUD101" s="53"/>
      <c r="RUE101" s="53"/>
      <c r="RUF101" s="53"/>
      <c r="RUG101" s="53"/>
      <c r="RUH101" s="53"/>
      <c r="RUI101" s="53"/>
      <c r="RUJ101" s="53"/>
      <c r="RUK101" s="53"/>
      <c r="RUL101" s="53"/>
      <c r="RUM101" s="53"/>
      <c r="RUN101" s="53"/>
      <c r="RUO101" s="53"/>
      <c r="RUP101" s="53"/>
      <c r="RUQ101" s="53"/>
      <c r="RUR101" s="53"/>
      <c r="RUS101" s="53"/>
      <c r="RUT101" s="53"/>
      <c r="RUU101" s="53"/>
      <c r="RUV101" s="53"/>
      <c r="RUW101" s="53"/>
      <c r="RUX101" s="53"/>
      <c r="RUY101" s="53"/>
      <c r="RUZ101" s="53"/>
      <c r="RVA101" s="53"/>
      <c r="RVB101" s="53"/>
      <c r="RVC101" s="53"/>
      <c r="RVD101" s="53"/>
      <c r="RVE101" s="53"/>
      <c r="RVF101" s="53"/>
      <c r="RVG101" s="53"/>
      <c r="RVH101" s="53"/>
      <c r="RVI101" s="53"/>
      <c r="RVJ101" s="53"/>
      <c r="RVK101" s="53"/>
      <c r="RVL101" s="53"/>
      <c r="RVM101" s="53"/>
      <c r="RVN101" s="53"/>
      <c r="RVO101" s="53"/>
      <c r="RVP101" s="53"/>
      <c r="RVQ101" s="53"/>
      <c r="RVR101" s="53"/>
      <c r="RVS101" s="53"/>
      <c r="RVT101" s="53"/>
      <c r="RVU101" s="53"/>
      <c r="RVV101" s="53"/>
      <c r="RVW101" s="53"/>
      <c r="RVX101" s="53"/>
      <c r="RVY101" s="53"/>
      <c r="RVZ101" s="53"/>
      <c r="RWA101" s="53"/>
      <c r="RWB101" s="53"/>
      <c r="RWC101" s="53"/>
      <c r="RWD101" s="53"/>
      <c r="RWE101" s="53"/>
      <c r="RWF101" s="53"/>
      <c r="RWG101" s="53"/>
      <c r="RWH101" s="53"/>
      <c r="RWI101" s="53"/>
      <c r="RWJ101" s="53"/>
      <c r="RWK101" s="53"/>
      <c r="RWL101" s="53"/>
      <c r="RWM101" s="53"/>
      <c r="RWN101" s="53"/>
      <c r="RWO101" s="53"/>
      <c r="RWP101" s="53"/>
      <c r="RWQ101" s="53"/>
      <c r="RWR101" s="53"/>
      <c r="RWS101" s="53"/>
      <c r="RWT101" s="53"/>
      <c r="RWU101" s="53"/>
      <c r="RWV101" s="53"/>
      <c r="RWW101" s="53"/>
      <c r="RWX101" s="53"/>
      <c r="RWY101" s="53"/>
      <c r="RWZ101" s="53"/>
      <c r="RXA101" s="53"/>
      <c r="RXB101" s="53"/>
      <c r="RXC101" s="53"/>
      <c r="RXD101" s="53"/>
      <c r="RXE101" s="53"/>
      <c r="RXF101" s="53"/>
      <c r="RXG101" s="53"/>
      <c r="RXH101" s="53"/>
      <c r="RXI101" s="53"/>
      <c r="RXJ101" s="53"/>
      <c r="RXK101" s="53"/>
      <c r="RXL101" s="53"/>
      <c r="RXM101" s="53"/>
      <c r="RXN101" s="53"/>
      <c r="RXO101" s="53"/>
      <c r="RXP101" s="53"/>
      <c r="RXQ101" s="53"/>
      <c r="RXR101" s="53"/>
      <c r="RXS101" s="53"/>
      <c r="RXT101" s="53"/>
      <c r="RXU101" s="53"/>
      <c r="RXV101" s="53"/>
      <c r="RXW101" s="53"/>
      <c r="RXX101" s="53"/>
      <c r="RXY101" s="53"/>
      <c r="RXZ101" s="53"/>
      <c r="RYA101" s="53"/>
      <c r="RYB101" s="53"/>
      <c r="RYC101" s="53"/>
      <c r="RYD101" s="53"/>
      <c r="RYE101" s="53"/>
      <c r="RYF101" s="53"/>
      <c r="RYG101" s="53"/>
      <c r="RYH101" s="53"/>
      <c r="RYI101" s="53"/>
      <c r="RYJ101" s="53"/>
      <c r="RYK101" s="53"/>
      <c r="RYL101" s="53"/>
      <c r="RYM101" s="53"/>
      <c r="RYN101" s="53"/>
      <c r="RYO101" s="53"/>
      <c r="RYP101" s="53"/>
      <c r="RYQ101" s="53"/>
      <c r="RYR101" s="53"/>
      <c r="RYS101" s="53"/>
      <c r="RYT101" s="53"/>
      <c r="RYU101" s="53"/>
      <c r="RYV101" s="53"/>
      <c r="RYW101" s="53"/>
      <c r="RYX101" s="53"/>
      <c r="RYY101" s="53"/>
      <c r="RYZ101" s="53"/>
      <c r="RZA101" s="53"/>
      <c r="RZB101" s="53"/>
      <c r="RZC101" s="53"/>
      <c r="RZD101" s="53"/>
      <c r="RZE101" s="53"/>
      <c r="RZF101" s="53"/>
      <c r="RZG101" s="53"/>
      <c r="RZH101" s="53"/>
      <c r="RZI101" s="53"/>
      <c r="RZJ101" s="53"/>
      <c r="RZK101" s="53"/>
      <c r="RZL101" s="53"/>
      <c r="RZM101" s="53"/>
      <c r="RZN101" s="53"/>
      <c r="RZO101" s="53"/>
      <c r="RZP101" s="53"/>
      <c r="RZQ101" s="53"/>
      <c r="RZR101" s="53"/>
      <c r="RZS101" s="53"/>
      <c r="RZT101" s="53"/>
      <c r="RZU101" s="53"/>
      <c r="RZV101" s="53"/>
      <c r="RZW101" s="53"/>
      <c r="RZX101" s="53"/>
      <c r="RZY101" s="53"/>
      <c r="RZZ101" s="53"/>
      <c r="SAA101" s="53"/>
      <c r="SAB101" s="53"/>
      <c r="SAC101" s="53"/>
      <c r="SAD101" s="53"/>
      <c r="SAE101" s="53"/>
      <c r="SAF101" s="53"/>
      <c r="SAG101" s="53"/>
      <c r="SAH101" s="53"/>
      <c r="SAI101" s="53"/>
      <c r="SAJ101" s="53"/>
      <c r="SAK101" s="53"/>
      <c r="SAL101" s="53"/>
      <c r="SAM101" s="53"/>
      <c r="SAN101" s="53"/>
      <c r="SAO101" s="53"/>
      <c r="SAP101" s="53"/>
      <c r="SAQ101" s="53"/>
      <c r="SAR101" s="53"/>
      <c r="SAS101" s="53"/>
      <c r="SAT101" s="53"/>
      <c r="SAU101" s="53"/>
      <c r="SAV101" s="53"/>
      <c r="SAW101" s="53"/>
      <c r="SAX101" s="53"/>
      <c r="SAY101" s="53"/>
      <c r="SAZ101" s="53"/>
      <c r="SBA101" s="53"/>
      <c r="SBB101" s="53"/>
      <c r="SBC101" s="53"/>
      <c r="SBD101" s="53"/>
      <c r="SBE101" s="53"/>
      <c r="SBF101" s="53"/>
      <c r="SBG101" s="53"/>
      <c r="SBH101" s="53"/>
      <c r="SBI101" s="53"/>
      <c r="SBJ101" s="53"/>
      <c r="SBK101" s="53"/>
      <c r="SBL101" s="53"/>
      <c r="SBM101" s="53"/>
      <c r="SBN101" s="53"/>
      <c r="SBO101" s="53"/>
      <c r="SBP101" s="53"/>
      <c r="SBQ101" s="53"/>
      <c r="SBR101" s="53"/>
      <c r="SBS101" s="53"/>
      <c r="SBT101" s="53"/>
      <c r="SBU101" s="53"/>
      <c r="SBV101" s="53"/>
      <c r="SBW101" s="53"/>
      <c r="SBX101" s="53"/>
      <c r="SBY101" s="53"/>
      <c r="SBZ101" s="53"/>
      <c r="SCA101" s="53"/>
      <c r="SCB101" s="53"/>
      <c r="SCC101" s="53"/>
      <c r="SCD101" s="53"/>
      <c r="SCE101" s="53"/>
      <c r="SCF101" s="53"/>
      <c r="SCG101" s="53"/>
      <c r="SCH101" s="53"/>
      <c r="SCI101" s="53"/>
      <c r="SCJ101" s="53"/>
      <c r="SCK101" s="53"/>
      <c r="SCL101" s="53"/>
      <c r="SCM101" s="53"/>
      <c r="SCN101" s="53"/>
      <c r="SCO101" s="53"/>
      <c r="SCP101" s="53"/>
      <c r="SCQ101" s="53"/>
      <c r="SCR101" s="53"/>
      <c r="SCS101" s="53"/>
      <c r="SCT101" s="53"/>
      <c r="SCU101" s="53"/>
      <c r="SCV101" s="53"/>
      <c r="SCW101" s="53"/>
      <c r="SCX101" s="53"/>
      <c r="SCY101" s="53"/>
      <c r="SCZ101" s="53"/>
      <c r="SDA101" s="53"/>
      <c r="SDB101" s="53"/>
      <c r="SDC101" s="53"/>
      <c r="SDD101" s="53"/>
      <c r="SDE101" s="53"/>
      <c r="SDF101" s="53"/>
      <c r="SDG101" s="53"/>
      <c r="SDH101" s="53"/>
      <c r="SDI101" s="53"/>
      <c r="SDJ101" s="53"/>
      <c r="SDK101" s="53"/>
      <c r="SDL101" s="53"/>
      <c r="SDM101" s="53"/>
      <c r="SDN101" s="53"/>
      <c r="SDO101" s="53"/>
      <c r="SDP101" s="53"/>
      <c r="SDQ101" s="53"/>
      <c r="SDR101" s="53"/>
      <c r="SDS101" s="53"/>
      <c r="SDT101" s="53"/>
      <c r="SDU101" s="53"/>
      <c r="SDV101" s="53"/>
      <c r="SDW101" s="53"/>
      <c r="SDX101" s="53"/>
      <c r="SDY101" s="53"/>
      <c r="SDZ101" s="53"/>
      <c r="SEA101" s="53"/>
      <c r="SEB101" s="53"/>
      <c r="SEC101" s="53"/>
      <c r="SED101" s="53"/>
      <c r="SEE101" s="53"/>
      <c r="SEF101" s="53"/>
      <c r="SEG101" s="53"/>
      <c r="SEH101" s="53"/>
      <c r="SEI101" s="53"/>
      <c r="SEJ101" s="53"/>
      <c r="SEK101" s="53"/>
      <c r="SEL101" s="53"/>
      <c r="SEM101" s="53"/>
      <c r="SEN101" s="53"/>
      <c r="SEO101" s="53"/>
      <c r="SEP101" s="53"/>
      <c r="SEQ101" s="53"/>
      <c r="SER101" s="53"/>
      <c r="SES101" s="53"/>
      <c r="SET101" s="53"/>
      <c r="SEU101" s="53"/>
      <c r="SEV101" s="53"/>
      <c r="SEW101" s="53"/>
      <c r="SEX101" s="53"/>
      <c r="SEY101" s="53"/>
      <c r="SEZ101" s="53"/>
      <c r="SFA101" s="53"/>
      <c r="SFB101" s="53"/>
      <c r="SFC101" s="53"/>
      <c r="SFD101" s="53"/>
      <c r="SFE101" s="53"/>
      <c r="SFF101" s="53"/>
      <c r="SFG101" s="53"/>
      <c r="SFH101" s="53"/>
      <c r="SFI101" s="53"/>
      <c r="SFJ101" s="53"/>
      <c r="SFK101" s="53"/>
      <c r="SFL101" s="53"/>
      <c r="SFM101" s="53"/>
      <c r="SFN101" s="53"/>
      <c r="SFO101" s="53"/>
      <c r="SFP101" s="53"/>
      <c r="SFQ101" s="53"/>
      <c r="SFR101" s="53"/>
      <c r="SFS101" s="53"/>
      <c r="SFT101" s="53"/>
      <c r="SFU101" s="53"/>
      <c r="SFV101" s="53"/>
      <c r="SFW101" s="53"/>
      <c r="SFX101" s="53"/>
      <c r="SFY101" s="53"/>
      <c r="SFZ101" s="53"/>
      <c r="SGA101" s="53"/>
      <c r="SGB101" s="53"/>
      <c r="SGC101" s="53"/>
      <c r="SGD101" s="53"/>
      <c r="SGE101" s="53"/>
      <c r="SGF101" s="53"/>
      <c r="SGG101" s="53"/>
      <c r="SGH101" s="53"/>
      <c r="SGI101" s="53"/>
      <c r="SGJ101" s="53"/>
      <c r="SGK101" s="53"/>
      <c r="SGL101" s="53"/>
      <c r="SGM101" s="53"/>
      <c r="SGN101" s="53"/>
      <c r="SGO101" s="53"/>
      <c r="SGP101" s="53"/>
      <c r="SGQ101" s="53"/>
      <c r="SGR101" s="53"/>
      <c r="SGS101" s="53"/>
      <c r="SGT101" s="53"/>
      <c r="SGU101" s="53"/>
      <c r="SGV101" s="53"/>
      <c r="SGW101" s="53"/>
      <c r="SGX101" s="53"/>
      <c r="SGY101" s="53"/>
      <c r="SGZ101" s="53"/>
      <c r="SHA101" s="53"/>
      <c r="SHB101" s="53"/>
      <c r="SHC101" s="53"/>
      <c r="SHD101" s="53"/>
      <c r="SHE101" s="53"/>
      <c r="SHF101" s="53"/>
      <c r="SHG101" s="53"/>
      <c r="SHH101" s="53"/>
      <c r="SHI101" s="53"/>
      <c r="SHJ101" s="53"/>
      <c r="SHK101" s="53"/>
      <c r="SHL101" s="53"/>
      <c r="SHM101" s="53"/>
      <c r="SHN101" s="53"/>
      <c r="SHO101" s="53"/>
      <c r="SHP101" s="53"/>
      <c r="SHQ101" s="53"/>
      <c r="SHR101" s="53"/>
      <c r="SHS101" s="53"/>
      <c r="SHT101" s="53"/>
      <c r="SHU101" s="53"/>
      <c r="SHV101" s="53"/>
      <c r="SHW101" s="53"/>
      <c r="SHX101" s="53"/>
      <c r="SHY101" s="53"/>
      <c r="SHZ101" s="53"/>
      <c r="SIA101" s="53"/>
      <c r="SIB101" s="53"/>
      <c r="SIC101" s="53"/>
      <c r="SID101" s="53"/>
      <c r="SIE101" s="53"/>
      <c r="SIF101" s="53"/>
      <c r="SIG101" s="53"/>
      <c r="SIH101" s="53"/>
      <c r="SII101" s="53"/>
      <c r="SIJ101" s="53"/>
      <c r="SIK101" s="53"/>
      <c r="SIL101" s="53"/>
      <c r="SIM101" s="53"/>
      <c r="SIN101" s="53"/>
      <c r="SIO101" s="53"/>
      <c r="SIP101" s="53"/>
      <c r="SIQ101" s="53"/>
      <c r="SIR101" s="53"/>
      <c r="SIS101" s="53"/>
      <c r="SIT101" s="53"/>
      <c r="SIU101" s="53"/>
      <c r="SIV101" s="53"/>
      <c r="SIW101" s="53"/>
      <c r="SIX101" s="53"/>
      <c r="SIY101" s="53"/>
      <c r="SIZ101" s="53"/>
      <c r="SJA101" s="53"/>
      <c r="SJB101" s="53"/>
      <c r="SJC101" s="53"/>
      <c r="SJD101" s="53"/>
      <c r="SJE101" s="53"/>
      <c r="SJF101" s="53"/>
      <c r="SJG101" s="53"/>
      <c r="SJH101" s="53"/>
      <c r="SJI101" s="53"/>
      <c r="SJJ101" s="53"/>
      <c r="SJK101" s="53"/>
      <c r="SJL101" s="53"/>
      <c r="SJM101" s="53"/>
      <c r="SJN101" s="53"/>
      <c r="SJO101" s="53"/>
      <c r="SJP101" s="53"/>
      <c r="SJQ101" s="53"/>
      <c r="SJR101" s="53"/>
      <c r="SJS101" s="53"/>
      <c r="SJT101" s="53"/>
      <c r="SJU101" s="53"/>
      <c r="SJV101" s="53"/>
      <c r="SJW101" s="53"/>
      <c r="SJX101" s="53"/>
      <c r="SJY101" s="53"/>
      <c r="SJZ101" s="53"/>
      <c r="SKA101" s="53"/>
      <c r="SKB101" s="53"/>
      <c r="SKC101" s="53"/>
      <c r="SKD101" s="53"/>
      <c r="SKE101" s="53"/>
      <c r="SKF101" s="53"/>
      <c r="SKG101" s="53"/>
      <c r="SKH101" s="53"/>
      <c r="SKI101" s="53"/>
      <c r="SKJ101" s="53"/>
      <c r="SKK101" s="53"/>
      <c r="SKL101" s="53"/>
      <c r="SKM101" s="53"/>
      <c r="SKN101" s="53"/>
      <c r="SKO101" s="53"/>
      <c r="SKP101" s="53"/>
      <c r="SKQ101" s="53"/>
      <c r="SKR101" s="53"/>
      <c r="SKS101" s="53"/>
      <c r="SKT101" s="53"/>
      <c r="SKU101" s="53"/>
      <c r="SKV101" s="53"/>
      <c r="SKW101" s="53"/>
      <c r="SKX101" s="53"/>
      <c r="SKY101" s="53"/>
      <c r="SKZ101" s="53"/>
      <c r="SLA101" s="53"/>
      <c r="SLB101" s="53"/>
      <c r="SLC101" s="53"/>
      <c r="SLD101" s="53"/>
      <c r="SLE101" s="53"/>
      <c r="SLF101" s="53"/>
      <c r="SLG101" s="53"/>
      <c r="SLH101" s="53"/>
      <c r="SLI101" s="53"/>
      <c r="SLJ101" s="53"/>
      <c r="SLK101" s="53"/>
      <c r="SLL101" s="53"/>
      <c r="SLM101" s="53"/>
      <c r="SLN101" s="53"/>
      <c r="SLO101" s="53"/>
      <c r="SLP101" s="53"/>
      <c r="SLQ101" s="53"/>
      <c r="SLR101" s="53"/>
      <c r="SLS101" s="53"/>
      <c r="SLT101" s="53"/>
      <c r="SLU101" s="53"/>
      <c r="SLV101" s="53"/>
      <c r="SLW101" s="53"/>
      <c r="SLX101" s="53"/>
      <c r="SLY101" s="53"/>
      <c r="SLZ101" s="53"/>
      <c r="SMA101" s="53"/>
      <c r="SMB101" s="53"/>
      <c r="SMC101" s="53"/>
      <c r="SMD101" s="53"/>
      <c r="SME101" s="53"/>
      <c r="SMF101" s="53"/>
      <c r="SMG101" s="53"/>
      <c r="SMH101" s="53"/>
      <c r="SMI101" s="53"/>
      <c r="SMJ101" s="53"/>
      <c r="SMK101" s="53"/>
      <c r="SML101" s="53"/>
      <c r="SMM101" s="53"/>
      <c r="SMN101" s="53"/>
      <c r="SMO101" s="53"/>
      <c r="SMP101" s="53"/>
      <c r="SMQ101" s="53"/>
      <c r="SMR101" s="53"/>
      <c r="SMS101" s="53"/>
      <c r="SMT101" s="53"/>
      <c r="SMU101" s="53"/>
      <c r="SMV101" s="53"/>
      <c r="SMW101" s="53"/>
      <c r="SMX101" s="53"/>
      <c r="SMY101" s="53"/>
      <c r="SMZ101" s="53"/>
      <c r="SNA101" s="53"/>
      <c r="SNB101" s="53"/>
      <c r="SNC101" s="53"/>
      <c r="SND101" s="53"/>
      <c r="SNE101" s="53"/>
      <c r="SNF101" s="53"/>
      <c r="SNG101" s="53"/>
      <c r="SNH101" s="53"/>
      <c r="SNI101" s="53"/>
      <c r="SNJ101" s="53"/>
      <c r="SNK101" s="53"/>
      <c r="SNL101" s="53"/>
      <c r="SNM101" s="53"/>
      <c r="SNN101" s="53"/>
      <c r="SNO101" s="53"/>
      <c r="SNP101" s="53"/>
      <c r="SNQ101" s="53"/>
      <c r="SNR101" s="53"/>
      <c r="SNS101" s="53"/>
      <c r="SNT101" s="53"/>
      <c r="SNU101" s="53"/>
      <c r="SNV101" s="53"/>
      <c r="SNW101" s="53"/>
      <c r="SNX101" s="53"/>
      <c r="SNY101" s="53"/>
      <c r="SNZ101" s="53"/>
      <c r="SOA101" s="53"/>
      <c r="SOB101" s="53"/>
      <c r="SOC101" s="53"/>
      <c r="SOD101" s="53"/>
      <c r="SOE101" s="53"/>
      <c r="SOF101" s="53"/>
      <c r="SOG101" s="53"/>
      <c r="SOH101" s="53"/>
      <c r="SOI101" s="53"/>
      <c r="SOJ101" s="53"/>
      <c r="SOK101" s="53"/>
      <c r="SOL101" s="53"/>
      <c r="SOM101" s="53"/>
      <c r="SON101" s="53"/>
      <c r="SOO101" s="53"/>
      <c r="SOP101" s="53"/>
      <c r="SOQ101" s="53"/>
      <c r="SOR101" s="53"/>
      <c r="SOS101" s="53"/>
      <c r="SOT101" s="53"/>
      <c r="SOU101" s="53"/>
      <c r="SOV101" s="53"/>
      <c r="SOW101" s="53"/>
      <c r="SOX101" s="53"/>
      <c r="SOY101" s="53"/>
      <c r="SOZ101" s="53"/>
      <c r="SPA101" s="53"/>
      <c r="SPB101" s="53"/>
      <c r="SPC101" s="53"/>
      <c r="SPD101" s="53"/>
      <c r="SPE101" s="53"/>
      <c r="SPF101" s="53"/>
      <c r="SPG101" s="53"/>
      <c r="SPH101" s="53"/>
      <c r="SPI101" s="53"/>
      <c r="SPJ101" s="53"/>
      <c r="SPK101" s="53"/>
      <c r="SPL101" s="53"/>
      <c r="SPM101" s="53"/>
      <c r="SPN101" s="53"/>
      <c r="SPO101" s="53"/>
      <c r="SPP101" s="53"/>
      <c r="SPQ101" s="53"/>
      <c r="SPR101" s="53"/>
      <c r="SPS101" s="53"/>
      <c r="SPT101" s="53"/>
      <c r="SPU101" s="53"/>
      <c r="SPV101" s="53"/>
      <c r="SPW101" s="53"/>
      <c r="SPX101" s="53"/>
      <c r="SPY101" s="53"/>
      <c r="SPZ101" s="53"/>
      <c r="SQA101" s="53"/>
      <c r="SQB101" s="53"/>
      <c r="SQC101" s="53"/>
      <c r="SQD101" s="53"/>
      <c r="SQE101" s="53"/>
      <c r="SQF101" s="53"/>
      <c r="SQG101" s="53"/>
      <c r="SQH101" s="53"/>
      <c r="SQI101" s="53"/>
      <c r="SQJ101" s="53"/>
      <c r="SQK101" s="53"/>
      <c r="SQL101" s="53"/>
      <c r="SQM101" s="53"/>
      <c r="SQN101" s="53"/>
      <c r="SQO101" s="53"/>
      <c r="SQP101" s="53"/>
      <c r="SQQ101" s="53"/>
      <c r="SQR101" s="53"/>
      <c r="SQS101" s="53"/>
      <c r="SQT101" s="53"/>
      <c r="SQU101" s="53"/>
      <c r="SQV101" s="53"/>
      <c r="SQW101" s="53"/>
      <c r="SQX101" s="53"/>
      <c r="SQY101" s="53"/>
      <c r="SQZ101" s="53"/>
      <c r="SRA101" s="53"/>
      <c r="SRB101" s="53"/>
      <c r="SRC101" s="53"/>
      <c r="SRD101" s="53"/>
      <c r="SRE101" s="53"/>
      <c r="SRF101" s="53"/>
      <c r="SRG101" s="53"/>
      <c r="SRH101" s="53"/>
      <c r="SRI101" s="53"/>
      <c r="SRJ101" s="53"/>
      <c r="SRK101" s="53"/>
      <c r="SRL101" s="53"/>
      <c r="SRM101" s="53"/>
      <c r="SRN101" s="53"/>
      <c r="SRO101" s="53"/>
      <c r="SRP101" s="53"/>
      <c r="SRQ101" s="53"/>
      <c r="SRR101" s="53"/>
      <c r="SRS101" s="53"/>
      <c r="SRT101" s="53"/>
      <c r="SRU101" s="53"/>
      <c r="SRV101" s="53"/>
      <c r="SRW101" s="53"/>
      <c r="SRX101" s="53"/>
      <c r="SRY101" s="53"/>
      <c r="SRZ101" s="53"/>
      <c r="SSA101" s="53"/>
      <c r="SSB101" s="53"/>
      <c r="SSC101" s="53"/>
      <c r="SSD101" s="53"/>
      <c r="SSE101" s="53"/>
      <c r="SSF101" s="53"/>
      <c r="SSG101" s="53"/>
      <c r="SSH101" s="53"/>
      <c r="SSI101" s="53"/>
      <c r="SSJ101" s="53"/>
      <c r="SSK101" s="53"/>
      <c r="SSL101" s="53"/>
      <c r="SSM101" s="53"/>
      <c r="SSN101" s="53"/>
      <c r="SSO101" s="53"/>
      <c r="SSP101" s="53"/>
      <c r="SSQ101" s="53"/>
      <c r="SSR101" s="53"/>
      <c r="SSS101" s="53"/>
      <c r="SST101" s="53"/>
      <c r="SSU101" s="53"/>
      <c r="SSV101" s="53"/>
      <c r="SSW101" s="53"/>
      <c r="SSX101" s="53"/>
      <c r="SSY101" s="53"/>
      <c r="SSZ101" s="53"/>
      <c r="STA101" s="53"/>
      <c r="STB101" s="53"/>
      <c r="STC101" s="53"/>
      <c r="STD101" s="53"/>
      <c r="STE101" s="53"/>
      <c r="STF101" s="53"/>
      <c r="STG101" s="53"/>
      <c r="STH101" s="53"/>
      <c r="STI101" s="53"/>
      <c r="STJ101" s="53"/>
      <c r="STK101" s="53"/>
      <c r="STL101" s="53"/>
      <c r="STM101" s="53"/>
      <c r="STN101" s="53"/>
      <c r="STO101" s="53"/>
      <c r="STP101" s="53"/>
      <c r="STQ101" s="53"/>
      <c r="STR101" s="53"/>
      <c r="STS101" s="53"/>
      <c r="STT101" s="53"/>
      <c r="STU101" s="53"/>
      <c r="STV101" s="53"/>
      <c r="STW101" s="53"/>
      <c r="STX101" s="53"/>
      <c r="STY101" s="53"/>
      <c r="STZ101" s="53"/>
      <c r="SUA101" s="53"/>
      <c r="SUB101" s="53"/>
      <c r="SUC101" s="53"/>
      <c r="SUD101" s="53"/>
      <c r="SUE101" s="53"/>
      <c r="SUF101" s="53"/>
      <c r="SUG101" s="53"/>
      <c r="SUH101" s="53"/>
      <c r="SUI101" s="53"/>
      <c r="SUJ101" s="53"/>
      <c r="SUK101" s="53"/>
      <c r="SUL101" s="53"/>
      <c r="SUM101" s="53"/>
      <c r="SUN101" s="53"/>
      <c r="SUO101" s="53"/>
      <c r="SUP101" s="53"/>
      <c r="SUQ101" s="53"/>
      <c r="SUR101" s="53"/>
      <c r="SUS101" s="53"/>
      <c r="SUT101" s="53"/>
      <c r="SUU101" s="53"/>
      <c r="SUV101" s="53"/>
      <c r="SUW101" s="53"/>
      <c r="SUX101" s="53"/>
      <c r="SUY101" s="53"/>
      <c r="SUZ101" s="53"/>
      <c r="SVA101" s="53"/>
      <c r="SVB101" s="53"/>
      <c r="SVC101" s="53"/>
      <c r="SVD101" s="53"/>
      <c r="SVE101" s="53"/>
      <c r="SVF101" s="53"/>
      <c r="SVG101" s="53"/>
      <c r="SVH101" s="53"/>
      <c r="SVI101" s="53"/>
      <c r="SVJ101" s="53"/>
      <c r="SVK101" s="53"/>
      <c r="SVL101" s="53"/>
      <c r="SVM101" s="53"/>
      <c r="SVN101" s="53"/>
      <c r="SVO101" s="53"/>
      <c r="SVP101" s="53"/>
      <c r="SVQ101" s="53"/>
      <c r="SVR101" s="53"/>
      <c r="SVS101" s="53"/>
      <c r="SVT101" s="53"/>
      <c r="SVU101" s="53"/>
      <c r="SVV101" s="53"/>
      <c r="SVW101" s="53"/>
      <c r="SVX101" s="53"/>
      <c r="SVY101" s="53"/>
      <c r="SVZ101" s="53"/>
      <c r="SWA101" s="53"/>
      <c r="SWB101" s="53"/>
      <c r="SWC101" s="53"/>
      <c r="SWD101" s="53"/>
      <c r="SWE101" s="53"/>
      <c r="SWF101" s="53"/>
      <c r="SWG101" s="53"/>
      <c r="SWH101" s="53"/>
      <c r="SWI101" s="53"/>
      <c r="SWJ101" s="53"/>
      <c r="SWK101" s="53"/>
      <c r="SWL101" s="53"/>
      <c r="SWM101" s="53"/>
      <c r="SWN101" s="53"/>
      <c r="SWO101" s="53"/>
      <c r="SWP101" s="53"/>
      <c r="SWQ101" s="53"/>
      <c r="SWR101" s="53"/>
      <c r="SWS101" s="53"/>
      <c r="SWT101" s="53"/>
      <c r="SWU101" s="53"/>
      <c r="SWV101" s="53"/>
      <c r="SWW101" s="53"/>
      <c r="SWX101" s="53"/>
      <c r="SWY101" s="53"/>
      <c r="SWZ101" s="53"/>
      <c r="SXA101" s="53"/>
      <c r="SXB101" s="53"/>
      <c r="SXC101" s="53"/>
      <c r="SXD101" s="53"/>
      <c r="SXE101" s="53"/>
      <c r="SXF101" s="53"/>
      <c r="SXG101" s="53"/>
      <c r="SXH101" s="53"/>
      <c r="SXI101" s="53"/>
      <c r="SXJ101" s="53"/>
      <c r="SXK101" s="53"/>
      <c r="SXL101" s="53"/>
      <c r="SXM101" s="53"/>
      <c r="SXN101" s="53"/>
      <c r="SXO101" s="53"/>
      <c r="SXP101" s="53"/>
      <c r="SXQ101" s="53"/>
      <c r="SXR101" s="53"/>
      <c r="SXS101" s="53"/>
      <c r="SXT101" s="53"/>
      <c r="SXU101" s="53"/>
      <c r="SXV101" s="53"/>
      <c r="SXW101" s="53"/>
      <c r="SXX101" s="53"/>
      <c r="SXY101" s="53"/>
      <c r="SXZ101" s="53"/>
      <c r="SYA101" s="53"/>
      <c r="SYB101" s="53"/>
      <c r="SYC101" s="53"/>
      <c r="SYD101" s="53"/>
      <c r="SYE101" s="53"/>
      <c r="SYF101" s="53"/>
      <c r="SYG101" s="53"/>
      <c r="SYH101" s="53"/>
      <c r="SYI101" s="53"/>
      <c r="SYJ101" s="53"/>
      <c r="SYK101" s="53"/>
      <c r="SYL101" s="53"/>
      <c r="SYM101" s="53"/>
      <c r="SYN101" s="53"/>
      <c r="SYO101" s="53"/>
      <c r="SYP101" s="53"/>
      <c r="SYQ101" s="53"/>
      <c r="SYR101" s="53"/>
      <c r="SYS101" s="53"/>
      <c r="SYT101" s="53"/>
      <c r="SYU101" s="53"/>
      <c r="SYV101" s="53"/>
      <c r="SYW101" s="53"/>
      <c r="SYX101" s="53"/>
      <c r="SYY101" s="53"/>
      <c r="SYZ101" s="53"/>
      <c r="SZA101" s="53"/>
      <c r="SZB101" s="53"/>
      <c r="SZC101" s="53"/>
      <c r="SZD101" s="53"/>
      <c r="SZE101" s="53"/>
      <c r="SZF101" s="53"/>
      <c r="SZG101" s="53"/>
      <c r="SZH101" s="53"/>
      <c r="SZI101" s="53"/>
      <c r="SZJ101" s="53"/>
      <c r="SZK101" s="53"/>
      <c r="SZL101" s="53"/>
      <c r="SZM101" s="53"/>
      <c r="SZN101" s="53"/>
      <c r="SZO101" s="53"/>
      <c r="SZP101" s="53"/>
      <c r="SZQ101" s="53"/>
      <c r="SZR101" s="53"/>
      <c r="SZS101" s="53"/>
      <c r="SZT101" s="53"/>
      <c r="SZU101" s="53"/>
      <c r="SZV101" s="53"/>
      <c r="SZW101" s="53"/>
      <c r="SZX101" s="53"/>
      <c r="SZY101" s="53"/>
      <c r="SZZ101" s="53"/>
      <c r="TAA101" s="53"/>
      <c r="TAB101" s="53"/>
      <c r="TAC101" s="53"/>
      <c r="TAD101" s="53"/>
      <c r="TAE101" s="53"/>
      <c r="TAF101" s="53"/>
      <c r="TAG101" s="53"/>
      <c r="TAH101" s="53"/>
      <c r="TAI101" s="53"/>
      <c r="TAJ101" s="53"/>
      <c r="TAK101" s="53"/>
      <c r="TAL101" s="53"/>
      <c r="TAM101" s="53"/>
      <c r="TAN101" s="53"/>
      <c r="TAO101" s="53"/>
      <c r="TAP101" s="53"/>
      <c r="TAQ101" s="53"/>
      <c r="TAR101" s="53"/>
      <c r="TAS101" s="53"/>
      <c r="TAT101" s="53"/>
      <c r="TAU101" s="53"/>
      <c r="TAV101" s="53"/>
      <c r="TAW101" s="53"/>
      <c r="TAX101" s="53"/>
      <c r="TAY101" s="53"/>
      <c r="TAZ101" s="53"/>
      <c r="TBA101" s="53"/>
      <c r="TBB101" s="53"/>
      <c r="TBC101" s="53"/>
      <c r="TBD101" s="53"/>
      <c r="TBE101" s="53"/>
      <c r="TBF101" s="53"/>
      <c r="TBG101" s="53"/>
      <c r="TBH101" s="53"/>
      <c r="TBI101" s="53"/>
      <c r="TBJ101" s="53"/>
      <c r="TBK101" s="53"/>
      <c r="TBL101" s="53"/>
      <c r="TBM101" s="53"/>
      <c r="TBN101" s="53"/>
      <c r="TBO101" s="53"/>
      <c r="TBP101" s="53"/>
      <c r="TBQ101" s="53"/>
      <c r="TBR101" s="53"/>
      <c r="TBS101" s="53"/>
      <c r="TBT101" s="53"/>
      <c r="TBU101" s="53"/>
      <c r="TBV101" s="53"/>
      <c r="TBW101" s="53"/>
      <c r="TBX101" s="53"/>
      <c r="TBY101" s="53"/>
      <c r="TBZ101" s="53"/>
      <c r="TCA101" s="53"/>
      <c r="TCB101" s="53"/>
      <c r="TCC101" s="53"/>
      <c r="TCD101" s="53"/>
      <c r="TCE101" s="53"/>
      <c r="TCF101" s="53"/>
      <c r="TCG101" s="53"/>
      <c r="TCH101" s="53"/>
      <c r="TCI101" s="53"/>
      <c r="TCJ101" s="53"/>
      <c r="TCK101" s="53"/>
      <c r="TCL101" s="53"/>
      <c r="TCM101" s="53"/>
      <c r="TCN101" s="53"/>
      <c r="TCO101" s="53"/>
      <c r="TCP101" s="53"/>
      <c r="TCQ101" s="53"/>
      <c r="TCR101" s="53"/>
      <c r="TCS101" s="53"/>
      <c r="TCT101" s="53"/>
      <c r="TCU101" s="53"/>
      <c r="TCV101" s="53"/>
      <c r="TCW101" s="53"/>
      <c r="TCX101" s="53"/>
      <c r="TCY101" s="53"/>
      <c r="TCZ101" s="53"/>
      <c r="TDA101" s="53"/>
      <c r="TDB101" s="53"/>
      <c r="TDC101" s="53"/>
      <c r="TDD101" s="53"/>
      <c r="TDE101" s="53"/>
      <c r="TDF101" s="53"/>
      <c r="TDG101" s="53"/>
      <c r="TDH101" s="53"/>
      <c r="TDI101" s="53"/>
      <c r="TDJ101" s="53"/>
      <c r="TDK101" s="53"/>
      <c r="TDL101" s="53"/>
      <c r="TDM101" s="53"/>
      <c r="TDN101" s="53"/>
      <c r="TDO101" s="53"/>
      <c r="TDP101" s="53"/>
      <c r="TDQ101" s="53"/>
      <c r="TDR101" s="53"/>
      <c r="TDS101" s="53"/>
      <c r="TDT101" s="53"/>
      <c r="TDU101" s="53"/>
      <c r="TDV101" s="53"/>
      <c r="TDW101" s="53"/>
      <c r="TDX101" s="53"/>
      <c r="TDY101" s="53"/>
      <c r="TDZ101" s="53"/>
      <c r="TEA101" s="53"/>
      <c r="TEB101" s="53"/>
      <c r="TEC101" s="53"/>
      <c r="TED101" s="53"/>
      <c r="TEE101" s="53"/>
      <c r="TEF101" s="53"/>
      <c r="TEG101" s="53"/>
      <c r="TEH101" s="53"/>
      <c r="TEI101" s="53"/>
      <c r="TEJ101" s="53"/>
      <c r="TEK101" s="53"/>
      <c r="TEL101" s="53"/>
      <c r="TEM101" s="53"/>
      <c r="TEN101" s="53"/>
      <c r="TEO101" s="53"/>
      <c r="TEP101" s="53"/>
      <c r="TEQ101" s="53"/>
      <c r="TER101" s="53"/>
      <c r="TES101" s="53"/>
      <c r="TET101" s="53"/>
      <c r="TEU101" s="53"/>
      <c r="TEV101" s="53"/>
      <c r="TEW101" s="53"/>
      <c r="TEX101" s="53"/>
      <c r="TEY101" s="53"/>
      <c r="TEZ101" s="53"/>
      <c r="TFA101" s="53"/>
      <c r="TFB101" s="53"/>
      <c r="TFC101" s="53"/>
      <c r="TFD101" s="53"/>
      <c r="TFE101" s="53"/>
      <c r="TFF101" s="53"/>
      <c r="TFG101" s="53"/>
      <c r="TFH101" s="53"/>
      <c r="TFI101" s="53"/>
      <c r="TFJ101" s="53"/>
      <c r="TFK101" s="53"/>
      <c r="TFL101" s="53"/>
      <c r="TFM101" s="53"/>
      <c r="TFN101" s="53"/>
      <c r="TFO101" s="53"/>
      <c r="TFP101" s="53"/>
      <c r="TFQ101" s="53"/>
      <c r="TFR101" s="53"/>
      <c r="TFS101" s="53"/>
      <c r="TFT101" s="53"/>
      <c r="TFU101" s="53"/>
      <c r="TFV101" s="53"/>
      <c r="TFW101" s="53"/>
      <c r="TFX101" s="53"/>
      <c r="TFY101" s="53"/>
      <c r="TFZ101" s="53"/>
      <c r="TGA101" s="53"/>
      <c r="TGB101" s="53"/>
      <c r="TGC101" s="53"/>
      <c r="TGD101" s="53"/>
      <c r="TGE101" s="53"/>
      <c r="TGF101" s="53"/>
      <c r="TGG101" s="53"/>
      <c r="TGH101" s="53"/>
      <c r="TGI101" s="53"/>
      <c r="TGJ101" s="53"/>
      <c r="TGK101" s="53"/>
      <c r="TGL101" s="53"/>
      <c r="TGM101" s="53"/>
      <c r="TGN101" s="53"/>
      <c r="TGO101" s="53"/>
      <c r="TGP101" s="53"/>
      <c r="TGQ101" s="53"/>
      <c r="TGR101" s="53"/>
      <c r="TGS101" s="53"/>
      <c r="TGT101" s="53"/>
      <c r="TGU101" s="53"/>
      <c r="TGV101" s="53"/>
      <c r="TGW101" s="53"/>
      <c r="TGX101" s="53"/>
      <c r="TGY101" s="53"/>
      <c r="TGZ101" s="53"/>
      <c r="THA101" s="53"/>
      <c r="THB101" s="53"/>
      <c r="THC101" s="53"/>
      <c r="THD101" s="53"/>
      <c r="THE101" s="53"/>
      <c r="THF101" s="53"/>
      <c r="THG101" s="53"/>
      <c r="THH101" s="53"/>
      <c r="THI101" s="53"/>
      <c r="THJ101" s="53"/>
      <c r="THK101" s="53"/>
      <c r="THL101" s="53"/>
      <c r="THM101" s="53"/>
      <c r="THN101" s="53"/>
      <c r="THO101" s="53"/>
      <c r="THP101" s="53"/>
      <c r="THQ101" s="53"/>
      <c r="THR101" s="53"/>
      <c r="THS101" s="53"/>
      <c r="THT101" s="53"/>
      <c r="THU101" s="53"/>
      <c r="THV101" s="53"/>
      <c r="THW101" s="53"/>
      <c r="THX101" s="53"/>
      <c r="THY101" s="53"/>
      <c r="THZ101" s="53"/>
      <c r="TIA101" s="53"/>
      <c r="TIB101" s="53"/>
      <c r="TIC101" s="53"/>
      <c r="TID101" s="53"/>
      <c r="TIE101" s="53"/>
      <c r="TIF101" s="53"/>
      <c r="TIG101" s="53"/>
      <c r="TIH101" s="53"/>
      <c r="TII101" s="53"/>
      <c r="TIJ101" s="53"/>
      <c r="TIK101" s="53"/>
      <c r="TIL101" s="53"/>
      <c r="TIM101" s="53"/>
      <c r="TIN101" s="53"/>
      <c r="TIO101" s="53"/>
      <c r="TIP101" s="53"/>
      <c r="TIQ101" s="53"/>
      <c r="TIR101" s="53"/>
      <c r="TIS101" s="53"/>
      <c r="TIT101" s="53"/>
      <c r="TIU101" s="53"/>
      <c r="TIV101" s="53"/>
      <c r="TIW101" s="53"/>
      <c r="TIX101" s="53"/>
      <c r="TIY101" s="53"/>
      <c r="TIZ101" s="53"/>
      <c r="TJA101" s="53"/>
      <c r="TJB101" s="53"/>
      <c r="TJC101" s="53"/>
      <c r="TJD101" s="53"/>
      <c r="TJE101" s="53"/>
      <c r="TJF101" s="53"/>
      <c r="TJG101" s="53"/>
      <c r="TJH101" s="53"/>
      <c r="TJI101" s="53"/>
      <c r="TJJ101" s="53"/>
      <c r="TJK101" s="53"/>
      <c r="TJL101" s="53"/>
      <c r="TJM101" s="53"/>
      <c r="TJN101" s="53"/>
      <c r="TJO101" s="53"/>
      <c r="TJP101" s="53"/>
      <c r="TJQ101" s="53"/>
      <c r="TJR101" s="53"/>
      <c r="TJS101" s="53"/>
      <c r="TJT101" s="53"/>
      <c r="TJU101" s="53"/>
      <c r="TJV101" s="53"/>
      <c r="TJW101" s="53"/>
      <c r="TJX101" s="53"/>
      <c r="TJY101" s="53"/>
      <c r="TJZ101" s="53"/>
      <c r="TKA101" s="53"/>
      <c r="TKB101" s="53"/>
      <c r="TKC101" s="53"/>
      <c r="TKD101" s="53"/>
      <c r="TKE101" s="53"/>
      <c r="TKF101" s="53"/>
      <c r="TKG101" s="53"/>
      <c r="TKH101" s="53"/>
      <c r="TKI101" s="53"/>
      <c r="TKJ101" s="53"/>
      <c r="TKK101" s="53"/>
      <c r="TKL101" s="53"/>
      <c r="TKM101" s="53"/>
      <c r="TKN101" s="53"/>
      <c r="TKO101" s="53"/>
      <c r="TKP101" s="53"/>
      <c r="TKQ101" s="53"/>
      <c r="TKR101" s="53"/>
      <c r="TKS101" s="53"/>
      <c r="TKT101" s="53"/>
      <c r="TKU101" s="53"/>
      <c r="TKV101" s="53"/>
      <c r="TKW101" s="53"/>
      <c r="TKX101" s="53"/>
      <c r="TKY101" s="53"/>
      <c r="TKZ101" s="53"/>
      <c r="TLA101" s="53"/>
      <c r="TLB101" s="53"/>
      <c r="TLC101" s="53"/>
      <c r="TLD101" s="53"/>
      <c r="TLE101" s="53"/>
      <c r="TLF101" s="53"/>
      <c r="TLG101" s="53"/>
      <c r="TLH101" s="53"/>
      <c r="TLI101" s="53"/>
      <c r="TLJ101" s="53"/>
      <c r="TLK101" s="53"/>
      <c r="TLL101" s="53"/>
      <c r="TLM101" s="53"/>
      <c r="TLN101" s="53"/>
      <c r="TLO101" s="53"/>
      <c r="TLP101" s="53"/>
      <c r="TLQ101" s="53"/>
      <c r="TLR101" s="53"/>
      <c r="TLS101" s="53"/>
      <c r="TLT101" s="53"/>
      <c r="TLU101" s="53"/>
      <c r="TLV101" s="53"/>
      <c r="TLW101" s="53"/>
      <c r="TLX101" s="53"/>
      <c r="TLY101" s="53"/>
      <c r="TLZ101" s="53"/>
      <c r="TMA101" s="53"/>
      <c r="TMB101" s="53"/>
      <c r="TMC101" s="53"/>
      <c r="TMD101" s="53"/>
      <c r="TME101" s="53"/>
      <c r="TMF101" s="53"/>
      <c r="TMG101" s="53"/>
      <c r="TMH101" s="53"/>
      <c r="TMI101" s="53"/>
      <c r="TMJ101" s="53"/>
      <c r="TMK101" s="53"/>
      <c r="TML101" s="53"/>
      <c r="TMM101" s="53"/>
      <c r="TMN101" s="53"/>
      <c r="TMO101" s="53"/>
      <c r="TMP101" s="53"/>
      <c r="TMQ101" s="53"/>
      <c r="TMR101" s="53"/>
      <c r="TMS101" s="53"/>
      <c r="TMT101" s="53"/>
      <c r="TMU101" s="53"/>
      <c r="TMV101" s="53"/>
      <c r="TMW101" s="53"/>
      <c r="TMX101" s="53"/>
      <c r="TMY101" s="53"/>
      <c r="TMZ101" s="53"/>
      <c r="TNA101" s="53"/>
      <c r="TNB101" s="53"/>
      <c r="TNC101" s="53"/>
      <c r="TND101" s="53"/>
      <c r="TNE101" s="53"/>
      <c r="TNF101" s="53"/>
      <c r="TNG101" s="53"/>
      <c r="TNH101" s="53"/>
      <c r="TNI101" s="53"/>
      <c r="TNJ101" s="53"/>
      <c r="TNK101" s="53"/>
      <c r="TNL101" s="53"/>
      <c r="TNM101" s="53"/>
      <c r="TNN101" s="53"/>
      <c r="TNO101" s="53"/>
      <c r="TNP101" s="53"/>
      <c r="TNQ101" s="53"/>
      <c r="TNR101" s="53"/>
      <c r="TNS101" s="53"/>
      <c r="TNT101" s="53"/>
      <c r="TNU101" s="53"/>
      <c r="TNV101" s="53"/>
      <c r="TNW101" s="53"/>
      <c r="TNX101" s="53"/>
      <c r="TNY101" s="53"/>
      <c r="TNZ101" s="53"/>
      <c r="TOA101" s="53"/>
      <c r="TOB101" s="53"/>
      <c r="TOC101" s="53"/>
      <c r="TOD101" s="53"/>
      <c r="TOE101" s="53"/>
      <c r="TOF101" s="53"/>
      <c r="TOG101" s="53"/>
      <c r="TOH101" s="53"/>
      <c r="TOI101" s="53"/>
      <c r="TOJ101" s="53"/>
      <c r="TOK101" s="53"/>
      <c r="TOL101" s="53"/>
      <c r="TOM101" s="53"/>
      <c r="TON101" s="53"/>
      <c r="TOO101" s="53"/>
      <c r="TOP101" s="53"/>
      <c r="TOQ101" s="53"/>
      <c r="TOR101" s="53"/>
      <c r="TOS101" s="53"/>
      <c r="TOT101" s="53"/>
      <c r="TOU101" s="53"/>
      <c r="TOV101" s="53"/>
      <c r="TOW101" s="53"/>
      <c r="TOX101" s="53"/>
      <c r="TOY101" s="53"/>
      <c r="TOZ101" s="53"/>
      <c r="TPA101" s="53"/>
      <c r="TPB101" s="53"/>
      <c r="TPC101" s="53"/>
      <c r="TPD101" s="53"/>
      <c r="TPE101" s="53"/>
      <c r="TPF101" s="53"/>
      <c r="TPG101" s="53"/>
      <c r="TPH101" s="53"/>
      <c r="TPI101" s="53"/>
      <c r="TPJ101" s="53"/>
      <c r="TPK101" s="53"/>
      <c r="TPL101" s="53"/>
      <c r="TPM101" s="53"/>
      <c r="TPN101" s="53"/>
      <c r="TPO101" s="53"/>
      <c r="TPP101" s="53"/>
      <c r="TPQ101" s="53"/>
      <c r="TPR101" s="53"/>
      <c r="TPS101" s="53"/>
      <c r="TPT101" s="53"/>
      <c r="TPU101" s="53"/>
      <c r="TPV101" s="53"/>
      <c r="TPW101" s="53"/>
      <c r="TPX101" s="53"/>
      <c r="TPY101" s="53"/>
      <c r="TPZ101" s="53"/>
      <c r="TQA101" s="53"/>
      <c r="TQB101" s="53"/>
      <c r="TQC101" s="53"/>
      <c r="TQD101" s="53"/>
      <c r="TQE101" s="53"/>
      <c r="TQF101" s="53"/>
      <c r="TQG101" s="53"/>
      <c r="TQH101" s="53"/>
      <c r="TQI101" s="53"/>
      <c r="TQJ101" s="53"/>
      <c r="TQK101" s="53"/>
      <c r="TQL101" s="53"/>
      <c r="TQM101" s="53"/>
      <c r="TQN101" s="53"/>
      <c r="TQO101" s="53"/>
      <c r="TQP101" s="53"/>
      <c r="TQQ101" s="53"/>
      <c r="TQR101" s="53"/>
      <c r="TQS101" s="53"/>
      <c r="TQT101" s="53"/>
      <c r="TQU101" s="53"/>
      <c r="TQV101" s="53"/>
      <c r="TQW101" s="53"/>
      <c r="TQX101" s="53"/>
      <c r="TQY101" s="53"/>
      <c r="TQZ101" s="53"/>
      <c r="TRA101" s="53"/>
      <c r="TRB101" s="53"/>
      <c r="TRC101" s="53"/>
      <c r="TRD101" s="53"/>
      <c r="TRE101" s="53"/>
      <c r="TRF101" s="53"/>
      <c r="TRG101" s="53"/>
      <c r="TRH101" s="53"/>
      <c r="TRI101" s="53"/>
      <c r="TRJ101" s="53"/>
      <c r="TRK101" s="53"/>
      <c r="TRL101" s="53"/>
      <c r="TRM101" s="53"/>
      <c r="TRN101" s="53"/>
      <c r="TRO101" s="53"/>
      <c r="TRP101" s="53"/>
      <c r="TRQ101" s="53"/>
      <c r="TRR101" s="53"/>
      <c r="TRS101" s="53"/>
      <c r="TRT101" s="53"/>
      <c r="TRU101" s="53"/>
      <c r="TRV101" s="53"/>
      <c r="TRW101" s="53"/>
      <c r="TRX101" s="53"/>
      <c r="TRY101" s="53"/>
      <c r="TRZ101" s="53"/>
      <c r="TSA101" s="53"/>
      <c r="TSB101" s="53"/>
      <c r="TSC101" s="53"/>
      <c r="TSD101" s="53"/>
      <c r="TSE101" s="53"/>
      <c r="TSF101" s="53"/>
      <c r="TSG101" s="53"/>
      <c r="TSH101" s="53"/>
      <c r="TSI101" s="53"/>
      <c r="TSJ101" s="53"/>
      <c r="TSK101" s="53"/>
      <c r="TSL101" s="53"/>
      <c r="TSM101" s="53"/>
      <c r="TSN101" s="53"/>
      <c r="TSO101" s="53"/>
      <c r="TSP101" s="53"/>
      <c r="TSQ101" s="53"/>
      <c r="TSR101" s="53"/>
      <c r="TSS101" s="53"/>
      <c r="TST101" s="53"/>
      <c r="TSU101" s="53"/>
      <c r="TSV101" s="53"/>
      <c r="TSW101" s="53"/>
      <c r="TSX101" s="53"/>
      <c r="TSY101" s="53"/>
      <c r="TSZ101" s="53"/>
      <c r="TTA101" s="53"/>
      <c r="TTB101" s="53"/>
      <c r="TTC101" s="53"/>
      <c r="TTD101" s="53"/>
      <c r="TTE101" s="53"/>
      <c r="TTF101" s="53"/>
      <c r="TTG101" s="53"/>
      <c r="TTH101" s="53"/>
      <c r="TTI101" s="53"/>
      <c r="TTJ101" s="53"/>
      <c r="TTK101" s="53"/>
      <c r="TTL101" s="53"/>
      <c r="TTM101" s="53"/>
      <c r="TTN101" s="53"/>
      <c r="TTO101" s="53"/>
      <c r="TTP101" s="53"/>
      <c r="TTQ101" s="53"/>
      <c r="TTR101" s="53"/>
      <c r="TTS101" s="53"/>
      <c r="TTT101" s="53"/>
      <c r="TTU101" s="53"/>
      <c r="TTV101" s="53"/>
      <c r="TTW101" s="53"/>
      <c r="TTX101" s="53"/>
      <c r="TTY101" s="53"/>
      <c r="TTZ101" s="53"/>
      <c r="TUA101" s="53"/>
      <c r="TUB101" s="53"/>
      <c r="TUC101" s="53"/>
      <c r="TUD101" s="53"/>
      <c r="TUE101" s="53"/>
      <c r="TUF101" s="53"/>
      <c r="TUG101" s="53"/>
      <c r="TUH101" s="53"/>
      <c r="TUI101" s="53"/>
      <c r="TUJ101" s="53"/>
      <c r="TUK101" s="53"/>
      <c r="TUL101" s="53"/>
      <c r="TUM101" s="53"/>
      <c r="TUN101" s="53"/>
      <c r="TUO101" s="53"/>
      <c r="TUP101" s="53"/>
      <c r="TUQ101" s="53"/>
      <c r="TUR101" s="53"/>
      <c r="TUS101" s="53"/>
      <c r="TUT101" s="53"/>
      <c r="TUU101" s="53"/>
      <c r="TUV101" s="53"/>
      <c r="TUW101" s="53"/>
      <c r="TUX101" s="53"/>
      <c r="TUY101" s="53"/>
      <c r="TUZ101" s="53"/>
      <c r="TVA101" s="53"/>
      <c r="TVB101" s="53"/>
      <c r="TVC101" s="53"/>
      <c r="TVD101" s="53"/>
      <c r="TVE101" s="53"/>
      <c r="TVF101" s="53"/>
      <c r="TVG101" s="53"/>
      <c r="TVH101" s="53"/>
      <c r="TVI101" s="53"/>
      <c r="TVJ101" s="53"/>
      <c r="TVK101" s="53"/>
      <c r="TVL101" s="53"/>
      <c r="TVM101" s="53"/>
      <c r="TVN101" s="53"/>
      <c r="TVO101" s="53"/>
      <c r="TVP101" s="53"/>
      <c r="TVQ101" s="53"/>
      <c r="TVR101" s="53"/>
      <c r="TVS101" s="53"/>
      <c r="TVT101" s="53"/>
      <c r="TVU101" s="53"/>
      <c r="TVV101" s="53"/>
      <c r="TVW101" s="53"/>
      <c r="TVX101" s="53"/>
      <c r="TVY101" s="53"/>
      <c r="TVZ101" s="53"/>
      <c r="TWA101" s="53"/>
      <c r="TWB101" s="53"/>
      <c r="TWC101" s="53"/>
      <c r="TWD101" s="53"/>
      <c r="TWE101" s="53"/>
      <c r="TWF101" s="53"/>
      <c r="TWG101" s="53"/>
      <c r="TWH101" s="53"/>
      <c r="TWI101" s="53"/>
      <c r="TWJ101" s="53"/>
      <c r="TWK101" s="53"/>
      <c r="TWL101" s="53"/>
      <c r="TWM101" s="53"/>
      <c r="TWN101" s="53"/>
      <c r="TWO101" s="53"/>
      <c r="TWP101" s="53"/>
      <c r="TWQ101" s="53"/>
      <c r="TWR101" s="53"/>
      <c r="TWS101" s="53"/>
      <c r="TWT101" s="53"/>
      <c r="TWU101" s="53"/>
      <c r="TWV101" s="53"/>
      <c r="TWW101" s="53"/>
      <c r="TWX101" s="53"/>
      <c r="TWY101" s="53"/>
      <c r="TWZ101" s="53"/>
      <c r="TXA101" s="53"/>
      <c r="TXB101" s="53"/>
      <c r="TXC101" s="53"/>
      <c r="TXD101" s="53"/>
      <c r="TXE101" s="53"/>
      <c r="TXF101" s="53"/>
      <c r="TXG101" s="53"/>
      <c r="TXH101" s="53"/>
      <c r="TXI101" s="53"/>
      <c r="TXJ101" s="53"/>
      <c r="TXK101" s="53"/>
      <c r="TXL101" s="53"/>
      <c r="TXM101" s="53"/>
      <c r="TXN101" s="53"/>
      <c r="TXO101" s="53"/>
      <c r="TXP101" s="53"/>
      <c r="TXQ101" s="53"/>
      <c r="TXR101" s="53"/>
      <c r="TXS101" s="53"/>
      <c r="TXT101" s="53"/>
      <c r="TXU101" s="53"/>
      <c r="TXV101" s="53"/>
      <c r="TXW101" s="53"/>
      <c r="TXX101" s="53"/>
      <c r="TXY101" s="53"/>
      <c r="TXZ101" s="53"/>
      <c r="TYA101" s="53"/>
      <c r="TYB101" s="53"/>
      <c r="TYC101" s="53"/>
      <c r="TYD101" s="53"/>
      <c r="TYE101" s="53"/>
      <c r="TYF101" s="53"/>
      <c r="TYG101" s="53"/>
      <c r="TYH101" s="53"/>
      <c r="TYI101" s="53"/>
      <c r="TYJ101" s="53"/>
      <c r="TYK101" s="53"/>
      <c r="TYL101" s="53"/>
      <c r="TYM101" s="53"/>
      <c r="TYN101" s="53"/>
      <c r="TYO101" s="53"/>
      <c r="TYP101" s="53"/>
      <c r="TYQ101" s="53"/>
      <c r="TYR101" s="53"/>
      <c r="TYS101" s="53"/>
      <c r="TYT101" s="53"/>
      <c r="TYU101" s="53"/>
      <c r="TYV101" s="53"/>
      <c r="TYW101" s="53"/>
      <c r="TYX101" s="53"/>
      <c r="TYY101" s="53"/>
      <c r="TYZ101" s="53"/>
      <c r="TZA101" s="53"/>
      <c r="TZB101" s="53"/>
      <c r="TZC101" s="53"/>
      <c r="TZD101" s="53"/>
      <c r="TZE101" s="53"/>
      <c r="TZF101" s="53"/>
      <c r="TZG101" s="53"/>
      <c r="TZH101" s="53"/>
      <c r="TZI101" s="53"/>
      <c r="TZJ101" s="53"/>
      <c r="TZK101" s="53"/>
      <c r="TZL101" s="53"/>
      <c r="TZM101" s="53"/>
      <c r="TZN101" s="53"/>
      <c r="TZO101" s="53"/>
      <c r="TZP101" s="53"/>
      <c r="TZQ101" s="53"/>
      <c r="TZR101" s="53"/>
      <c r="TZS101" s="53"/>
      <c r="TZT101" s="53"/>
      <c r="TZU101" s="53"/>
      <c r="TZV101" s="53"/>
      <c r="TZW101" s="53"/>
      <c r="TZX101" s="53"/>
      <c r="TZY101" s="53"/>
      <c r="TZZ101" s="53"/>
      <c r="UAA101" s="53"/>
      <c r="UAB101" s="53"/>
      <c r="UAC101" s="53"/>
      <c r="UAD101" s="53"/>
      <c r="UAE101" s="53"/>
      <c r="UAF101" s="53"/>
      <c r="UAG101" s="53"/>
      <c r="UAH101" s="53"/>
      <c r="UAI101" s="53"/>
      <c r="UAJ101" s="53"/>
      <c r="UAK101" s="53"/>
      <c r="UAL101" s="53"/>
      <c r="UAM101" s="53"/>
      <c r="UAN101" s="53"/>
      <c r="UAO101" s="53"/>
      <c r="UAP101" s="53"/>
      <c r="UAQ101" s="53"/>
      <c r="UAR101" s="53"/>
      <c r="UAS101" s="53"/>
      <c r="UAT101" s="53"/>
      <c r="UAU101" s="53"/>
      <c r="UAV101" s="53"/>
      <c r="UAW101" s="53"/>
      <c r="UAX101" s="53"/>
      <c r="UAY101" s="53"/>
      <c r="UAZ101" s="53"/>
      <c r="UBA101" s="53"/>
      <c r="UBB101" s="53"/>
      <c r="UBC101" s="53"/>
      <c r="UBD101" s="53"/>
      <c r="UBE101" s="53"/>
      <c r="UBF101" s="53"/>
      <c r="UBG101" s="53"/>
      <c r="UBH101" s="53"/>
      <c r="UBI101" s="53"/>
      <c r="UBJ101" s="53"/>
      <c r="UBK101" s="53"/>
      <c r="UBL101" s="53"/>
      <c r="UBM101" s="53"/>
      <c r="UBN101" s="53"/>
      <c r="UBO101" s="53"/>
      <c r="UBP101" s="53"/>
      <c r="UBQ101" s="53"/>
      <c r="UBR101" s="53"/>
      <c r="UBS101" s="53"/>
      <c r="UBT101" s="53"/>
      <c r="UBU101" s="53"/>
      <c r="UBV101" s="53"/>
      <c r="UBW101" s="53"/>
      <c r="UBX101" s="53"/>
      <c r="UBY101" s="53"/>
      <c r="UBZ101" s="53"/>
      <c r="UCA101" s="53"/>
      <c r="UCB101" s="53"/>
      <c r="UCC101" s="53"/>
      <c r="UCD101" s="53"/>
      <c r="UCE101" s="53"/>
      <c r="UCF101" s="53"/>
      <c r="UCG101" s="53"/>
      <c r="UCH101" s="53"/>
      <c r="UCI101" s="53"/>
      <c r="UCJ101" s="53"/>
      <c r="UCK101" s="53"/>
      <c r="UCL101" s="53"/>
      <c r="UCM101" s="53"/>
      <c r="UCN101" s="53"/>
      <c r="UCO101" s="53"/>
      <c r="UCP101" s="53"/>
      <c r="UCQ101" s="53"/>
      <c r="UCR101" s="53"/>
      <c r="UCS101" s="53"/>
      <c r="UCT101" s="53"/>
      <c r="UCU101" s="53"/>
      <c r="UCV101" s="53"/>
      <c r="UCW101" s="53"/>
      <c r="UCX101" s="53"/>
      <c r="UCY101" s="53"/>
      <c r="UCZ101" s="53"/>
      <c r="UDA101" s="53"/>
      <c r="UDB101" s="53"/>
      <c r="UDC101" s="53"/>
      <c r="UDD101" s="53"/>
      <c r="UDE101" s="53"/>
      <c r="UDF101" s="53"/>
      <c r="UDG101" s="53"/>
      <c r="UDH101" s="53"/>
      <c r="UDI101" s="53"/>
      <c r="UDJ101" s="53"/>
      <c r="UDK101" s="53"/>
      <c r="UDL101" s="53"/>
      <c r="UDM101" s="53"/>
      <c r="UDN101" s="53"/>
      <c r="UDO101" s="53"/>
      <c r="UDP101" s="53"/>
      <c r="UDQ101" s="53"/>
      <c r="UDR101" s="53"/>
      <c r="UDS101" s="53"/>
      <c r="UDT101" s="53"/>
      <c r="UDU101" s="53"/>
      <c r="UDV101" s="53"/>
      <c r="UDW101" s="53"/>
      <c r="UDX101" s="53"/>
      <c r="UDY101" s="53"/>
      <c r="UDZ101" s="53"/>
      <c r="UEA101" s="53"/>
      <c r="UEB101" s="53"/>
      <c r="UEC101" s="53"/>
      <c r="UED101" s="53"/>
      <c r="UEE101" s="53"/>
      <c r="UEF101" s="53"/>
      <c r="UEG101" s="53"/>
      <c r="UEH101" s="53"/>
      <c r="UEI101" s="53"/>
      <c r="UEJ101" s="53"/>
      <c r="UEK101" s="53"/>
      <c r="UEL101" s="53"/>
      <c r="UEM101" s="53"/>
      <c r="UEN101" s="53"/>
      <c r="UEO101" s="53"/>
      <c r="UEP101" s="53"/>
      <c r="UEQ101" s="53"/>
      <c r="UER101" s="53"/>
      <c r="UES101" s="53"/>
      <c r="UET101" s="53"/>
      <c r="UEU101" s="53"/>
      <c r="UEV101" s="53"/>
      <c r="UEW101" s="53"/>
      <c r="UEX101" s="53"/>
      <c r="UEY101" s="53"/>
      <c r="UEZ101" s="53"/>
      <c r="UFA101" s="53"/>
      <c r="UFB101" s="53"/>
      <c r="UFC101" s="53"/>
      <c r="UFD101" s="53"/>
      <c r="UFE101" s="53"/>
      <c r="UFF101" s="53"/>
      <c r="UFG101" s="53"/>
      <c r="UFH101" s="53"/>
      <c r="UFI101" s="53"/>
      <c r="UFJ101" s="53"/>
      <c r="UFK101" s="53"/>
      <c r="UFL101" s="53"/>
      <c r="UFM101" s="53"/>
      <c r="UFN101" s="53"/>
      <c r="UFO101" s="53"/>
      <c r="UFP101" s="53"/>
      <c r="UFQ101" s="53"/>
      <c r="UFR101" s="53"/>
      <c r="UFS101" s="53"/>
      <c r="UFT101" s="53"/>
      <c r="UFU101" s="53"/>
      <c r="UFV101" s="53"/>
      <c r="UFW101" s="53"/>
      <c r="UFX101" s="53"/>
      <c r="UFY101" s="53"/>
      <c r="UFZ101" s="53"/>
      <c r="UGA101" s="53"/>
      <c r="UGB101" s="53"/>
      <c r="UGC101" s="53"/>
      <c r="UGD101" s="53"/>
      <c r="UGE101" s="53"/>
      <c r="UGF101" s="53"/>
      <c r="UGG101" s="53"/>
      <c r="UGH101" s="53"/>
      <c r="UGI101" s="53"/>
      <c r="UGJ101" s="53"/>
      <c r="UGK101" s="53"/>
      <c r="UGL101" s="53"/>
      <c r="UGM101" s="53"/>
      <c r="UGN101" s="53"/>
      <c r="UGO101" s="53"/>
      <c r="UGP101" s="53"/>
      <c r="UGQ101" s="53"/>
      <c r="UGR101" s="53"/>
      <c r="UGS101" s="53"/>
      <c r="UGT101" s="53"/>
      <c r="UGU101" s="53"/>
      <c r="UGV101" s="53"/>
      <c r="UGW101" s="53"/>
      <c r="UGX101" s="53"/>
      <c r="UGY101" s="53"/>
      <c r="UGZ101" s="53"/>
      <c r="UHA101" s="53"/>
      <c r="UHB101" s="53"/>
      <c r="UHC101" s="53"/>
      <c r="UHD101" s="53"/>
      <c r="UHE101" s="53"/>
      <c r="UHF101" s="53"/>
      <c r="UHG101" s="53"/>
      <c r="UHH101" s="53"/>
      <c r="UHI101" s="53"/>
      <c r="UHJ101" s="53"/>
      <c r="UHK101" s="53"/>
      <c r="UHL101" s="53"/>
      <c r="UHM101" s="53"/>
      <c r="UHN101" s="53"/>
      <c r="UHO101" s="53"/>
      <c r="UHP101" s="53"/>
      <c r="UHQ101" s="53"/>
      <c r="UHR101" s="53"/>
      <c r="UHS101" s="53"/>
      <c r="UHT101" s="53"/>
      <c r="UHU101" s="53"/>
      <c r="UHV101" s="53"/>
      <c r="UHW101" s="53"/>
      <c r="UHX101" s="53"/>
      <c r="UHY101" s="53"/>
      <c r="UHZ101" s="53"/>
      <c r="UIA101" s="53"/>
      <c r="UIB101" s="53"/>
      <c r="UIC101" s="53"/>
      <c r="UID101" s="53"/>
      <c r="UIE101" s="53"/>
      <c r="UIF101" s="53"/>
      <c r="UIG101" s="53"/>
      <c r="UIH101" s="53"/>
      <c r="UII101" s="53"/>
      <c r="UIJ101" s="53"/>
      <c r="UIK101" s="53"/>
      <c r="UIL101" s="53"/>
      <c r="UIM101" s="53"/>
      <c r="UIN101" s="53"/>
      <c r="UIO101" s="53"/>
      <c r="UIP101" s="53"/>
      <c r="UIQ101" s="53"/>
      <c r="UIR101" s="53"/>
      <c r="UIS101" s="53"/>
      <c r="UIT101" s="53"/>
      <c r="UIU101" s="53"/>
      <c r="UIV101" s="53"/>
      <c r="UIW101" s="53"/>
      <c r="UIX101" s="53"/>
      <c r="UIY101" s="53"/>
      <c r="UIZ101" s="53"/>
      <c r="UJA101" s="53"/>
      <c r="UJB101" s="53"/>
      <c r="UJC101" s="53"/>
      <c r="UJD101" s="53"/>
      <c r="UJE101" s="53"/>
      <c r="UJF101" s="53"/>
      <c r="UJG101" s="53"/>
      <c r="UJH101" s="53"/>
      <c r="UJI101" s="53"/>
      <c r="UJJ101" s="53"/>
      <c r="UJK101" s="53"/>
      <c r="UJL101" s="53"/>
      <c r="UJM101" s="53"/>
      <c r="UJN101" s="53"/>
      <c r="UJO101" s="53"/>
      <c r="UJP101" s="53"/>
      <c r="UJQ101" s="53"/>
      <c r="UJR101" s="53"/>
      <c r="UJS101" s="53"/>
      <c r="UJT101" s="53"/>
      <c r="UJU101" s="53"/>
      <c r="UJV101" s="53"/>
      <c r="UJW101" s="53"/>
      <c r="UJX101" s="53"/>
      <c r="UJY101" s="53"/>
      <c r="UJZ101" s="53"/>
      <c r="UKA101" s="53"/>
      <c r="UKB101" s="53"/>
      <c r="UKC101" s="53"/>
      <c r="UKD101" s="53"/>
      <c r="UKE101" s="53"/>
      <c r="UKF101" s="53"/>
      <c r="UKG101" s="53"/>
      <c r="UKH101" s="53"/>
      <c r="UKI101" s="53"/>
      <c r="UKJ101" s="53"/>
      <c r="UKK101" s="53"/>
      <c r="UKL101" s="53"/>
      <c r="UKM101" s="53"/>
      <c r="UKN101" s="53"/>
      <c r="UKO101" s="53"/>
      <c r="UKP101" s="53"/>
      <c r="UKQ101" s="53"/>
      <c r="UKR101" s="53"/>
      <c r="UKS101" s="53"/>
      <c r="UKT101" s="53"/>
      <c r="UKU101" s="53"/>
      <c r="UKV101" s="53"/>
      <c r="UKW101" s="53"/>
      <c r="UKX101" s="53"/>
      <c r="UKY101" s="53"/>
      <c r="UKZ101" s="53"/>
      <c r="ULA101" s="53"/>
      <c r="ULB101" s="53"/>
      <c r="ULC101" s="53"/>
      <c r="ULD101" s="53"/>
      <c r="ULE101" s="53"/>
      <c r="ULF101" s="53"/>
      <c r="ULG101" s="53"/>
      <c r="ULH101" s="53"/>
      <c r="ULI101" s="53"/>
      <c r="ULJ101" s="53"/>
      <c r="ULK101" s="53"/>
      <c r="ULL101" s="53"/>
      <c r="ULM101" s="53"/>
      <c r="ULN101" s="53"/>
      <c r="ULO101" s="53"/>
      <c r="ULP101" s="53"/>
      <c r="ULQ101" s="53"/>
      <c r="ULR101" s="53"/>
      <c r="ULS101" s="53"/>
      <c r="ULT101" s="53"/>
      <c r="ULU101" s="53"/>
      <c r="ULV101" s="53"/>
      <c r="ULW101" s="53"/>
      <c r="ULX101" s="53"/>
      <c r="ULY101" s="53"/>
      <c r="ULZ101" s="53"/>
      <c r="UMA101" s="53"/>
      <c r="UMB101" s="53"/>
      <c r="UMC101" s="53"/>
      <c r="UMD101" s="53"/>
      <c r="UME101" s="53"/>
      <c r="UMF101" s="53"/>
      <c r="UMG101" s="53"/>
      <c r="UMH101" s="53"/>
      <c r="UMI101" s="53"/>
      <c r="UMJ101" s="53"/>
      <c r="UMK101" s="53"/>
      <c r="UML101" s="53"/>
      <c r="UMM101" s="53"/>
      <c r="UMN101" s="53"/>
      <c r="UMO101" s="53"/>
      <c r="UMP101" s="53"/>
      <c r="UMQ101" s="53"/>
      <c r="UMR101" s="53"/>
      <c r="UMS101" s="53"/>
      <c r="UMT101" s="53"/>
      <c r="UMU101" s="53"/>
      <c r="UMV101" s="53"/>
      <c r="UMW101" s="53"/>
      <c r="UMX101" s="53"/>
      <c r="UMY101" s="53"/>
      <c r="UMZ101" s="53"/>
      <c r="UNA101" s="53"/>
      <c r="UNB101" s="53"/>
      <c r="UNC101" s="53"/>
      <c r="UND101" s="53"/>
      <c r="UNE101" s="53"/>
      <c r="UNF101" s="53"/>
      <c r="UNG101" s="53"/>
      <c r="UNH101" s="53"/>
      <c r="UNI101" s="53"/>
      <c r="UNJ101" s="53"/>
      <c r="UNK101" s="53"/>
      <c r="UNL101" s="53"/>
      <c r="UNM101" s="53"/>
      <c r="UNN101" s="53"/>
      <c r="UNO101" s="53"/>
      <c r="UNP101" s="53"/>
      <c r="UNQ101" s="53"/>
      <c r="UNR101" s="53"/>
      <c r="UNS101" s="53"/>
      <c r="UNT101" s="53"/>
      <c r="UNU101" s="53"/>
      <c r="UNV101" s="53"/>
      <c r="UNW101" s="53"/>
      <c r="UNX101" s="53"/>
      <c r="UNY101" s="53"/>
      <c r="UNZ101" s="53"/>
      <c r="UOA101" s="53"/>
      <c r="UOB101" s="53"/>
      <c r="UOC101" s="53"/>
      <c r="UOD101" s="53"/>
      <c r="UOE101" s="53"/>
      <c r="UOF101" s="53"/>
      <c r="UOG101" s="53"/>
      <c r="UOH101" s="53"/>
      <c r="UOI101" s="53"/>
      <c r="UOJ101" s="53"/>
      <c r="UOK101" s="53"/>
      <c r="UOL101" s="53"/>
      <c r="UOM101" s="53"/>
      <c r="UON101" s="53"/>
      <c r="UOO101" s="53"/>
      <c r="UOP101" s="53"/>
      <c r="UOQ101" s="53"/>
      <c r="UOR101" s="53"/>
      <c r="UOS101" s="53"/>
      <c r="UOT101" s="53"/>
      <c r="UOU101" s="53"/>
      <c r="UOV101" s="53"/>
      <c r="UOW101" s="53"/>
      <c r="UOX101" s="53"/>
      <c r="UOY101" s="53"/>
      <c r="UOZ101" s="53"/>
      <c r="UPA101" s="53"/>
      <c r="UPB101" s="53"/>
      <c r="UPC101" s="53"/>
      <c r="UPD101" s="53"/>
      <c r="UPE101" s="53"/>
      <c r="UPF101" s="53"/>
      <c r="UPG101" s="53"/>
      <c r="UPH101" s="53"/>
      <c r="UPI101" s="53"/>
      <c r="UPJ101" s="53"/>
      <c r="UPK101" s="53"/>
      <c r="UPL101" s="53"/>
      <c r="UPM101" s="53"/>
      <c r="UPN101" s="53"/>
      <c r="UPO101" s="53"/>
      <c r="UPP101" s="53"/>
      <c r="UPQ101" s="53"/>
      <c r="UPR101" s="53"/>
      <c r="UPS101" s="53"/>
      <c r="UPT101" s="53"/>
      <c r="UPU101" s="53"/>
      <c r="UPV101" s="53"/>
      <c r="UPW101" s="53"/>
      <c r="UPX101" s="53"/>
      <c r="UPY101" s="53"/>
      <c r="UPZ101" s="53"/>
      <c r="UQA101" s="53"/>
      <c r="UQB101" s="53"/>
      <c r="UQC101" s="53"/>
      <c r="UQD101" s="53"/>
      <c r="UQE101" s="53"/>
      <c r="UQF101" s="53"/>
      <c r="UQG101" s="53"/>
      <c r="UQH101" s="53"/>
      <c r="UQI101" s="53"/>
      <c r="UQJ101" s="53"/>
      <c r="UQK101" s="53"/>
      <c r="UQL101" s="53"/>
      <c r="UQM101" s="53"/>
      <c r="UQN101" s="53"/>
      <c r="UQO101" s="53"/>
      <c r="UQP101" s="53"/>
      <c r="UQQ101" s="53"/>
      <c r="UQR101" s="53"/>
      <c r="UQS101" s="53"/>
      <c r="UQT101" s="53"/>
      <c r="UQU101" s="53"/>
      <c r="UQV101" s="53"/>
      <c r="UQW101" s="53"/>
      <c r="UQX101" s="53"/>
      <c r="UQY101" s="53"/>
      <c r="UQZ101" s="53"/>
      <c r="URA101" s="53"/>
      <c r="URB101" s="53"/>
      <c r="URC101" s="53"/>
      <c r="URD101" s="53"/>
      <c r="URE101" s="53"/>
      <c r="URF101" s="53"/>
      <c r="URG101" s="53"/>
      <c r="URH101" s="53"/>
      <c r="URI101" s="53"/>
      <c r="URJ101" s="53"/>
      <c r="URK101" s="53"/>
      <c r="URL101" s="53"/>
      <c r="URM101" s="53"/>
      <c r="URN101" s="53"/>
      <c r="URO101" s="53"/>
      <c r="URP101" s="53"/>
      <c r="URQ101" s="53"/>
      <c r="URR101" s="53"/>
      <c r="URS101" s="53"/>
      <c r="URT101" s="53"/>
      <c r="URU101" s="53"/>
      <c r="URV101" s="53"/>
      <c r="URW101" s="53"/>
      <c r="URX101" s="53"/>
      <c r="URY101" s="53"/>
      <c r="URZ101" s="53"/>
      <c r="USA101" s="53"/>
      <c r="USB101" s="53"/>
      <c r="USC101" s="53"/>
      <c r="USD101" s="53"/>
      <c r="USE101" s="53"/>
      <c r="USF101" s="53"/>
      <c r="USG101" s="53"/>
      <c r="USH101" s="53"/>
      <c r="USI101" s="53"/>
      <c r="USJ101" s="53"/>
      <c r="USK101" s="53"/>
      <c r="USL101" s="53"/>
      <c r="USM101" s="53"/>
      <c r="USN101" s="53"/>
      <c r="USO101" s="53"/>
      <c r="USP101" s="53"/>
      <c r="USQ101" s="53"/>
      <c r="USR101" s="53"/>
      <c r="USS101" s="53"/>
      <c r="UST101" s="53"/>
      <c r="USU101" s="53"/>
      <c r="USV101" s="53"/>
      <c r="USW101" s="53"/>
      <c r="USX101" s="53"/>
      <c r="USY101" s="53"/>
      <c r="USZ101" s="53"/>
      <c r="UTA101" s="53"/>
      <c r="UTB101" s="53"/>
      <c r="UTC101" s="53"/>
      <c r="UTD101" s="53"/>
      <c r="UTE101" s="53"/>
      <c r="UTF101" s="53"/>
      <c r="UTG101" s="53"/>
      <c r="UTH101" s="53"/>
      <c r="UTI101" s="53"/>
      <c r="UTJ101" s="53"/>
      <c r="UTK101" s="53"/>
      <c r="UTL101" s="53"/>
      <c r="UTM101" s="53"/>
      <c r="UTN101" s="53"/>
      <c r="UTO101" s="53"/>
      <c r="UTP101" s="53"/>
      <c r="UTQ101" s="53"/>
      <c r="UTR101" s="53"/>
      <c r="UTS101" s="53"/>
      <c r="UTT101" s="53"/>
      <c r="UTU101" s="53"/>
      <c r="UTV101" s="53"/>
      <c r="UTW101" s="53"/>
      <c r="UTX101" s="53"/>
      <c r="UTY101" s="53"/>
      <c r="UTZ101" s="53"/>
      <c r="UUA101" s="53"/>
      <c r="UUB101" s="53"/>
      <c r="UUC101" s="53"/>
      <c r="UUD101" s="53"/>
      <c r="UUE101" s="53"/>
      <c r="UUF101" s="53"/>
      <c r="UUG101" s="53"/>
      <c r="UUH101" s="53"/>
      <c r="UUI101" s="53"/>
      <c r="UUJ101" s="53"/>
      <c r="UUK101" s="53"/>
      <c r="UUL101" s="53"/>
      <c r="UUM101" s="53"/>
      <c r="UUN101" s="53"/>
      <c r="UUO101" s="53"/>
      <c r="UUP101" s="53"/>
      <c r="UUQ101" s="53"/>
      <c r="UUR101" s="53"/>
      <c r="UUS101" s="53"/>
      <c r="UUT101" s="53"/>
      <c r="UUU101" s="53"/>
      <c r="UUV101" s="53"/>
      <c r="UUW101" s="53"/>
      <c r="UUX101" s="53"/>
      <c r="UUY101" s="53"/>
      <c r="UUZ101" s="53"/>
      <c r="UVA101" s="53"/>
      <c r="UVB101" s="53"/>
      <c r="UVC101" s="53"/>
      <c r="UVD101" s="53"/>
      <c r="UVE101" s="53"/>
      <c r="UVF101" s="53"/>
      <c r="UVG101" s="53"/>
      <c r="UVH101" s="53"/>
      <c r="UVI101" s="53"/>
      <c r="UVJ101" s="53"/>
      <c r="UVK101" s="53"/>
      <c r="UVL101" s="53"/>
      <c r="UVM101" s="53"/>
      <c r="UVN101" s="53"/>
      <c r="UVO101" s="53"/>
      <c r="UVP101" s="53"/>
      <c r="UVQ101" s="53"/>
      <c r="UVR101" s="53"/>
      <c r="UVS101" s="53"/>
      <c r="UVT101" s="53"/>
      <c r="UVU101" s="53"/>
      <c r="UVV101" s="53"/>
      <c r="UVW101" s="53"/>
      <c r="UVX101" s="53"/>
      <c r="UVY101" s="53"/>
      <c r="UVZ101" s="53"/>
      <c r="UWA101" s="53"/>
      <c r="UWB101" s="53"/>
      <c r="UWC101" s="53"/>
      <c r="UWD101" s="53"/>
      <c r="UWE101" s="53"/>
      <c r="UWF101" s="53"/>
      <c r="UWG101" s="53"/>
      <c r="UWH101" s="53"/>
      <c r="UWI101" s="53"/>
      <c r="UWJ101" s="53"/>
      <c r="UWK101" s="53"/>
      <c r="UWL101" s="53"/>
      <c r="UWM101" s="53"/>
      <c r="UWN101" s="53"/>
      <c r="UWO101" s="53"/>
      <c r="UWP101" s="53"/>
      <c r="UWQ101" s="53"/>
      <c r="UWR101" s="53"/>
      <c r="UWS101" s="53"/>
      <c r="UWT101" s="53"/>
      <c r="UWU101" s="53"/>
      <c r="UWV101" s="53"/>
      <c r="UWW101" s="53"/>
      <c r="UWX101" s="53"/>
      <c r="UWY101" s="53"/>
      <c r="UWZ101" s="53"/>
      <c r="UXA101" s="53"/>
      <c r="UXB101" s="53"/>
      <c r="UXC101" s="53"/>
      <c r="UXD101" s="53"/>
      <c r="UXE101" s="53"/>
      <c r="UXF101" s="53"/>
      <c r="UXG101" s="53"/>
      <c r="UXH101" s="53"/>
      <c r="UXI101" s="53"/>
      <c r="UXJ101" s="53"/>
      <c r="UXK101" s="53"/>
      <c r="UXL101" s="53"/>
      <c r="UXM101" s="53"/>
      <c r="UXN101" s="53"/>
      <c r="UXO101" s="53"/>
      <c r="UXP101" s="53"/>
      <c r="UXQ101" s="53"/>
      <c r="UXR101" s="53"/>
      <c r="UXS101" s="53"/>
      <c r="UXT101" s="53"/>
      <c r="UXU101" s="53"/>
      <c r="UXV101" s="53"/>
      <c r="UXW101" s="53"/>
      <c r="UXX101" s="53"/>
      <c r="UXY101" s="53"/>
      <c r="UXZ101" s="53"/>
      <c r="UYA101" s="53"/>
      <c r="UYB101" s="53"/>
      <c r="UYC101" s="53"/>
      <c r="UYD101" s="53"/>
      <c r="UYE101" s="53"/>
      <c r="UYF101" s="53"/>
      <c r="UYG101" s="53"/>
      <c r="UYH101" s="53"/>
      <c r="UYI101" s="53"/>
      <c r="UYJ101" s="53"/>
      <c r="UYK101" s="53"/>
      <c r="UYL101" s="53"/>
      <c r="UYM101" s="53"/>
      <c r="UYN101" s="53"/>
      <c r="UYO101" s="53"/>
      <c r="UYP101" s="53"/>
      <c r="UYQ101" s="53"/>
      <c r="UYR101" s="53"/>
      <c r="UYS101" s="53"/>
      <c r="UYT101" s="53"/>
      <c r="UYU101" s="53"/>
      <c r="UYV101" s="53"/>
      <c r="UYW101" s="53"/>
      <c r="UYX101" s="53"/>
      <c r="UYY101" s="53"/>
      <c r="UYZ101" s="53"/>
      <c r="UZA101" s="53"/>
      <c r="UZB101" s="53"/>
      <c r="UZC101" s="53"/>
      <c r="UZD101" s="53"/>
      <c r="UZE101" s="53"/>
      <c r="UZF101" s="53"/>
      <c r="UZG101" s="53"/>
      <c r="UZH101" s="53"/>
      <c r="UZI101" s="53"/>
      <c r="UZJ101" s="53"/>
      <c r="UZK101" s="53"/>
      <c r="UZL101" s="53"/>
      <c r="UZM101" s="53"/>
      <c r="UZN101" s="53"/>
      <c r="UZO101" s="53"/>
      <c r="UZP101" s="53"/>
      <c r="UZQ101" s="53"/>
      <c r="UZR101" s="53"/>
      <c r="UZS101" s="53"/>
      <c r="UZT101" s="53"/>
      <c r="UZU101" s="53"/>
      <c r="UZV101" s="53"/>
      <c r="UZW101" s="53"/>
      <c r="UZX101" s="53"/>
      <c r="UZY101" s="53"/>
      <c r="UZZ101" s="53"/>
      <c r="VAA101" s="53"/>
      <c r="VAB101" s="53"/>
      <c r="VAC101" s="53"/>
      <c r="VAD101" s="53"/>
      <c r="VAE101" s="53"/>
      <c r="VAF101" s="53"/>
      <c r="VAG101" s="53"/>
      <c r="VAH101" s="53"/>
      <c r="VAI101" s="53"/>
      <c r="VAJ101" s="53"/>
      <c r="VAK101" s="53"/>
      <c r="VAL101" s="53"/>
      <c r="VAM101" s="53"/>
      <c r="VAN101" s="53"/>
      <c r="VAO101" s="53"/>
      <c r="VAP101" s="53"/>
      <c r="VAQ101" s="53"/>
      <c r="VAR101" s="53"/>
      <c r="VAS101" s="53"/>
      <c r="VAT101" s="53"/>
      <c r="VAU101" s="53"/>
      <c r="VAV101" s="53"/>
      <c r="VAW101" s="53"/>
      <c r="VAX101" s="53"/>
      <c r="VAY101" s="53"/>
      <c r="VAZ101" s="53"/>
      <c r="VBA101" s="53"/>
      <c r="VBB101" s="53"/>
      <c r="VBC101" s="53"/>
      <c r="VBD101" s="53"/>
      <c r="VBE101" s="53"/>
      <c r="VBF101" s="53"/>
      <c r="VBG101" s="53"/>
      <c r="VBH101" s="53"/>
      <c r="VBI101" s="53"/>
      <c r="VBJ101" s="53"/>
      <c r="VBK101" s="53"/>
      <c r="VBL101" s="53"/>
      <c r="VBM101" s="53"/>
      <c r="VBN101" s="53"/>
      <c r="VBO101" s="53"/>
      <c r="VBP101" s="53"/>
      <c r="VBQ101" s="53"/>
      <c r="VBR101" s="53"/>
      <c r="VBS101" s="53"/>
      <c r="VBT101" s="53"/>
      <c r="VBU101" s="53"/>
      <c r="VBV101" s="53"/>
      <c r="VBW101" s="53"/>
      <c r="VBX101" s="53"/>
      <c r="VBY101" s="53"/>
      <c r="VBZ101" s="53"/>
      <c r="VCA101" s="53"/>
      <c r="VCB101" s="53"/>
      <c r="VCC101" s="53"/>
      <c r="VCD101" s="53"/>
      <c r="VCE101" s="53"/>
      <c r="VCF101" s="53"/>
      <c r="VCG101" s="53"/>
      <c r="VCH101" s="53"/>
      <c r="VCI101" s="53"/>
      <c r="VCJ101" s="53"/>
      <c r="VCK101" s="53"/>
      <c r="VCL101" s="53"/>
      <c r="VCM101" s="53"/>
      <c r="VCN101" s="53"/>
      <c r="VCO101" s="53"/>
      <c r="VCP101" s="53"/>
      <c r="VCQ101" s="53"/>
      <c r="VCR101" s="53"/>
      <c r="VCS101" s="53"/>
      <c r="VCT101" s="53"/>
      <c r="VCU101" s="53"/>
      <c r="VCV101" s="53"/>
      <c r="VCW101" s="53"/>
      <c r="VCX101" s="53"/>
      <c r="VCY101" s="53"/>
      <c r="VCZ101" s="53"/>
      <c r="VDA101" s="53"/>
      <c r="VDB101" s="53"/>
      <c r="VDC101" s="53"/>
      <c r="VDD101" s="53"/>
      <c r="VDE101" s="53"/>
      <c r="VDF101" s="53"/>
      <c r="VDG101" s="53"/>
      <c r="VDH101" s="53"/>
      <c r="VDI101" s="53"/>
      <c r="VDJ101" s="53"/>
      <c r="VDK101" s="53"/>
      <c r="VDL101" s="53"/>
      <c r="VDM101" s="53"/>
      <c r="VDN101" s="53"/>
      <c r="VDO101" s="53"/>
      <c r="VDP101" s="53"/>
      <c r="VDQ101" s="53"/>
      <c r="VDR101" s="53"/>
      <c r="VDS101" s="53"/>
      <c r="VDT101" s="53"/>
      <c r="VDU101" s="53"/>
      <c r="VDV101" s="53"/>
      <c r="VDW101" s="53"/>
      <c r="VDX101" s="53"/>
      <c r="VDY101" s="53"/>
      <c r="VDZ101" s="53"/>
      <c r="VEA101" s="53"/>
      <c r="VEB101" s="53"/>
      <c r="VEC101" s="53"/>
      <c r="VED101" s="53"/>
      <c r="VEE101" s="53"/>
      <c r="VEF101" s="53"/>
      <c r="VEG101" s="53"/>
      <c r="VEH101" s="53"/>
      <c r="VEI101" s="53"/>
      <c r="VEJ101" s="53"/>
      <c r="VEK101" s="53"/>
      <c r="VEL101" s="53"/>
      <c r="VEM101" s="53"/>
      <c r="VEN101" s="53"/>
      <c r="VEO101" s="53"/>
      <c r="VEP101" s="53"/>
      <c r="VEQ101" s="53"/>
      <c r="VER101" s="53"/>
      <c r="VES101" s="53"/>
      <c r="VET101" s="53"/>
      <c r="VEU101" s="53"/>
      <c r="VEV101" s="53"/>
      <c r="VEW101" s="53"/>
      <c r="VEX101" s="53"/>
      <c r="VEY101" s="53"/>
      <c r="VEZ101" s="53"/>
      <c r="VFA101" s="53"/>
      <c r="VFB101" s="53"/>
      <c r="VFC101" s="53"/>
      <c r="VFD101" s="53"/>
      <c r="VFE101" s="53"/>
      <c r="VFF101" s="53"/>
      <c r="VFG101" s="53"/>
      <c r="VFH101" s="53"/>
      <c r="VFI101" s="53"/>
      <c r="VFJ101" s="53"/>
      <c r="VFK101" s="53"/>
      <c r="VFL101" s="53"/>
      <c r="VFM101" s="53"/>
      <c r="VFN101" s="53"/>
      <c r="VFO101" s="53"/>
      <c r="VFP101" s="53"/>
      <c r="VFQ101" s="53"/>
      <c r="VFR101" s="53"/>
      <c r="VFS101" s="53"/>
      <c r="VFT101" s="53"/>
      <c r="VFU101" s="53"/>
      <c r="VFV101" s="53"/>
      <c r="VFW101" s="53"/>
      <c r="VFX101" s="53"/>
      <c r="VFY101" s="53"/>
      <c r="VFZ101" s="53"/>
      <c r="VGA101" s="53"/>
      <c r="VGB101" s="53"/>
      <c r="VGC101" s="53"/>
      <c r="VGD101" s="53"/>
      <c r="VGE101" s="53"/>
      <c r="VGF101" s="53"/>
      <c r="VGG101" s="53"/>
      <c r="VGH101" s="53"/>
      <c r="VGI101" s="53"/>
      <c r="VGJ101" s="53"/>
      <c r="VGK101" s="53"/>
      <c r="VGL101" s="53"/>
      <c r="VGM101" s="53"/>
      <c r="VGN101" s="53"/>
      <c r="VGO101" s="53"/>
      <c r="VGP101" s="53"/>
      <c r="VGQ101" s="53"/>
      <c r="VGR101" s="53"/>
      <c r="VGS101" s="53"/>
      <c r="VGT101" s="53"/>
      <c r="VGU101" s="53"/>
      <c r="VGV101" s="53"/>
      <c r="VGW101" s="53"/>
      <c r="VGX101" s="53"/>
      <c r="VGY101" s="53"/>
      <c r="VGZ101" s="53"/>
      <c r="VHA101" s="53"/>
      <c r="VHB101" s="53"/>
      <c r="VHC101" s="53"/>
      <c r="VHD101" s="53"/>
      <c r="VHE101" s="53"/>
      <c r="VHF101" s="53"/>
      <c r="VHG101" s="53"/>
      <c r="VHH101" s="53"/>
      <c r="VHI101" s="53"/>
      <c r="VHJ101" s="53"/>
      <c r="VHK101" s="53"/>
      <c r="VHL101" s="53"/>
      <c r="VHM101" s="53"/>
      <c r="VHN101" s="53"/>
      <c r="VHO101" s="53"/>
      <c r="VHP101" s="53"/>
      <c r="VHQ101" s="53"/>
      <c r="VHR101" s="53"/>
      <c r="VHS101" s="53"/>
      <c r="VHT101" s="53"/>
      <c r="VHU101" s="53"/>
      <c r="VHV101" s="53"/>
      <c r="VHW101" s="53"/>
      <c r="VHX101" s="53"/>
      <c r="VHY101" s="53"/>
      <c r="VHZ101" s="53"/>
      <c r="VIA101" s="53"/>
      <c r="VIB101" s="53"/>
      <c r="VIC101" s="53"/>
      <c r="VID101" s="53"/>
      <c r="VIE101" s="53"/>
      <c r="VIF101" s="53"/>
      <c r="VIG101" s="53"/>
      <c r="VIH101" s="53"/>
      <c r="VII101" s="53"/>
      <c r="VIJ101" s="53"/>
      <c r="VIK101" s="53"/>
      <c r="VIL101" s="53"/>
      <c r="VIM101" s="53"/>
      <c r="VIN101" s="53"/>
      <c r="VIO101" s="53"/>
      <c r="VIP101" s="53"/>
      <c r="VIQ101" s="53"/>
      <c r="VIR101" s="53"/>
      <c r="VIS101" s="53"/>
      <c r="VIT101" s="53"/>
      <c r="VIU101" s="53"/>
      <c r="VIV101" s="53"/>
      <c r="VIW101" s="53"/>
      <c r="VIX101" s="53"/>
      <c r="VIY101" s="53"/>
      <c r="VIZ101" s="53"/>
      <c r="VJA101" s="53"/>
      <c r="VJB101" s="53"/>
      <c r="VJC101" s="53"/>
      <c r="VJD101" s="53"/>
      <c r="VJE101" s="53"/>
      <c r="VJF101" s="53"/>
      <c r="VJG101" s="53"/>
      <c r="VJH101" s="53"/>
      <c r="VJI101" s="53"/>
      <c r="VJJ101" s="53"/>
      <c r="VJK101" s="53"/>
      <c r="VJL101" s="53"/>
      <c r="VJM101" s="53"/>
      <c r="VJN101" s="53"/>
      <c r="VJO101" s="53"/>
      <c r="VJP101" s="53"/>
      <c r="VJQ101" s="53"/>
      <c r="VJR101" s="53"/>
      <c r="VJS101" s="53"/>
      <c r="VJT101" s="53"/>
      <c r="VJU101" s="53"/>
      <c r="VJV101" s="53"/>
      <c r="VJW101" s="53"/>
      <c r="VJX101" s="53"/>
      <c r="VJY101" s="53"/>
      <c r="VJZ101" s="53"/>
      <c r="VKA101" s="53"/>
      <c r="VKB101" s="53"/>
      <c r="VKC101" s="53"/>
      <c r="VKD101" s="53"/>
      <c r="VKE101" s="53"/>
      <c r="VKF101" s="53"/>
      <c r="VKG101" s="53"/>
      <c r="VKH101" s="53"/>
      <c r="VKI101" s="53"/>
      <c r="VKJ101" s="53"/>
      <c r="VKK101" s="53"/>
      <c r="VKL101" s="53"/>
      <c r="VKM101" s="53"/>
      <c r="VKN101" s="53"/>
      <c r="VKO101" s="53"/>
      <c r="VKP101" s="53"/>
      <c r="VKQ101" s="53"/>
      <c r="VKR101" s="53"/>
      <c r="VKS101" s="53"/>
      <c r="VKT101" s="53"/>
      <c r="VKU101" s="53"/>
      <c r="VKV101" s="53"/>
      <c r="VKW101" s="53"/>
      <c r="VKX101" s="53"/>
      <c r="VKY101" s="53"/>
      <c r="VKZ101" s="53"/>
      <c r="VLA101" s="53"/>
      <c r="VLB101" s="53"/>
      <c r="VLC101" s="53"/>
      <c r="VLD101" s="53"/>
      <c r="VLE101" s="53"/>
      <c r="VLF101" s="53"/>
      <c r="VLG101" s="53"/>
      <c r="VLH101" s="53"/>
      <c r="VLI101" s="53"/>
      <c r="VLJ101" s="53"/>
      <c r="VLK101" s="53"/>
      <c r="VLL101" s="53"/>
      <c r="VLM101" s="53"/>
      <c r="VLN101" s="53"/>
      <c r="VLO101" s="53"/>
      <c r="VLP101" s="53"/>
      <c r="VLQ101" s="53"/>
      <c r="VLR101" s="53"/>
      <c r="VLS101" s="53"/>
      <c r="VLT101" s="53"/>
      <c r="VLU101" s="53"/>
      <c r="VLV101" s="53"/>
      <c r="VLW101" s="53"/>
      <c r="VLX101" s="53"/>
      <c r="VLY101" s="53"/>
      <c r="VLZ101" s="53"/>
      <c r="VMA101" s="53"/>
      <c r="VMB101" s="53"/>
      <c r="VMC101" s="53"/>
      <c r="VMD101" s="53"/>
      <c r="VME101" s="53"/>
      <c r="VMF101" s="53"/>
      <c r="VMG101" s="53"/>
      <c r="VMH101" s="53"/>
      <c r="VMI101" s="53"/>
      <c r="VMJ101" s="53"/>
      <c r="VMK101" s="53"/>
      <c r="VML101" s="53"/>
      <c r="VMM101" s="53"/>
      <c r="VMN101" s="53"/>
      <c r="VMO101" s="53"/>
      <c r="VMP101" s="53"/>
      <c r="VMQ101" s="53"/>
      <c r="VMR101" s="53"/>
      <c r="VMS101" s="53"/>
      <c r="VMT101" s="53"/>
      <c r="VMU101" s="53"/>
      <c r="VMV101" s="53"/>
      <c r="VMW101" s="53"/>
      <c r="VMX101" s="53"/>
      <c r="VMY101" s="53"/>
      <c r="VMZ101" s="53"/>
      <c r="VNA101" s="53"/>
      <c r="VNB101" s="53"/>
      <c r="VNC101" s="53"/>
      <c r="VND101" s="53"/>
      <c r="VNE101" s="53"/>
      <c r="VNF101" s="53"/>
      <c r="VNG101" s="53"/>
      <c r="VNH101" s="53"/>
      <c r="VNI101" s="53"/>
      <c r="VNJ101" s="53"/>
      <c r="VNK101" s="53"/>
      <c r="VNL101" s="53"/>
      <c r="VNM101" s="53"/>
      <c r="VNN101" s="53"/>
      <c r="VNO101" s="53"/>
      <c r="VNP101" s="53"/>
      <c r="VNQ101" s="53"/>
      <c r="VNR101" s="53"/>
      <c r="VNS101" s="53"/>
      <c r="VNT101" s="53"/>
      <c r="VNU101" s="53"/>
      <c r="VNV101" s="53"/>
      <c r="VNW101" s="53"/>
      <c r="VNX101" s="53"/>
      <c r="VNY101" s="53"/>
      <c r="VNZ101" s="53"/>
      <c r="VOA101" s="53"/>
      <c r="VOB101" s="53"/>
      <c r="VOC101" s="53"/>
      <c r="VOD101" s="53"/>
      <c r="VOE101" s="53"/>
      <c r="VOF101" s="53"/>
      <c r="VOG101" s="53"/>
      <c r="VOH101" s="53"/>
      <c r="VOI101" s="53"/>
      <c r="VOJ101" s="53"/>
      <c r="VOK101" s="53"/>
      <c r="VOL101" s="53"/>
      <c r="VOM101" s="53"/>
      <c r="VON101" s="53"/>
      <c r="VOO101" s="53"/>
      <c r="VOP101" s="53"/>
      <c r="VOQ101" s="53"/>
      <c r="VOR101" s="53"/>
      <c r="VOS101" s="53"/>
      <c r="VOT101" s="53"/>
      <c r="VOU101" s="53"/>
      <c r="VOV101" s="53"/>
      <c r="VOW101" s="53"/>
      <c r="VOX101" s="53"/>
      <c r="VOY101" s="53"/>
      <c r="VOZ101" s="53"/>
      <c r="VPA101" s="53"/>
      <c r="VPB101" s="53"/>
      <c r="VPC101" s="53"/>
      <c r="VPD101" s="53"/>
      <c r="VPE101" s="53"/>
      <c r="VPF101" s="53"/>
      <c r="VPG101" s="53"/>
      <c r="VPH101" s="53"/>
      <c r="VPI101" s="53"/>
      <c r="VPJ101" s="53"/>
      <c r="VPK101" s="53"/>
      <c r="VPL101" s="53"/>
      <c r="VPM101" s="53"/>
      <c r="VPN101" s="53"/>
      <c r="VPO101" s="53"/>
      <c r="VPP101" s="53"/>
      <c r="VPQ101" s="53"/>
      <c r="VPR101" s="53"/>
      <c r="VPS101" s="53"/>
      <c r="VPT101" s="53"/>
      <c r="VPU101" s="53"/>
      <c r="VPV101" s="53"/>
      <c r="VPW101" s="53"/>
      <c r="VPX101" s="53"/>
      <c r="VPY101" s="53"/>
      <c r="VPZ101" s="53"/>
      <c r="VQA101" s="53"/>
      <c r="VQB101" s="53"/>
      <c r="VQC101" s="53"/>
      <c r="VQD101" s="53"/>
      <c r="VQE101" s="53"/>
      <c r="VQF101" s="53"/>
      <c r="VQG101" s="53"/>
      <c r="VQH101" s="53"/>
      <c r="VQI101" s="53"/>
      <c r="VQJ101" s="53"/>
      <c r="VQK101" s="53"/>
      <c r="VQL101" s="53"/>
      <c r="VQM101" s="53"/>
      <c r="VQN101" s="53"/>
      <c r="VQO101" s="53"/>
      <c r="VQP101" s="53"/>
      <c r="VQQ101" s="53"/>
      <c r="VQR101" s="53"/>
      <c r="VQS101" s="53"/>
      <c r="VQT101" s="53"/>
      <c r="VQU101" s="53"/>
      <c r="VQV101" s="53"/>
      <c r="VQW101" s="53"/>
      <c r="VQX101" s="53"/>
      <c r="VQY101" s="53"/>
      <c r="VQZ101" s="53"/>
      <c r="VRA101" s="53"/>
      <c r="VRB101" s="53"/>
      <c r="VRC101" s="53"/>
      <c r="VRD101" s="53"/>
      <c r="VRE101" s="53"/>
      <c r="VRF101" s="53"/>
      <c r="VRG101" s="53"/>
      <c r="VRH101" s="53"/>
      <c r="VRI101" s="53"/>
      <c r="VRJ101" s="53"/>
      <c r="VRK101" s="53"/>
      <c r="VRL101" s="53"/>
      <c r="VRM101" s="53"/>
      <c r="VRN101" s="53"/>
      <c r="VRO101" s="53"/>
      <c r="VRP101" s="53"/>
      <c r="VRQ101" s="53"/>
      <c r="VRR101" s="53"/>
      <c r="VRS101" s="53"/>
      <c r="VRT101" s="53"/>
      <c r="VRU101" s="53"/>
      <c r="VRV101" s="53"/>
      <c r="VRW101" s="53"/>
      <c r="VRX101" s="53"/>
      <c r="VRY101" s="53"/>
      <c r="VRZ101" s="53"/>
      <c r="VSA101" s="53"/>
      <c r="VSB101" s="53"/>
      <c r="VSC101" s="53"/>
      <c r="VSD101" s="53"/>
      <c r="VSE101" s="53"/>
      <c r="VSF101" s="53"/>
      <c r="VSG101" s="53"/>
      <c r="VSH101" s="53"/>
      <c r="VSI101" s="53"/>
      <c r="VSJ101" s="53"/>
      <c r="VSK101" s="53"/>
      <c r="VSL101" s="53"/>
      <c r="VSM101" s="53"/>
      <c r="VSN101" s="53"/>
      <c r="VSO101" s="53"/>
      <c r="VSP101" s="53"/>
      <c r="VSQ101" s="53"/>
      <c r="VSR101" s="53"/>
      <c r="VSS101" s="53"/>
      <c r="VST101" s="53"/>
      <c r="VSU101" s="53"/>
      <c r="VSV101" s="53"/>
      <c r="VSW101" s="53"/>
      <c r="VSX101" s="53"/>
      <c r="VSY101" s="53"/>
      <c r="VSZ101" s="53"/>
      <c r="VTA101" s="53"/>
      <c r="VTB101" s="53"/>
      <c r="VTC101" s="53"/>
      <c r="VTD101" s="53"/>
      <c r="VTE101" s="53"/>
      <c r="VTF101" s="53"/>
      <c r="VTG101" s="53"/>
      <c r="VTH101" s="53"/>
      <c r="VTI101" s="53"/>
      <c r="VTJ101" s="53"/>
      <c r="VTK101" s="53"/>
      <c r="VTL101" s="53"/>
      <c r="VTM101" s="53"/>
      <c r="VTN101" s="53"/>
      <c r="VTO101" s="53"/>
      <c r="VTP101" s="53"/>
      <c r="VTQ101" s="53"/>
      <c r="VTR101" s="53"/>
      <c r="VTS101" s="53"/>
      <c r="VTT101" s="53"/>
      <c r="VTU101" s="53"/>
      <c r="VTV101" s="53"/>
      <c r="VTW101" s="53"/>
      <c r="VTX101" s="53"/>
      <c r="VTY101" s="53"/>
      <c r="VTZ101" s="53"/>
      <c r="VUA101" s="53"/>
      <c r="VUB101" s="53"/>
      <c r="VUC101" s="53"/>
      <c r="VUD101" s="53"/>
      <c r="VUE101" s="53"/>
      <c r="VUF101" s="53"/>
      <c r="VUG101" s="53"/>
      <c r="VUH101" s="53"/>
      <c r="VUI101" s="53"/>
      <c r="VUJ101" s="53"/>
      <c r="VUK101" s="53"/>
      <c r="VUL101" s="53"/>
      <c r="VUM101" s="53"/>
      <c r="VUN101" s="53"/>
      <c r="VUO101" s="53"/>
      <c r="VUP101" s="53"/>
      <c r="VUQ101" s="53"/>
      <c r="VUR101" s="53"/>
      <c r="VUS101" s="53"/>
      <c r="VUT101" s="53"/>
      <c r="VUU101" s="53"/>
      <c r="VUV101" s="53"/>
      <c r="VUW101" s="53"/>
      <c r="VUX101" s="53"/>
      <c r="VUY101" s="53"/>
      <c r="VUZ101" s="53"/>
      <c r="VVA101" s="53"/>
      <c r="VVB101" s="53"/>
      <c r="VVC101" s="53"/>
      <c r="VVD101" s="53"/>
      <c r="VVE101" s="53"/>
      <c r="VVF101" s="53"/>
      <c r="VVG101" s="53"/>
      <c r="VVH101" s="53"/>
      <c r="VVI101" s="53"/>
      <c r="VVJ101" s="53"/>
      <c r="VVK101" s="53"/>
      <c r="VVL101" s="53"/>
      <c r="VVM101" s="53"/>
      <c r="VVN101" s="53"/>
      <c r="VVO101" s="53"/>
      <c r="VVP101" s="53"/>
      <c r="VVQ101" s="53"/>
      <c r="VVR101" s="53"/>
      <c r="VVS101" s="53"/>
      <c r="VVT101" s="53"/>
      <c r="VVU101" s="53"/>
      <c r="VVV101" s="53"/>
      <c r="VVW101" s="53"/>
      <c r="VVX101" s="53"/>
      <c r="VVY101" s="53"/>
      <c r="VVZ101" s="53"/>
      <c r="VWA101" s="53"/>
      <c r="VWB101" s="53"/>
      <c r="VWC101" s="53"/>
      <c r="VWD101" s="53"/>
      <c r="VWE101" s="53"/>
      <c r="VWF101" s="53"/>
      <c r="VWG101" s="53"/>
      <c r="VWH101" s="53"/>
      <c r="VWI101" s="53"/>
      <c r="VWJ101" s="53"/>
      <c r="VWK101" s="53"/>
      <c r="VWL101" s="53"/>
      <c r="VWM101" s="53"/>
      <c r="VWN101" s="53"/>
      <c r="VWO101" s="53"/>
      <c r="VWP101" s="53"/>
      <c r="VWQ101" s="53"/>
      <c r="VWR101" s="53"/>
      <c r="VWS101" s="53"/>
      <c r="VWT101" s="53"/>
      <c r="VWU101" s="53"/>
      <c r="VWV101" s="53"/>
      <c r="VWW101" s="53"/>
      <c r="VWX101" s="53"/>
      <c r="VWY101" s="53"/>
      <c r="VWZ101" s="53"/>
      <c r="VXA101" s="53"/>
      <c r="VXB101" s="53"/>
      <c r="VXC101" s="53"/>
      <c r="VXD101" s="53"/>
      <c r="VXE101" s="53"/>
      <c r="VXF101" s="53"/>
      <c r="VXG101" s="53"/>
      <c r="VXH101" s="53"/>
      <c r="VXI101" s="53"/>
      <c r="VXJ101" s="53"/>
      <c r="VXK101" s="53"/>
      <c r="VXL101" s="53"/>
      <c r="VXM101" s="53"/>
      <c r="VXN101" s="53"/>
      <c r="VXO101" s="53"/>
      <c r="VXP101" s="53"/>
      <c r="VXQ101" s="53"/>
      <c r="VXR101" s="53"/>
      <c r="VXS101" s="53"/>
      <c r="VXT101" s="53"/>
      <c r="VXU101" s="53"/>
      <c r="VXV101" s="53"/>
      <c r="VXW101" s="53"/>
      <c r="VXX101" s="53"/>
      <c r="VXY101" s="53"/>
      <c r="VXZ101" s="53"/>
      <c r="VYA101" s="53"/>
      <c r="VYB101" s="53"/>
      <c r="VYC101" s="53"/>
      <c r="VYD101" s="53"/>
      <c r="VYE101" s="53"/>
      <c r="VYF101" s="53"/>
      <c r="VYG101" s="53"/>
      <c r="VYH101" s="53"/>
      <c r="VYI101" s="53"/>
      <c r="VYJ101" s="53"/>
      <c r="VYK101" s="53"/>
      <c r="VYL101" s="53"/>
      <c r="VYM101" s="53"/>
      <c r="VYN101" s="53"/>
      <c r="VYO101" s="53"/>
      <c r="VYP101" s="53"/>
      <c r="VYQ101" s="53"/>
      <c r="VYR101" s="53"/>
      <c r="VYS101" s="53"/>
      <c r="VYT101" s="53"/>
      <c r="VYU101" s="53"/>
      <c r="VYV101" s="53"/>
      <c r="VYW101" s="53"/>
      <c r="VYX101" s="53"/>
      <c r="VYY101" s="53"/>
      <c r="VYZ101" s="53"/>
      <c r="VZA101" s="53"/>
      <c r="VZB101" s="53"/>
      <c r="VZC101" s="53"/>
      <c r="VZD101" s="53"/>
      <c r="VZE101" s="53"/>
      <c r="VZF101" s="53"/>
      <c r="VZG101" s="53"/>
      <c r="VZH101" s="53"/>
      <c r="VZI101" s="53"/>
      <c r="VZJ101" s="53"/>
      <c r="VZK101" s="53"/>
      <c r="VZL101" s="53"/>
      <c r="VZM101" s="53"/>
      <c r="VZN101" s="53"/>
      <c r="VZO101" s="53"/>
      <c r="VZP101" s="53"/>
      <c r="VZQ101" s="53"/>
      <c r="VZR101" s="53"/>
      <c r="VZS101" s="53"/>
      <c r="VZT101" s="53"/>
      <c r="VZU101" s="53"/>
      <c r="VZV101" s="53"/>
      <c r="VZW101" s="53"/>
      <c r="VZX101" s="53"/>
      <c r="VZY101" s="53"/>
      <c r="VZZ101" s="53"/>
      <c r="WAA101" s="53"/>
      <c r="WAB101" s="53"/>
      <c r="WAC101" s="53"/>
      <c r="WAD101" s="53"/>
      <c r="WAE101" s="53"/>
      <c r="WAF101" s="53"/>
      <c r="WAG101" s="53"/>
      <c r="WAH101" s="53"/>
      <c r="WAI101" s="53"/>
      <c r="WAJ101" s="53"/>
      <c r="WAK101" s="53"/>
      <c r="WAL101" s="53"/>
      <c r="WAM101" s="53"/>
      <c r="WAN101" s="53"/>
      <c r="WAO101" s="53"/>
      <c r="WAP101" s="53"/>
      <c r="WAQ101" s="53"/>
      <c r="WAR101" s="53"/>
      <c r="WAS101" s="53"/>
      <c r="WAT101" s="53"/>
      <c r="WAU101" s="53"/>
      <c r="WAV101" s="53"/>
      <c r="WAW101" s="53"/>
      <c r="WAX101" s="53"/>
      <c r="WAY101" s="53"/>
      <c r="WAZ101" s="53"/>
      <c r="WBA101" s="53"/>
      <c r="WBB101" s="53"/>
      <c r="WBC101" s="53"/>
      <c r="WBD101" s="53"/>
      <c r="WBE101" s="53"/>
      <c r="WBF101" s="53"/>
      <c r="WBG101" s="53"/>
      <c r="WBH101" s="53"/>
      <c r="WBI101" s="53"/>
      <c r="WBJ101" s="53"/>
      <c r="WBK101" s="53"/>
      <c r="WBL101" s="53"/>
      <c r="WBM101" s="53"/>
      <c r="WBN101" s="53"/>
      <c r="WBO101" s="53"/>
      <c r="WBP101" s="53"/>
      <c r="WBQ101" s="53"/>
      <c r="WBR101" s="53"/>
      <c r="WBS101" s="53"/>
      <c r="WBT101" s="53"/>
      <c r="WBU101" s="53"/>
      <c r="WBV101" s="53"/>
      <c r="WBW101" s="53"/>
      <c r="WBX101" s="53"/>
      <c r="WBY101" s="53"/>
      <c r="WBZ101" s="53"/>
      <c r="WCA101" s="53"/>
      <c r="WCB101" s="53"/>
      <c r="WCC101" s="53"/>
      <c r="WCD101" s="53"/>
      <c r="WCE101" s="53"/>
      <c r="WCF101" s="53"/>
      <c r="WCG101" s="53"/>
      <c r="WCH101" s="53"/>
      <c r="WCI101" s="53"/>
      <c r="WCJ101" s="53"/>
      <c r="WCK101" s="53"/>
      <c r="WCL101" s="53"/>
      <c r="WCM101" s="53"/>
      <c r="WCN101" s="53"/>
      <c r="WCO101" s="53"/>
      <c r="WCP101" s="53"/>
      <c r="WCQ101" s="53"/>
      <c r="WCR101" s="53"/>
      <c r="WCS101" s="53"/>
      <c r="WCT101" s="53"/>
      <c r="WCU101" s="53"/>
      <c r="WCV101" s="53"/>
      <c r="WCW101" s="53"/>
      <c r="WCX101" s="53"/>
      <c r="WCY101" s="53"/>
      <c r="WCZ101" s="53"/>
      <c r="WDA101" s="53"/>
      <c r="WDB101" s="53"/>
      <c r="WDC101" s="53"/>
      <c r="WDD101" s="53"/>
      <c r="WDE101" s="53"/>
      <c r="WDF101" s="53"/>
      <c r="WDG101" s="53"/>
      <c r="WDH101" s="53"/>
      <c r="WDI101" s="53"/>
      <c r="WDJ101" s="53"/>
      <c r="WDK101" s="53"/>
      <c r="WDL101" s="53"/>
      <c r="WDM101" s="53"/>
      <c r="WDN101" s="53"/>
      <c r="WDO101" s="53"/>
      <c r="WDP101" s="53"/>
      <c r="WDQ101" s="53"/>
      <c r="WDR101" s="53"/>
      <c r="WDS101" s="53"/>
      <c r="WDT101" s="53"/>
      <c r="WDU101" s="53"/>
      <c r="WDV101" s="53"/>
      <c r="WDW101" s="53"/>
      <c r="WDX101" s="53"/>
      <c r="WDY101" s="53"/>
      <c r="WDZ101" s="53"/>
      <c r="WEA101" s="53"/>
      <c r="WEB101" s="53"/>
      <c r="WEC101" s="53"/>
      <c r="WED101" s="53"/>
      <c r="WEE101" s="53"/>
      <c r="WEF101" s="53"/>
      <c r="WEG101" s="53"/>
      <c r="WEH101" s="53"/>
      <c r="WEI101" s="53"/>
      <c r="WEJ101" s="53"/>
      <c r="WEK101" s="53"/>
      <c r="WEL101" s="53"/>
      <c r="WEM101" s="53"/>
      <c r="WEN101" s="53"/>
      <c r="WEO101" s="53"/>
      <c r="WEP101" s="53"/>
      <c r="WEQ101" s="53"/>
      <c r="WER101" s="53"/>
      <c r="WES101" s="53"/>
      <c r="WET101" s="53"/>
      <c r="WEU101" s="53"/>
      <c r="WEV101" s="53"/>
      <c r="WEW101" s="53"/>
      <c r="WEX101" s="53"/>
      <c r="WEY101" s="53"/>
      <c r="WEZ101" s="53"/>
      <c r="WFA101" s="53"/>
      <c r="WFB101" s="53"/>
      <c r="WFC101" s="53"/>
      <c r="WFD101" s="53"/>
      <c r="WFE101" s="53"/>
      <c r="WFF101" s="53"/>
      <c r="WFG101" s="53"/>
      <c r="WFH101" s="53"/>
      <c r="WFI101" s="53"/>
      <c r="WFJ101" s="53"/>
      <c r="WFK101" s="53"/>
      <c r="WFL101" s="53"/>
      <c r="WFM101" s="53"/>
      <c r="WFN101" s="53"/>
      <c r="WFO101" s="53"/>
      <c r="WFP101" s="53"/>
      <c r="WFQ101" s="53"/>
      <c r="WFR101" s="53"/>
      <c r="WFS101" s="53"/>
      <c r="WFT101" s="53"/>
      <c r="WFU101" s="53"/>
      <c r="WFV101" s="53"/>
      <c r="WFW101" s="53"/>
      <c r="WFX101" s="53"/>
      <c r="WFY101" s="53"/>
      <c r="WFZ101" s="53"/>
      <c r="WGA101" s="53"/>
      <c r="WGB101" s="53"/>
      <c r="WGC101" s="53"/>
      <c r="WGD101" s="53"/>
      <c r="WGE101" s="53"/>
      <c r="WGF101" s="53"/>
      <c r="WGG101" s="53"/>
      <c r="WGH101" s="53"/>
      <c r="WGI101" s="53"/>
      <c r="WGJ101" s="53"/>
      <c r="WGK101" s="53"/>
      <c r="WGL101" s="53"/>
      <c r="WGM101" s="53"/>
      <c r="WGN101" s="53"/>
      <c r="WGO101" s="53"/>
      <c r="WGP101" s="53"/>
      <c r="WGQ101" s="53"/>
      <c r="WGR101" s="53"/>
      <c r="WGS101" s="53"/>
      <c r="WGT101" s="53"/>
      <c r="WGU101" s="53"/>
      <c r="WGV101" s="53"/>
      <c r="WGW101" s="53"/>
      <c r="WGX101" s="53"/>
      <c r="WGY101" s="53"/>
      <c r="WGZ101" s="53"/>
      <c r="WHA101" s="53"/>
      <c r="WHB101" s="53"/>
      <c r="WHC101" s="53"/>
      <c r="WHD101" s="53"/>
      <c r="WHE101" s="53"/>
      <c r="WHF101" s="53"/>
      <c r="WHG101" s="53"/>
      <c r="WHH101" s="53"/>
      <c r="WHI101" s="53"/>
      <c r="WHJ101" s="53"/>
      <c r="WHK101" s="53"/>
      <c r="WHL101" s="53"/>
      <c r="WHM101" s="53"/>
      <c r="WHN101" s="53"/>
      <c r="WHO101" s="53"/>
      <c r="WHP101" s="53"/>
      <c r="WHQ101" s="53"/>
      <c r="WHR101" s="53"/>
      <c r="WHS101" s="53"/>
      <c r="WHT101" s="53"/>
      <c r="WHU101" s="53"/>
      <c r="WHV101" s="53"/>
      <c r="WHW101" s="53"/>
      <c r="WHX101" s="53"/>
      <c r="WHY101" s="53"/>
      <c r="WHZ101" s="53"/>
      <c r="WIA101" s="53"/>
      <c r="WIB101" s="53"/>
      <c r="WIC101" s="53"/>
      <c r="WID101" s="53"/>
      <c r="WIE101" s="53"/>
      <c r="WIF101" s="53"/>
      <c r="WIG101" s="53"/>
      <c r="WIH101" s="53"/>
      <c r="WII101" s="53"/>
      <c r="WIJ101" s="53"/>
      <c r="WIK101" s="53"/>
      <c r="WIL101" s="53"/>
      <c r="WIM101" s="53"/>
      <c r="WIN101" s="53"/>
      <c r="WIO101" s="53"/>
      <c r="WIP101" s="53"/>
      <c r="WIQ101" s="53"/>
      <c r="WIR101" s="53"/>
      <c r="WIS101" s="53"/>
      <c r="WIT101" s="53"/>
      <c r="WIU101" s="53"/>
      <c r="WIV101" s="53"/>
      <c r="WIW101" s="53"/>
      <c r="WIX101" s="53"/>
      <c r="WIY101" s="53"/>
      <c r="WIZ101" s="53"/>
      <c r="WJA101" s="53"/>
      <c r="WJB101" s="53"/>
      <c r="WJC101" s="53"/>
      <c r="WJD101" s="53"/>
      <c r="WJE101" s="53"/>
      <c r="WJF101" s="53"/>
      <c r="WJG101" s="53"/>
      <c r="WJH101" s="53"/>
      <c r="WJI101" s="53"/>
      <c r="WJJ101" s="53"/>
      <c r="WJK101" s="53"/>
      <c r="WJL101" s="53"/>
      <c r="WJM101" s="53"/>
      <c r="WJN101" s="53"/>
      <c r="WJO101" s="53"/>
      <c r="WJP101" s="53"/>
      <c r="WJQ101" s="53"/>
      <c r="WJR101" s="53"/>
      <c r="WJS101" s="53"/>
      <c r="WJT101" s="53"/>
      <c r="WJU101" s="53"/>
      <c r="WJV101" s="53"/>
      <c r="WJW101" s="53"/>
      <c r="WJX101" s="53"/>
      <c r="WJY101" s="53"/>
      <c r="WJZ101" s="53"/>
      <c r="WKA101" s="53"/>
      <c r="WKB101" s="53"/>
      <c r="WKC101" s="53"/>
      <c r="WKD101" s="53"/>
      <c r="WKE101" s="53"/>
      <c r="WKF101" s="53"/>
      <c r="WKG101" s="53"/>
      <c r="WKH101" s="53"/>
      <c r="WKI101" s="53"/>
      <c r="WKJ101" s="53"/>
      <c r="WKK101" s="53"/>
      <c r="WKL101" s="53"/>
      <c r="WKM101" s="53"/>
      <c r="WKN101" s="53"/>
      <c r="WKO101" s="53"/>
      <c r="WKP101" s="53"/>
      <c r="WKQ101" s="53"/>
      <c r="WKR101" s="53"/>
      <c r="WKS101" s="53"/>
      <c r="WKT101" s="53"/>
      <c r="WKU101" s="53"/>
      <c r="WKV101" s="53"/>
      <c r="WKW101" s="53"/>
      <c r="WKX101" s="53"/>
      <c r="WKY101" s="53"/>
      <c r="WKZ101" s="53"/>
      <c r="WLA101" s="53"/>
      <c r="WLB101" s="53"/>
      <c r="WLC101" s="53"/>
      <c r="WLD101" s="53"/>
      <c r="WLE101" s="53"/>
      <c r="WLF101" s="53"/>
      <c r="WLG101" s="53"/>
      <c r="WLH101" s="53"/>
      <c r="WLI101" s="53"/>
      <c r="WLJ101" s="53"/>
      <c r="WLK101" s="53"/>
      <c r="WLL101" s="53"/>
      <c r="WLM101" s="53"/>
      <c r="WLN101" s="53"/>
      <c r="WLO101" s="53"/>
      <c r="WLP101" s="53"/>
      <c r="WLQ101" s="53"/>
      <c r="WLR101" s="53"/>
      <c r="WLS101" s="53"/>
      <c r="WLT101" s="53"/>
      <c r="WLU101" s="53"/>
      <c r="WLV101" s="53"/>
      <c r="WLW101" s="53"/>
      <c r="WLX101" s="53"/>
      <c r="WLY101" s="53"/>
      <c r="WLZ101" s="53"/>
      <c r="WMA101" s="53"/>
      <c r="WMB101" s="53"/>
      <c r="WMC101" s="53"/>
      <c r="WMD101" s="53"/>
      <c r="WME101" s="53"/>
      <c r="WMF101" s="53"/>
      <c r="WMG101" s="53"/>
      <c r="WMH101" s="53"/>
      <c r="WMI101" s="53"/>
      <c r="WMJ101" s="53"/>
      <c r="WMK101" s="53"/>
      <c r="WML101" s="53"/>
      <c r="WMM101" s="53"/>
      <c r="WMN101" s="53"/>
      <c r="WMO101" s="53"/>
      <c r="WMP101" s="53"/>
      <c r="WMQ101" s="53"/>
      <c r="WMR101" s="53"/>
      <c r="WMS101" s="53"/>
      <c r="WMT101" s="53"/>
      <c r="WMU101" s="53"/>
      <c r="WMV101" s="53"/>
      <c r="WMW101" s="53"/>
      <c r="WMX101" s="53"/>
      <c r="WMY101" s="53"/>
      <c r="WMZ101" s="53"/>
      <c r="WNA101" s="53"/>
      <c r="WNB101" s="53"/>
      <c r="WNC101" s="53"/>
      <c r="WND101" s="53"/>
      <c r="WNE101" s="53"/>
      <c r="WNF101" s="53"/>
      <c r="WNG101" s="53"/>
      <c r="WNH101" s="53"/>
      <c r="WNI101" s="53"/>
      <c r="WNJ101" s="53"/>
      <c r="WNK101" s="53"/>
      <c r="WNL101" s="53"/>
      <c r="WNM101" s="53"/>
      <c r="WNN101" s="53"/>
      <c r="WNO101" s="53"/>
      <c r="WNP101" s="53"/>
      <c r="WNQ101" s="53"/>
      <c r="WNR101" s="53"/>
      <c r="WNS101" s="53"/>
      <c r="WNT101" s="53"/>
      <c r="WNU101" s="53"/>
      <c r="WNV101" s="53"/>
      <c r="WNW101" s="53"/>
      <c r="WNX101" s="53"/>
      <c r="WNY101" s="53"/>
      <c r="WNZ101" s="53"/>
      <c r="WOA101" s="53"/>
      <c r="WOB101" s="53"/>
      <c r="WOC101" s="53"/>
      <c r="WOD101" s="53"/>
      <c r="WOE101" s="53"/>
      <c r="WOF101" s="53"/>
      <c r="WOG101" s="53"/>
      <c r="WOH101" s="53"/>
      <c r="WOI101" s="53"/>
      <c r="WOJ101" s="53"/>
      <c r="WOK101" s="53"/>
      <c r="WOL101" s="53"/>
      <c r="WOM101" s="53"/>
      <c r="WON101" s="53"/>
      <c r="WOO101" s="53"/>
      <c r="WOP101" s="53"/>
      <c r="WOQ101" s="53"/>
      <c r="WOR101" s="53"/>
      <c r="WOS101" s="53"/>
      <c r="WOT101" s="53"/>
      <c r="WOU101" s="53"/>
      <c r="WOV101" s="53"/>
      <c r="WOW101" s="53"/>
      <c r="WOX101" s="53"/>
      <c r="WOY101" s="53"/>
      <c r="WOZ101" s="53"/>
      <c r="WPA101" s="53"/>
      <c r="WPB101" s="53"/>
      <c r="WPC101" s="53"/>
      <c r="WPD101" s="53"/>
      <c r="WPE101" s="53"/>
      <c r="WPF101" s="53"/>
      <c r="WPG101" s="53"/>
      <c r="WPH101" s="53"/>
      <c r="WPI101" s="53"/>
      <c r="WPJ101" s="53"/>
      <c r="WPK101" s="53"/>
      <c r="WPL101" s="53"/>
      <c r="WPM101" s="53"/>
      <c r="WPN101" s="53"/>
      <c r="WPO101" s="53"/>
      <c r="WPP101" s="53"/>
      <c r="WPQ101" s="53"/>
      <c r="WPR101" s="53"/>
      <c r="WPS101" s="53"/>
      <c r="WPT101" s="53"/>
      <c r="WPU101" s="53"/>
      <c r="WPV101" s="53"/>
      <c r="WPW101" s="53"/>
      <c r="WPX101" s="53"/>
      <c r="WPY101" s="53"/>
      <c r="WPZ101" s="53"/>
      <c r="WQA101" s="53"/>
      <c r="WQB101" s="53"/>
      <c r="WQC101" s="53"/>
      <c r="WQD101" s="53"/>
      <c r="WQE101" s="53"/>
      <c r="WQF101" s="53"/>
      <c r="WQG101" s="53"/>
      <c r="WQH101" s="53"/>
      <c r="WQI101" s="53"/>
      <c r="WQJ101" s="53"/>
      <c r="WQK101" s="53"/>
      <c r="WQL101" s="53"/>
      <c r="WQM101" s="53"/>
      <c r="WQN101" s="53"/>
      <c r="WQO101" s="53"/>
      <c r="WQP101" s="53"/>
      <c r="WQQ101" s="53"/>
      <c r="WQR101" s="53"/>
      <c r="WQS101" s="53"/>
      <c r="WQT101" s="53"/>
      <c r="WQU101" s="53"/>
      <c r="WQV101" s="53"/>
      <c r="WQW101" s="53"/>
      <c r="WQX101" s="53"/>
      <c r="WQY101" s="53"/>
      <c r="WQZ101" s="53"/>
      <c r="WRA101" s="53"/>
      <c r="WRB101" s="53"/>
      <c r="WRC101" s="53"/>
      <c r="WRD101" s="53"/>
      <c r="WRE101" s="53"/>
      <c r="WRF101" s="53"/>
      <c r="WRG101" s="53"/>
      <c r="WRH101" s="53"/>
      <c r="WRI101" s="53"/>
      <c r="WRJ101" s="53"/>
      <c r="WRK101" s="53"/>
      <c r="WRL101" s="53"/>
      <c r="WRM101" s="53"/>
      <c r="WRN101" s="53"/>
      <c r="WRO101" s="53"/>
      <c r="WRP101" s="53"/>
      <c r="WRQ101" s="53"/>
      <c r="WRR101" s="53"/>
      <c r="WRS101" s="53"/>
      <c r="WRT101" s="53"/>
      <c r="WRU101" s="53"/>
      <c r="WRV101" s="53"/>
      <c r="WRW101" s="53"/>
      <c r="WRX101" s="53"/>
      <c r="WRY101" s="53"/>
      <c r="WRZ101" s="53"/>
      <c r="WSA101" s="53"/>
      <c r="WSB101" s="53"/>
      <c r="WSC101" s="53"/>
      <c r="WSD101" s="53"/>
      <c r="WSE101" s="53"/>
      <c r="WSF101" s="53"/>
      <c r="WSG101" s="53"/>
      <c r="WSH101" s="53"/>
      <c r="WSI101" s="53"/>
      <c r="WSJ101" s="53"/>
      <c r="WSK101" s="53"/>
      <c r="WSL101" s="53"/>
      <c r="WSM101" s="53"/>
      <c r="WSN101" s="53"/>
      <c r="WSO101" s="53"/>
      <c r="WSP101" s="53"/>
      <c r="WSQ101" s="53"/>
      <c r="WSR101" s="53"/>
      <c r="WSS101" s="53"/>
      <c r="WST101" s="53"/>
      <c r="WSU101" s="53"/>
      <c r="WSV101" s="53"/>
      <c r="WSW101" s="53"/>
      <c r="WSX101" s="53"/>
      <c r="WSY101" s="53"/>
      <c r="WSZ101" s="53"/>
      <c r="WTA101" s="53"/>
      <c r="WTB101" s="53"/>
      <c r="WTC101" s="53"/>
      <c r="WTD101" s="53"/>
      <c r="WTE101" s="53"/>
      <c r="WTF101" s="53"/>
      <c r="WTG101" s="53"/>
      <c r="WTH101" s="53"/>
      <c r="WTI101" s="53"/>
      <c r="WTJ101" s="53"/>
      <c r="WTK101" s="53"/>
      <c r="WTL101" s="53"/>
      <c r="WTM101" s="53"/>
      <c r="WTN101" s="53"/>
      <c r="WTO101" s="53"/>
      <c r="WTP101" s="53"/>
      <c r="WTQ101" s="53"/>
      <c r="WTR101" s="53"/>
      <c r="WTS101" s="53"/>
      <c r="WTT101" s="53"/>
      <c r="WTU101" s="53"/>
      <c r="WTV101" s="53"/>
      <c r="WTW101" s="53"/>
      <c r="WTX101" s="53"/>
      <c r="WTY101" s="53"/>
      <c r="WTZ101" s="53"/>
      <c r="WUA101" s="53"/>
      <c r="WUB101" s="53"/>
      <c r="WUC101" s="53"/>
      <c r="WUD101" s="53"/>
      <c r="WUE101" s="53"/>
      <c r="WUF101" s="53"/>
      <c r="WUG101" s="53"/>
      <c r="WUH101" s="53"/>
      <c r="WUI101" s="53"/>
      <c r="WUJ101" s="53"/>
      <c r="WUK101" s="53"/>
      <c r="WUL101" s="53"/>
      <c r="WUM101" s="53"/>
      <c r="WUN101" s="53"/>
      <c r="WUO101" s="53"/>
      <c r="WUP101" s="53"/>
      <c r="WUQ101" s="53"/>
      <c r="WUR101" s="53"/>
      <c r="WUS101" s="53"/>
      <c r="WUT101" s="53"/>
      <c r="WUU101" s="53"/>
      <c r="WUV101" s="53"/>
      <c r="WUW101" s="53"/>
      <c r="WUX101" s="53"/>
      <c r="WUY101" s="53"/>
      <c r="WUZ101" s="53"/>
      <c r="WVA101" s="53"/>
      <c r="WVB101" s="53"/>
      <c r="WVC101" s="53"/>
      <c r="WVD101" s="53"/>
      <c r="WVE101" s="53"/>
      <c r="WVF101" s="53"/>
      <c r="WVG101" s="53"/>
      <c r="WVH101" s="53"/>
      <c r="WVI101" s="53"/>
      <c r="WVJ101" s="53"/>
      <c r="WVK101" s="53"/>
      <c r="WVL101" s="53"/>
      <c r="WVM101" s="53"/>
      <c r="WVN101" s="53"/>
      <c r="WVO101" s="53"/>
      <c r="WVP101" s="53"/>
      <c r="WVQ101" s="53"/>
      <c r="WVR101" s="53"/>
      <c r="WVS101" s="53"/>
      <c r="WVT101" s="53"/>
      <c r="WVU101" s="53"/>
      <c r="WVV101" s="53"/>
      <c r="WVW101" s="53"/>
      <c r="WVX101" s="53"/>
      <c r="WVY101" s="53"/>
      <c r="WVZ101" s="53"/>
      <c r="WWA101" s="53"/>
      <c r="WWB101" s="53"/>
      <c r="WWC101" s="53"/>
      <c r="WWD101" s="53"/>
      <c r="WWE101" s="53"/>
      <c r="WWF101" s="53"/>
      <c r="WWG101" s="53"/>
      <c r="WWH101" s="53"/>
      <c r="WWI101" s="53"/>
      <c r="WWJ101" s="53"/>
      <c r="WWK101" s="53"/>
      <c r="WWL101" s="53"/>
      <c r="WWM101" s="53"/>
      <c r="WWN101" s="53"/>
      <c r="WWO101" s="53"/>
      <c r="WWP101" s="53"/>
      <c r="WWQ101" s="53"/>
      <c r="WWR101" s="53"/>
      <c r="WWS101" s="53"/>
      <c r="WWT101" s="53"/>
      <c r="WWU101" s="53"/>
      <c r="WWV101" s="53"/>
      <c r="WWW101" s="53"/>
      <c r="WWX101" s="53"/>
      <c r="WWY101" s="53"/>
      <c r="WWZ101" s="53"/>
      <c r="WXA101" s="53"/>
      <c r="WXB101" s="53"/>
      <c r="WXC101" s="53"/>
      <c r="WXD101" s="53"/>
      <c r="WXE101" s="53"/>
      <c r="WXF101" s="53"/>
      <c r="WXG101" s="53"/>
      <c r="WXH101" s="53"/>
      <c r="WXI101" s="53"/>
      <c r="WXJ101" s="53"/>
      <c r="WXK101" s="53"/>
      <c r="WXL101" s="53"/>
      <c r="WXM101" s="53"/>
      <c r="WXN101" s="53"/>
      <c r="WXO101" s="53"/>
      <c r="WXP101" s="53"/>
      <c r="WXQ101" s="53"/>
      <c r="WXR101" s="53"/>
      <c r="WXS101" s="53"/>
      <c r="WXT101" s="53"/>
      <c r="WXU101" s="53"/>
      <c r="WXV101" s="53"/>
      <c r="WXW101" s="53"/>
      <c r="WXX101" s="53"/>
      <c r="WXY101" s="53"/>
      <c r="WXZ101" s="53"/>
      <c r="WYA101" s="53"/>
      <c r="WYB101" s="53"/>
      <c r="WYC101" s="53"/>
      <c r="WYD101" s="53"/>
      <c r="WYE101" s="53"/>
      <c r="WYF101" s="53"/>
      <c r="WYG101" s="53"/>
      <c r="WYH101" s="53"/>
      <c r="WYI101" s="53"/>
      <c r="WYJ101" s="53"/>
      <c r="WYK101" s="53"/>
      <c r="WYL101" s="53"/>
      <c r="WYM101" s="53"/>
      <c r="WYN101" s="53"/>
      <c r="WYO101" s="53"/>
      <c r="WYP101" s="53"/>
      <c r="WYQ101" s="53"/>
      <c r="WYR101" s="53"/>
      <c r="WYS101" s="53"/>
      <c r="WYT101" s="53"/>
      <c r="WYU101" s="53"/>
      <c r="WYV101" s="53"/>
      <c r="WYW101" s="53"/>
      <c r="WYX101" s="53"/>
      <c r="WYY101" s="53"/>
      <c r="WYZ101" s="53"/>
      <c r="WZA101" s="53"/>
      <c r="WZB101" s="53"/>
      <c r="WZC101" s="53"/>
      <c r="WZD101" s="53"/>
      <c r="WZE101" s="53"/>
      <c r="WZF101" s="53"/>
      <c r="WZG101" s="53"/>
      <c r="WZH101" s="53"/>
      <c r="WZI101" s="53"/>
      <c r="WZJ101" s="53"/>
      <c r="WZK101" s="53"/>
      <c r="WZL101" s="53"/>
      <c r="WZM101" s="53"/>
      <c r="WZN101" s="53"/>
      <c r="WZO101" s="53"/>
      <c r="WZP101" s="53"/>
      <c r="WZQ101" s="53"/>
      <c r="WZR101" s="53"/>
      <c r="WZS101" s="53"/>
      <c r="WZT101" s="53"/>
      <c r="WZU101" s="53"/>
      <c r="WZV101" s="53"/>
      <c r="WZW101" s="53"/>
      <c r="WZX101" s="53"/>
      <c r="WZY101" s="53"/>
      <c r="WZZ101" s="53"/>
      <c r="XAA101" s="53"/>
      <c r="XAB101" s="53"/>
      <c r="XAC101" s="53"/>
      <c r="XAD101" s="53"/>
      <c r="XAE101" s="53"/>
      <c r="XAF101" s="53"/>
      <c r="XAG101" s="53"/>
      <c r="XAH101" s="53"/>
      <c r="XAI101" s="53"/>
      <c r="XAJ101" s="53"/>
      <c r="XAK101" s="53"/>
      <c r="XAL101" s="53"/>
      <c r="XAM101" s="53"/>
      <c r="XAN101" s="53"/>
      <c r="XAO101" s="53"/>
      <c r="XAP101" s="53"/>
      <c r="XAQ101" s="53"/>
      <c r="XAR101" s="53"/>
      <c r="XAS101" s="53"/>
      <c r="XAT101" s="53"/>
      <c r="XAU101" s="53"/>
      <c r="XAV101" s="53"/>
      <c r="XAW101" s="53"/>
      <c r="XAX101" s="53"/>
      <c r="XAY101" s="53"/>
      <c r="XAZ101" s="53"/>
      <c r="XBA101" s="53"/>
      <c r="XBB101" s="53"/>
      <c r="XBC101" s="53"/>
      <c r="XBD101" s="53"/>
      <c r="XBE101" s="53"/>
      <c r="XBF101" s="53"/>
      <c r="XBG101" s="53"/>
      <c r="XBH101" s="53"/>
      <c r="XBI101" s="53"/>
      <c r="XBJ101" s="53"/>
      <c r="XBK101" s="53"/>
      <c r="XBL101" s="53"/>
      <c r="XBM101" s="53"/>
      <c r="XBN101" s="53"/>
      <c r="XBO101" s="53"/>
      <c r="XBP101" s="53"/>
      <c r="XBQ101" s="53"/>
      <c r="XBR101" s="53"/>
      <c r="XBS101" s="53"/>
      <c r="XBT101" s="53"/>
      <c r="XBU101" s="53"/>
      <c r="XBV101" s="53"/>
      <c r="XBW101" s="53"/>
      <c r="XBX101" s="53"/>
      <c r="XBY101" s="53"/>
      <c r="XBZ101" s="53"/>
      <c r="XCA101" s="53"/>
      <c r="XCB101" s="53"/>
      <c r="XCC101" s="53"/>
      <c r="XCD101" s="53"/>
      <c r="XCE101" s="53"/>
      <c r="XCF101" s="53"/>
      <c r="XCG101" s="53"/>
      <c r="XCH101" s="53"/>
      <c r="XCI101" s="53"/>
      <c r="XCJ101" s="53"/>
      <c r="XCK101" s="53"/>
      <c r="XCL101" s="53"/>
      <c r="XCM101" s="53"/>
      <c r="XCN101" s="53"/>
      <c r="XCO101" s="53"/>
      <c r="XCP101" s="53"/>
      <c r="XCQ101" s="53"/>
      <c r="XCR101" s="53"/>
      <c r="XCS101" s="53"/>
      <c r="XCT101" s="53"/>
      <c r="XCU101" s="53"/>
      <c r="XCV101" s="53"/>
      <c r="XCW101" s="53"/>
      <c r="XCX101" s="53"/>
      <c r="XCY101" s="53"/>
      <c r="XCZ101" s="53"/>
      <c r="XDA101" s="53"/>
      <c r="XDB101" s="53"/>
      <c r="XDC101" s="53"/>
      <c r="XDD101" s="53"/>
      <c r="XDE101" s="53"/>
      <c r="XDF101" s="53"/>
      <c r="XDG101" s="53"/>
      <c r="XDH101" s="53"/>
      <c r="XDI101" s="53"/>
      <c r="XDJ101" s="53"/>
      <c r="XDK101" s="53"/>
      <c r="XDL101" s="53"/>
      <c r="XDM101" s="53"/>
      <c r="XDN101" s="53"/>
      <c r="XDO101" s="53"/>
      <c r="XDP101" s="53"/>
      <c r="XDQ101" s="53"/>
      <c r="XDR101" s="53"/>
      <c r="XDS101" s="53"/>
      <c r="XDT101" s="53"/>
      <c r="XDU101" s="53"/>
      <c r="XDV101" s="53"/>
      <c r="XDW101" s="53"/>
      <c r="XDX101" s="53"/>
      <c r="XDY101" s="53"/>
      <c r="XDZ101" s="53"/>
      <c r="XEA101" s="53"/>
      <c r="XEB101" s="53"/>
      <c r="XEC101" s="53"/>
      <c r="XED101" s="53"/>
      <c r="XEE101" s="53"/>
      <c r="XEF101" s="53"/>
      <c r="XEG101" s="53"/>
      <c r="XEH101" s="53"/>
      <c r="XEI101" s="53"/>
      <c r="XEJ101" s="53"/>
      <c r="XEK101" s="53"/>
      <c r="XEL101" s="53"/>
      <c r="XEM101" s="53"/>
      <c r="XEN101" s="53"/>
      <c r="XEO101" s="53"/>
      <c r="XEP101" s="53"/>
      <c r="XEQ101" s="53"/>
      <c r="XER101" s="53"/>
      <c r="XES101" s="53"/>
      <c r="XET101" s="53"/>
      <c r="XEU101" s="53"/>
      <c r="XEV101" s="53"/>
      <c r="XEW101" s="53"/>
      <c r="XEX101" s="53"/>
      <c r="XEY101" s="53"/>
      <c r="XEZ101" s="53"/>
      <c r="XFA101" s="53"/>
      <c r="XFB101" s="53"/>
      <c r="XFC101" s="53"/>
      <c r="XFD101" s="53"/>
    </row>
    <row r="102" s="4" customFormat="1" customHeight="1" spans="1:16384">
      <c r="A102" s="29" t="s">
        <v>974</v>
      </c>
      <c r="B102" s="30" t="s">
        <v>976</v>
      </c>
      <c r="C102" s="30" t="s">
        <v>848</v>
      </c>
      <c r="D102" s="31" t="s">
        <v>837</v>
      </c>
      <c r="E102" s="32"/>
      <c r="F102" s="33"/>
      <c r="G102" s="33"/>
      <c r="H102" s="33"/>
      <c r="I102" s="33"/>
      <c r="J102" s="33"/>
      <c r="K102" s="33"/>
      <c r="L102" s="44"/>
      <c r="M102" s="45"/>
      <c r="N102" s="46">
        <f>VLOOKUP(B102,出勤汇总!C:AB,26,0)</f>
        <v>2</v>
      </c>
      <c r="O102" s="47">
        <f>VLOOKUP(B102,出勤汇总!C:S,17,0)</f>
        <v>19</v>
      </c>
      <c r="P102" s="48">
        <f t="shared" si="7"/>
        <v>17</v>
      </c>
      <c r="Q102" s="48">
        <f>VLOOKUP(B102,餐补次数!R:S,2,0)</f>
        <v>4</v>
      </c>
      <c r="R102" s="52">
        <f>Q102*15+P102*15</f>
        <v>315</v>
      </c>
      <c r="S102" s="53"/>
      <c r="T102" s="53"/>
      <c r="U102" s="53"/>
      <c r="V102" s="53"/>
      <c r="W102" s="53"/>
      <c r="X102" s="53"/>
      <c r="Y102" s="53"/>
      <c r="Z102" s="53"/>
      <c r="AA102" s="53"/>
      <c r="AB102" s="53"/>
      <c r="AC102" s="53"/>
      <c r="AD102" s="53"/>
      <c r="AE102" s="53"/>
      <c r="AF102" s="53"/>
      <c r="AG102" s="53"/>
      <c r="AH102" s="53"/>
      <c r="AI102" s="53"/>
      <c r="AJ102" s="53"/>
      <c r="AK102" s="53"/>
      <c r="AL102" s="53"/>
      <c r="AM102" s="53"/>
      <c r="AN102" s="53"/>
      <c r="AO102" s="53"/>
      <c r="AP102" s="53"/>
      <c r="AQ102" s="53"/>
      <c r="AR102" s="53"/>
      <c r="AS102" s="53"/>
      <c r="AT102" s="53"/>
      <c r="AU102" s="53"/>
      <c r="AV102" s="53"/>
      <c r="AW102" s="53"/>
      <c r="AX102" s="53"/>
      <c r="AY102" s="53"/>
      <c r="AZ102" s="53"/>
      <c r="BA102" s="53"/>
      <c r="BB102" s="53"/>
      <c r="BC102" s="53"/>
      <c r="BD102" s="53"/>
      <c r="BE102" s="53"/>
      <c r="BF102" s="53"/>
      <c r="BG102" s="53"/>
      <c r="BH102" s="53"/>
      <c r="BI102" s="53"/>
      <c r="BJ102" s="53"/>
      <c r="BK102" s="53"/>
      <c r="BL102" s="53"/>
      <c r="BM102" s="53"/>
      <c r="BN102" s="53"/>
      <c r="BO102" s="53"/>
      <c r="BP102" s="53"/>
      <c r="BQ102" s="53"/>
      <c r="BR102" s="53"/>
      <c r="BS102" s="53"/>
      <c r="BT102" s="53"/>
      <c r="BU102" s="53"/>
      <c r="BV102" s="53"/>
      <c r="BW102" s="53"/>
      <c r="BX102" s="53"/>
      <c r="BY102" s="53"/>
      <c r="BZ102" s="53"/>
      <c r="CA102" s="53"/>
      <c r="CB102" s="53"/>
      <c r="CC102" s="53"/>
      <c r="CD102" s="53"/>
      <c r="CE102" s="53"/>
      <c r="CF102" s="53"/>
      <c r="CG102" s="53"/>
      <c r="CH102" s="53"/>
      <c r="CI102" s="53"/>
      <c r="CJ102" s="53"/>
      <c r="CK102" s="53"/>
      <c r="CL102" s="53"/>
      <c r="CM102" s="53"/>
      <c r="CN102" s="53"/>
      <c r="CO102" s="53"/>
      <c r="CP102" s="53"/>
      <c r="CQ102" s="53"/>
      <c r="CR102" s="53"/>
      <c r="CS102" s="53"/>
      <c r="CT102" s="53"/>
      <c r="CU102" s="53"/>
      <c r="CV102" s="53"/>
      <c r="CW102" s="53"/>
      <c r="CX102" s="53"/>
      <c r="CY102" s="53"/>
      <c r="CZ102" s="53"/>
      <c r="DA102" s="53"/>
      <c r="DB102" s="53"/>
      <c r="DC102" s="53"/>
      <c r="DD102" s="53"/>
      <c r="DE102" s="53"/>
      <c r="DF102" s="53"/>
      <c r="DG102" s="53"/>
      <c r="DH102" s="53"/>
      <c r="DI102" s="53"/>
      <c r="DJ102" s="53"/>
      <c r="DK102" s="53"/>
      <c r="DL102" s="53"/>
      <c r="DM102" s="53"/>
      <c r="DN102" s="53"/>
      <c r="DO102" s="53"/>
      <c r="DP102" s="53"/>
      <c r="DQ102" s="53"/>
      <c r="DR102" s="53"/>
      <c r="DS102" s="53"/>
      <c r="DT102" s="53"/>
      <c r="DU102" s="53"/>
      <c r="DV102" s="53"/>
      <c r="DW102" s="53"/>
      <c r="DX102" s="53"/>
      <c r="DY102" s="53"/>
      <c r="DZ102" s="53"/>
      <c r="EA102" s="53"/>
      <c r="EB102" s="53"/>
      <c r="EC102" s="53"/>
      <c r="ED102" s="53"/>
      <c r="EE102" s="53"/>
      <c r="EF102" s="53"/>
      <c r="EG102" s="53"/>
      <c r="EH102" s="53"/>
      <c r="EI102" s="53"/>
      <c r="EJ102" s="53"/>
      <c r="EK102" s="53"/>
      <c r="EL102" s="53"/>
      <c r="EM102" s="53"/>
      <c r="EN102" s="53"/>
      <c r="EO102" s="53"/>
      <c r="EP102" s="53"/>
      <c r="EQ102" s="53"/>
      <c r="ER102" s="53"/>
      <c r="ES102" s="53"/>
      <c r="ET102" s="53"/>
      <c r="EU102" s="53"/>
      <c r="EV102" s="53"/>
      <c r="EW102" s="53"/>
      <c r="EX102" s="53"/>
      <c r="EY102" s="53"/>
      <c r="EZ102" s="53"/>
      <c r="FA102" s="53"/>
      <c r="FB102" s="53"/>
      <c r="FC102" s="53"/>
      <c r="FD102" s="53"/>
      <c r="FE102" s="53"/>
      <c r="FF102" s="53"/>
      <c r="FG102" s="53"/>
      <c r="FH102" s="53"/>
      <c r="FI102" s="53"/>
      <c r="FJ102" s="53"/>
      <c r="FK102" s="53"/>
      <c r="FL102" s="53"/>
      <c r="FM102" s="53"/>
      <c r="FN102" s="53"/>
      <c r="FO102" s="53"/>
      <c r="FP102" s="53"/>
      <c r="FQ102" s="53"/>
      <c r="FR102" s="53"/>
      <c r="FS102" s="53"/>
      <c r="FT102" s="53"/>
      <c r="FU102" s="53"/>
      <c r="FV102" s="53"/>
      <c r="FW102" s="53"/>
      <c r="FX102" s="53"/>
      <c r="FY102" s="53"/>
      <c r="FZ102" s="53"/>
      <c r="GA102" s="53"/>
      <c r="GB102" s="53"/>
      <c r="GC102" s="53"/>
      <c r="GD102" s="53"/>
      <c r="GE102" s="53"/>
      <c r="GF102" s="53"/>
      <c r="GG102" s="53"/>
      <c r="GH102" s="53"/>
      <c r="GI102" s="53"/>
      <c r="GJ102" s="53"/>
      <c r="GK102" s="53"/>
      <c r="GL102" s="53"/>
      <c r="GM102" s="53"/>
      <c r="GN102" s="53"/>
      <c r="GO102" s="53"/>
      <c r="GP102" s="53"/>
      <c r="GQ102" s="53"/>
      <c r="GR102" s="53"/>
      <c r="GS102" s="53"/>
      <c r="GT102" s="53"/>
      <c r="GU102" s="53"/>
      <c r="GV102" s="53"/>
      <c r="GW102" s="53"/>
      <c r="GX102" s="53"/>
      <c r="GY102" s="53"/>
      <c r="GZ102" s="53"/>
      <c r="HA102" s="53"/>
      <c r="HB102" s="53"/>
      <c r="HC102" s="53"/>
      <c r="HD102" s="53"/>
      <c r="HE102" s="53"/>
      <c r="HF102" s="53"/>
      <c r="HG102" s="53"/>
      <c r="HH102" s="53"/>
      <c r="HI102" s="53"/>
      <c r="HJ102" s="53"/>
      <c r="HK102" s="53"/>
      <c r="HL102" s="53"/>
      <c r="HM102" s="53"/>
      <c r="HN102" s="53"/>
      <c r="HO102" s="53"/>
      <c r="HP102" s="53"/>
      <c r="HQ102" s="53"/>
      <c r="HR102" s="53"/>
      <c r="HS102" s="53"/>
      <c r="HT102" s="53"/>
      <c r="HU102" s="53"/>
      <c r="HV102" s="53"/>
      <c r="HW102" s="53"/>
      <c r="HX102" s="53"/>
      <c r="HY102" s="53"/>
      <c r="HZ102" s="53"/>
      <c r="IA102" s="53"/>
      <c r="IB102" s="53"/>
      <c r="IC102" s="53"/>
      <c r="ID102" s="53"/>
      <c r="IE102" s="53"/>
      <c r="IF102" s="53"/>
      <c r="IG102" s="53"/>
      <c r="IH102" s="53"/>
      <c r="II102" s="53"/>
      <c r="IJ102" s="53"/>
      <c r="IK102" s="53"/>
      <c r="IL102" s="53"/>
      <c r="IM102" s="53"/>
      <c r="IN102" s="53"/>
      <c r="IO102" s="53"/>
      <c r="IP102" s="53"/>
      <c r="IQ102" s="53"/>
      <c r="IR102" s="53"/>
      <c r="IS102" s="53"/>
      <c r="IT102" s="53"/>
      <c r="IU102" s="53"/>
      <c r="IV102" s="53"/>
      <c r="IW102" s="53"/>
      <c r="IX102" s="53"/>
      <c r="IY102" s="53"/>
      <c r="IZ102" s="53"/>
      <c r="JA102" s="53"/>
      <c r="JB102" s="53"/>
      <c r="JC102" s="53"/>
      <c r="JD102" s="53"/>
      <c r="JE102" s="53"/>
      <c r="JF102" s="53"/>
      <c r="JG102" s="53"/>
      <c r="JH102" s="53"/>
      <c r="JI102" s="53"/>
      <c r="JJ102" s="53"/>
      <c r="JK102" s="53"/>
      <c r="JL102" s="53"/>
      <c r="JM102" s="53"/>
      <c r="JN102" s="53"/>
      <c r="JO102" s="53"/>
      <c r="JP102" s="53"/>
      <c r="JQ102" s="53"/>
      <c r="JR102" s="53"/>
      <c r="JS102" s="53"/>
      <c r="JT102" s="53"/>
      <c r="JU102" s="53"/>
      <c r="JV102" s="53"/>
      <c r="JW102" s="53"/>
      <c r="JX102" s="53"/>
      <c r="JY102" s="53"/>
      <c r="JZ102" s="53"/>
      <c r="KA102" s="53"/>
      <c r="KB102" s="53"/>
      <c r="KC102" s="53"/>
      <c r="KD102" s="53"/>
      <c r="KE102" s="53"/>
      <c r="KF102" s="53"/>
      <c r="KG102" s="53"/>
      <c r="KH102" s="53"/>
      <c r="KI102" s="53"/>
      <c r="KJ102" s="53"/>
      <c r="KK102" s="53"/>
      <c r="KL102" s="53"/>
      <c r="KM102" s="53"/>
      <c r="KN102" s="53"/>
      <c r="KO102" s="53"/>
      <c r="KP102" s="53"/>
      <c r="KQ102" s="53"/>
      <c r="KR102" s="53"/>
      <c r="KS102" s="53"/>
      <c r="KT102" s="53"/>
      <c r="KU102" s="53"/>
      <c r="KV102" s="53"/>
      <c r="KW102" s="53"/>
      <c r="KX102" s="53"/>
      <c r="KY102" s="53"/>
      <c r="KZ102" s="53"/>
      <c r="LA102" s="53"/>
      <c r="LB102" s="53"/>
      <c r="LC102" s="53"/>
      <c r="LD102" s="53"/>
      <c r="LE102" s="53"/>
      <c r="LF102" s="53"/>
      <c r="LG102" s="53"/>
      <c r="LH102" s="53"/>
      <c r="LI102" s="53"/>
      <c r="LJ102" s="53"/>
      <c r="LK102" s="53"/>
      <c r="LL102" s="53"/>
      <c r="LM102" s="53"/>
      <c r="LN102" s="53"/>
      <c r="LO102" s="53"/>
      <c r="LP102" s="53"/>
      <c r="LQ102" s="53"/>
      <c r="LR102" s="53"/>
      <c r="LS102" s="53"/>
      <c r="LT102" s="53"/>
      <c r="LU102" s="53"/>
      <c r="LV102" s="53"/>
      <c r="LW102" s="53"/>
      <c r="LX102" s="53"/>
      <c r="LY102" s="53"/>
      <c r="LZ102" s="53"/>
      <c r="MA102" s="53"/>
      <c r="MB102" s="53"/>
      <c r="MC102" s="53"/>
      <c r="MD102" s="53"/>
      <c r="ME102" s="53"/>
      <c r="MF102" s="53"/>
      <c r="MG102" s="53"/>
      <c r="MH102" s="53"/>
      <c r="MI102" s="53"/>
      <c r="MJ102" s="53"/>
      <c r="MK102" s="53"/>
      <c r="ML102" s="53"/>
      <c r="MM102" s="53"/>
      <c r="MN102" s="53"/>
      <c r="MO102" s="53"/>
      <c r="MP102" s="53"/>
      <c r="MQ102" s="53"/>
      <c r="MR102" s="53"/>
      <c r="MS102" s="53"/>
      <c r="MT102" s="53"/>
      <c r="MU102" s="53"/>
      <c r="MV102" s="53"/>
      <c r="MW102" s="53"/>
      <c r="MX102" s="53"/>
      <c r="MY102" s="53"/>
      <c r="MZ102" s="53"/>
      <c r="NA102" s="53"/>
      <c r="NB102" s="53"/>
      <c r="NC102" s="53"/>
      <c r="ND102" s="53"/>
      <c r="NE102" s="53"/>
      <c r="NF102" s="53"/>
      <c r="NG102" s="53"/>
      <c r="NH102" s="53"/>
      <c r="NI102" s="53"/>
      <c r="NJ102" s="53"/>
      <c r="NK102" s="53"/>
      <c r="NL102" s="53"/>
      <c r="NM102" s="53"/>
      <c r="NN102" s="53"/>
      <c r="NO102" s="53"/>
      <c r="NP102" s="53"/>
      <c r="NQ102" s="53"/>
      <c r="NR102" s="53"/>
      <c r="NS102" s="53"/>
      <c r="NT102" s="53"/>
      <c r="NU102" s="53"/>
      <c r="NV102" s="53"/>
      <c r="NW102" s="53"/>
      <c r="NX102" s="53"/>
      <c r="NY102" s="53"/>
      <c r="NZ102" s="53"/>
      <c r="OA102" s="53"/>
      <c r="OB102" s="53"/>
      <c r="OC102" s="53"/>
      <c r="OD102" s="53"/>
      <c r="OE102" s="53"/>
      <c r="OF102" s="53"/>
      <c r="OG102" s="53"/>
      <c r="OH102" s="53"/>
      <c r="OI102" s="53"/>
      <c r="OJ102" s="53"/>
      <c r="OK102" s="53"/>
      <c r="OL102" s="53"/>
      <c r="OM102" s="53"/>
      <c r="ON102" s="53"/>
      <c r="OO102" s="53"/>
      <c r="OP102" s="53"/>
      <c r="OQ102" s="53"/>
      <c r="OR102" s="53"/>
      <c r="OS102" s="53"/>
      <c r="OT102" s="53"/>
      <c r="OU102" s="53"/>
      <c r="OV102" s="53"/>
      <c r="OW102" s="53"/>
      <c r="OX102" s="53"/>
      <c r="OY102" s="53"/>
      <c r="OZ102" s="53"/>
      <c r="PA102" s="53"/>
      <c r="PB102" s="53"/>
      <c r="PC102" s="53"/>
      <c r="PD102" s="53"/>
      <c r="PE102" s="53"/>
      <c r="PF102" s="53"/>
      <c r="PG102" s="53"/>
      <c r="PH102" s="53"/>
      <c r="PI102" s="53"/>
      <c r="PJ102" s="53"/>
      <c r="PK102" s="53"/>
      <c r="PL102" s="53"/>
      <c r="PM102" s="53"/>
      <c r="PN102" s="53"/>
      <c r="PO102" s="53"/>
      <c r="PP102" s="53"/>
      <c r="PQ102" s="53"/>
      <c r="PR102" s="53"/>
      <c r="PS102" s="53"/>
      <c r="PT102" s="53"/>
      <c r="PU102" s="53"/>
      <c r="PV102" s="53"/>
      <c r="PW102" s="53"/>
      <c r="PX102" s="53"/>
      <c r="PY102" s="53"/>
      <c r="PZ102" s="53"/>
      <c r="QA102" s="53"/>
      <c r="QB102" s="53"/>
      <c r="QC102" s="53"/>
      <c r="QD102" s="53"/>
      <c r="QE102" s="53"/>
      <c r="QF102" s="53"/>
      <c r="QG102" s="53"/>
      <c r="QH102" s="53"/>
      <c r="QI102" s="53"/>
      <c r="QJ102" s="53"/>
      <c r="QK102" s="53"/>
      <c r="QL102" s="53"/>
      <c r="QM102" s="53"/>
      <c r="QN102" s="53"/>
      <c r="QO102" s="53"/>
      <c r="QP102" s="53"/>
      <c r="QQ102" s="53"/>
      <c r="QR102" s="53"/>
      <c r="QS102" s="53"/>
      <c r="QT102" s="53"/>
      <c r="QU102" s="53"/>
      <c r="QV102" s="53"/>
      <c r="QW102" s="53"/>
      <c r="QX102" s="53"/>
      <c r="QY102" s="53"/>
      <c r="QZ102" s="53"/>
      <c r="RA102" s="53"/>
      <c r="RB102" s="53"/>
      <c r="RC102" s="53"/>
      <c r="RD102" s="53"/>
      <c r="RE102" s="53"/>
      <c r="RF102" s="53"/>
      <c r="RG102" s="53"/>
      <c r="RH102" s="53"/>
      <c r="RI102" s="53"/>
      <c r="RJ102" s="53"/>
      <c r="RK102" s="53"/>
      <c r="RL102" s="53"/>
      <c r="RM102" s="53"/>
      <c r="RN102" s="53"/>
      <c r="RO102" s="53"/>
      <c r="RP102" s="53"/>
      <c r="RQ102" s="53"/>
      <c r="RR102" s="53"/>
      <c r="RS102" s="53"/>
      <c r="RT102" s="53"/>
      <c r="RU102" s="53"/>
      <c r="RV102" s="53"/>
      <c r="RW102" s="53"/>
      <c r="RX102" s="53"/>
      <c r="RY102" s="53"/>
      <c r="RZ102" s="53"/>
      <c r="SA102" s="53"/>
      <c r="SB102" s="53"/>
      <c r="SC102" s="53"/>
      <c r="SD102" s="53"/>
      <c r="SE102" s="53"/>
      <c r="SF102" s="53"/>
      <c r="SG102" s="53"/>
      <c r="SH102" s="53"/>
      <c r="SI102" s="53"/>
      <c r="SJ102" s="53"/>
      <c r="SK102" s="53"/>
      <c r="SL102" s="53"/>
      <c r="SM102" s="53"/>
      <c r="SN102" s="53"/>
      <c r="SO102" s="53"/>
      <c r="SP102" s="53"/>
      <c r="SQ102" s="53"/>
      <c r="SR102" s="53"/>
      <c r="SS102" s="53"/>
      <c r="ST102" s="53"/>
      <c r="SU102" s="53"/>
      <c r="SV102" s="53"/>
      <c r="SW102" s="53"/>
      <c r="SX102" s="53"/>
      <c r="SY102" s="53"/>
      <c r="SZ102" s="53"/>
      <c r="TA102" s="53"/>
      <c r="TB102" s="53"/>
      <c r="TC102" s="53"/>
      <c r="TD102" s="53"/>
      <c r="TE102" s="53"/>
      <c r="TF102" s="53"/>
      <c r="TG102" s="53"/>
      <c r="TH102" s="53"/>
      <c r="TI102" s="53"/>
      <c r="TJ102" s="53"/>
      <c r="TK102" s="53"/>
      <c r="TL102" s="53"/>
      <c r="TM102" s="53"/>
      <c r="TN102" s="53"/>
      <c r="TO102" s="53"/>
      <c r="TP102" s="53"/>
      <c r="TQ102" s="53"/>
      <c r="TR102" s="53"/>
      <c r="TS102" s="53"/>
      <c r="TT102" s="53"/>
      <c r="TU102" s="53"/>
      <c r="TV102" s="53"/>
      <c r="TW102" s="53"/>
      <c r="TX102" s="53"/>
      <c r="TY102" s="53"/>
      <c r="TZ102" s="53"/>
      <c r="UA102" s="53"/>
      <c r="UB102" s="53"/>
      <c r="UC102" s="53"/>
      <c r="UD102" s="53"/>
      <c r="UE102" s="53"/>
      <c r="UF102" s="53"/>
      <c r="UG102" s="53"/>
      <c r="UH102" s="53"/>
      <c r="UI102" s="53"/>
      <c r="UJ102" s="53"/>
      <c r="UK102" s="53"/>
      <c r="UL102" s="53"/>
      <c r="UM102" s="53"/>
      <c r="UN102" s="53"/>
      <c r="UO102" s="53"/>
      <c r="UP102" s="53"/>
      <c r="UQ102" s="53"/>
      <c r="UR102" s="53"/>
      <c r="US102" s="53"/>
      <c r="UT102" s="53"/>
      <c r="UU102" s="53"/>
      <c r="UV102" s="53"/>
      <c r="UW102" s="53"/>
      <c r="UX102" s="53"/>
      <c r="UY102" s="53"/>
      <c r="UZ102" s="53"/>
      <c r="VA102" s="53"/>
      <c r="VB102" s="53"/>
      <c r="VC102" s="53"/>
      <c r="VD102" s="53"/>
      <c r="VE102" s="53"/>
      <c r="VF102" s="53"/>
      <c r="VG102" s="53"/>
      <c r="VH102" s="53"/>
      <c r="VI102" s="53"/>
      <c r="VJ102" s="53"/>
      <c r="VK102" s="53"/>
      <c r="VL102" s="53"/>
      <c r="VM102" s="53"/>
      <c r="VN102" s="53"/>
      <c r="VO102" s="53"/>
      <c r="VP102" s="53"/>
      <c r="VQ102" s="53"/>
      <c r="VR102" s="53"/>
      <c r="VS102" s="53"/>
      <c r="VT102" s="53"/>
      <c r="VU102" s="53"/>
      <c r="VV102" s="53"/>
      <c r="VW102" s="53"/>
      <c r="VX102" s="53"/>
      <c r="VY102" s="53"/>
      <c r="VZ102" s="53"/>
      <c r="WA102" s="53"/>
      <c r="WB102" s="53"/>
      <c r="WC102" s="53"/>
      <c r="WD102" s="53"/>
      <c r="WE102" s="53"/>
      <c r="WF102" s="53"/>
      <c r="WG102" s="53"/>
      <c r="WH102" s="53"/>
      <c r="WI102" s="53"/>
      <c r="WJ102" s="53"/>
      <c r="WK102" s="53"/>
      <c r="WL102" s="53"/>
      <c r="WM102" s="53"/>
      <c r="WN102" s="53"/>
      <c r="WO102" s="53"/>
      <c r="WP102" s="53"/>
      <c r="WQ102" s="53"/>
      <c r="WR102" s="53"/>
      <c r="WS102" s="53"/>
      <c r="WT102" s="53"/>
      <c r="WU102" s="53"/>
      <c r="WV102" s="53"/>
      <c r="WW102" s="53"/>
      <c r="WX102" s="53"/>
      <c r="WY102" s="53"/>
      <c r="WZ102" s="53"/>
      <c r="XA102" s="53"/>
      <c r="XB102" s="53"/>
      <c r="XC102" s="53"/>
      <c r="XD102" s="53"/>
      <c r="XE102" s="53"/>
      <c r="XF102" s="53"/>
      <c r="XG102" s="53"/>
      <c r="XH102" s="53"/>
      <c r="XI102" s="53"/>
      <c r="XJ102" s="53"/>
      <c r="XK102" s="53"/>
      <c r="XL102" s="53"/>
      <c r="XM102" s="53"/>
      <c r="XN102" s="53"/>
      <c r="XO102" s="53"/>
      <c r="XP102" s="53"/>
      <c r="XQ102" s="53"/>
      <c r="XR102" s="53"/>
      <c r="XS102" s="53"/>
      <c r="XT102" s="53"/>
      <c r="XU102" s="53"/>
      <c r="XV102" s="53"/>
      <c r="XW102" s="53"/>
      <c r="XX102" s="53"/>
      <c r="XY102" s="53"/>
      <c r="XZ102" s="53"/>
      <c r="YA102" s="53"/>
      <c r="YB102" s="53"/>
      <c r="YC102" s="53"/>
      <c r="YD102" s="53"/>
      <c r="YE102" s="53"/>
      <c r="YF102" s="53"/>
      <c r="YG102" s="53"/>
      <c r="YH102" s="53"/>
      <c r="YI102" s="53"/>
      <c r="YJ102" s="53"/>
      <c r="YK102" s="53"/>
      <c r="YL102" s="53"/>
      <c r="YM102" s="53"/>
      <c r="YN102" s="53"/>
      <c r="YO102" s="53"/>
      <c r="YP102" s="53"/>
      <c r="YQ102" s="53"/>
      <c r="YR102" s="53"/>
      <c r="YS102" s="53"/>
      <c r="YT102" s="53"/>
      <c r="YU102" s="53"/>
      <c r="YV102" s="53"/>
      <c r="YW102" s="53"/>
      <c r="YX102" s="53"/>
      <c r="YY102" s="53"/>
      <c r="YZ102" s="53"/>
      <c r="ZA102" s="53"/>
      <c r="ZB102" s="53"/>
      <c r="ZC102" s="53"/>
      <c r="ZD102" s="53"/>
      <c r="ZE102" s="53"/>
      <c r="ZF102" s="53"/>
      <c r="ZG102" s="53"/>
      <c r="ZH102" s="53"/>
      <c r="ZI102" s="53"/>
      <c r="ZJ102" s="53"/>
      <c r="ZK102" s="53"/>
      <c r="ZL102" s="53"/>
      <c r="ZM102" s="53"/>
      <c r="ZN102" s="53"/>
      <c r="ZO102" s="53"/>
      <c r="ZP102" s="53"/>
      <c r="ZQ102" s="53"/>
      <c r="ZR102" s="53"/>
      <c r="ZS102" s="53"/>
      <c r="ZT102" s="53"/>
      <c r="ZU102" s="53"/>
      <c r="ZV102" s="53"/>
      <c r="ZW102" s="53"/>
      <c r="ZX102" s="53"/>
      <c r="ZY102" s="53"/>
      <c r="ZZ102" s="53"/>
      <c r="AAA102" s="53"/>
      <c r="AAB102" s="53"/>
      <c r="AAC102" s="53"/>
      <c r="AAD102" s="53"/>
      <c r="AAE102" s="53"/>
      <c r="AAF102" s="53"/>
      <c r="AAG102" s="53"/>
      <c r="AAH102" s="53"/>
      <c r="AAI102" s="53"/>
      <c r="AAJ102" s="53"/>
      <c r="AAK102" s="53"/>
      <c r="AAL102" s="53"/>
      <c r="AAM102" s="53"/>
      <c r="AAN102" s="53"/>
      <c r="AAO102" s="53"/>
      <c r="AAP102" s="53"/>
      <c r="AAQ102" s="53"/>
      <c r="AAR102" s="53"/>
      <c r="AAS102" s="53"/>
      <c r="AAT102" s="53"/>
      <c r="AAU102" s="53"/>
      <c r="AAV102" s="53"/>
      <c r="AAW102" s="53"/>
      <c r="AAX102" s="53"/>
      <c r="AAY102" s="53"/>
      <c r="AAZ102" s="53"/>
      <c r="ABA102" s="53"/>
      <c r="ABB102" s="53"/>
      <c r="ABC102" s="53"/>
      <c r="ABD102" s="53"/>
      <c r="ABE102" s="53"/>
      <c r="ABF102" s="53"/>
      <c r="ABG102" s="53"/>
      <c r="ABH102" s="53"/>
      <c r="ABI102" s="53"/>
      <c r="ABJ102" s="53"/>
      <c r="ABK102" s="53"/>
      <c r="ABL102" s="53"/>
      <c r="ABM102" s="53"/>
      <c r="ABN102" s="53"/>
      <c r="ABO102" s="53"/>
      <c r="ABP102" s="53"/>
      <c r="ABQ102" s="53"/>
      <c r="ABR102" s="53"/>
      <c r="ABS102" s="53"/>
      <c r="ABT102" s="53"/>
      <c r="ABU102" s="53"/>
      <c r="ABV102" s="53"/>
      <c r="ABW102" s="53"/>
      <c r="ABX102" s="53"/>
      <c r="ABY102" s="53"/>
      <c r="ABZ102" s="53"/>
      <c r="ACA102" s="53"/>
      <c r="ACB102" s="53"/>
      <c r="ACC102" s="53"/>
      <c r="ACD102" s="53"/>
      <c r="ACE102" s="53"/>
      <c r="ACF102" s="53"/>
      <c r="ACG102" s="53"/>
      <c r="ACH102" s="53"/>
      <c r="ACI102" s="53"/>
      <c r="ACJ102" s="53"/>
      <c r="ACK102" s="53"/>
      <c r="ACL102" s="53"/>
      <c r="ACM102" s="53"/>
      <c r="ACN102" s="53"/>
      <c r="ACO102" s="53"/>
      <c r="ACP102" s="53"/>
      <c r="ACQ102" s="53"/>
      <c r="ACR102" s="53"/>
      <c r="ACS102" s="53"/>
      <c r="ACT102" s="53"/>
      <c r="ACU102" s="53"/>
      <c r="ACV102" s="53"/>
      <c r="ACW102" s="53"/>
      <c r="ACX102" s="53"/>
      <c r="ACY102" s="53"/>
      <c r="ACZ102" s="53"/>
      <c r="ADA102" s="53"/>
      <c r="ADB102" s="53"/>
      <c r="ADC102" s="53"/>
      <c r="ADD102" s="53"/>
      <c r="ADE102" s="53"/>
      <c r="ADF102" s="53"/>
      <c r="ADG102" s="53"/>
      <c r="ADH102" s="53"/>
      <c r="ADI102" s="53"/>
      <c r="ADJ102" s="53"/>
      <c r="ADK102" s="53"/>
      <c r="ADL102" s="53"/>
      <c r="ADM102" s="53"/>
      <c r="ADN102" s="53"/>
      <c r="ADO102" s="53"/>
      <c r="ADP102" s="53"/>
      <c r="ADQ102" s="53"/>
      <c r="ADR102" s="53"/>
      <c r="ADS102" s="53"/>
      <c r="ADT102" s="53"/>
      <c r="ADU102" s="53"/>
      <c r="ADV102" s="53"/>
      <c r="ADW102" s="53"/>
      <c r="ADX102" s="53"/>
      <c r="ADY102" s="53"/>
      <c r="ADZ102" s="53"/>
      <c r="AEA102" s="53"/>
      <c r="AEB102" s="53"/>
      <c r="AEC102" s="53"/>
      <c r="AED102" s="53"/>
      <c r="AEE102" s="53"/>
      <c r="AEF102" s="53"/>
      <c r="AEG102" s="53"/>
      <c r="AEH102" s="53"/>
      <c r="AEI102" s="53"/>
      <c r="AEJ102" s="53"/>
      <c r="AEK102" s="53"/>
      <c r="AEL102" s="53"/>
      <c r="AEM102" s="53"/>
      <c r="AEN102" s="53"/>
      <c r="AEO102" s="53"/>
      <c r="AEP102" s="53"/>
      <c r="AEQ102" s="53"/>
      <c r="AER102" s="53"/>
      <c r="AES102" s="53"/>
      <c r="AET102" s="53"/>
      <c r="AEU102" s="53"/>
      <c r="AEV102" s="53"/>
      <c r="AEW102" s="53"/>
      <c r="AEX102" s="53"/>
      <c r="AEY102" s="53"/>
      <c r="AEZ102" s="53"/>
      <c r="AFA102" s="53"/>
      <c r="AFB102" s="53"/>
      <c r="AFC102" s="53"/>
      <c r="AFD102" s="53"/>
      <c r="AFE102" s="53"/>
      <c r="AFF102" s="53"/>
      <c r="AFG102" s="53"/>
      <c r="AFH102" s="53"/>
      <c r="AFI102" s="53"/>
      <c r="AFJ102" s="53"/>
      <c r="AFK102" s="53"/>
      <c r="AFL102" s="53"/>
      <c r="AFM102" s="53"/>
      <c r="AFN102" s="53"/>
      <c r="AFO102" s="53"/>
      <c r="AFP102" s="53"/>
      <c r="AFQ102" s="53"/>
      <c r="AFR102" s="53"/>
      <c r="AFS102" s="53"/>
      <c r="AFT102" s="53"/>
      <c r="AFU102" s="53"/>
      <c r="AFV102" s="53"/>
      <c r="AFW102" s="53"/>
      <c r="AFX102" s="53"/>
      <c r="AFY102" s="53"/>
      <c r="AFZ102" s="53"/>
      <c r="AGA102" s="53"/>
      <c r="AGB102" s="53"/>
      <c r="AGC102" s="53"/>
      <c r="AGD102" s="53"/>
      <c r="AGE102" s="53"/>
      <c r="AGF102" s="53"/>
      <c r="AGG102" s="53"/>
      <c r="AGH102" s="53"/>
      <c r="AGI102" s="53"/>
      <c r="AGJ102" s="53"/>
      <c r="AGK102" s="53"/>
      <c r="AGL102" s="53"/>
      <c r="AGM102" s="53"/>
      <c r="AGN102" s="53"/>
      <c r="AGO102" s="53"/>
      <c r="AGP102" s="53"/>
      <c r="AGQ102" s="53"/>
      <c r="AGR102" s="53"/>
      <c r="AGS102" s="53"/>
      <c r="AGT102" s="53"/>
      <c r="AGU102" s="53"/>
      <c r="AGV102" s="53"/>
      <c r="AGW102" s="53"/>
      <c r="AGX102" s="53"/>
      <c r="AGY102" s="53"/>
      <c r="AGZ102" s="53"/>
      <c r="AHA102" s="53"/>
      <c r="AHB102" s="53"/>
      <c r="AHC102" s="53"/>
      <c r="AHD102" s="53"/>
      <c r="AHE102" s="53"/>
      <c r="AHF102" s="53"/>
      <c r="AHG102" s="53"/>
      <c r="AHH102" s="53"/>
      <c r="AHI102" s="53"/>
      <c r="AHJ102" s="53"/>
      <c r="AHK102" s="53"/>
      <c r="AHL102" s="53"/>
      <c r="AHM102" s="53"/>
      <c r="AHN102" s="53"/>
      <c r="AHO102" s="53"/>
      <c r="AHP102" s="53"/>
      <c r="AHQ102" s="53"/>
      <c r="AHR102" s="53"/>
      <c r="AHS102" s="53"/>
      <c r="AHT102" s="53"/>
      <c r="AHU102" s="53"/>
      <c r="AHV102" s="53"/>
      <c r="AHW102" s="53"/>
      <c r="AHX102" s="53"/>
      <c r="AHY102" s="53"/>
      <c r="AHZ102" s="53"/>
      <c r="AIA102" s="53"/>
      <c r="AIB102" s="53"/>
      <c r="AIC102" s="53"/>
      <c r="AID102" s="53"/>
      <c r="AIE102" s="53"/>
      <c r="AIF102" s="53"/>
      <c r="AIG102" s="53"/>
      <c r="AIH102" s="53"/>
      <c r="AII102" s="53"/>
      <c r="AIJ102" s="53"/>
      <c r="AIK102" s="53"/>
      <c r="AIL102" s="53"/>
      <c r="AIM102" s="53"/>
      <c r="AIN102" s="53"/>
      <c r="AIO102" s="53"/>
      <c r="AIP102" s="53"/>
      <c r="AIQ102" s="53"/>
      <c r="AIR102" s="53"/>
      <c r="AIS102" s="53"/>
      <c r="AIT102" s="53"/>
      <c r="AIU102" s="53"/>
      <c r="AIV102" s="53"/>
      <c r="AIW102" s="53"/>
      <c r="AIX102" s="53"/>
      <c r="AIY102" s="53"/>
      <c r="AIZ102" s="53"/>
      <c r="AJA102" s="53"/>
      <c r="AJB102" s="53"/>
      <c r="AJC102" s="53"/>
      <c r="AJD102" s="53"/>
      <c r="AJE102" s="53"/>
      <c r="AJF102" s="53"/>
      <c r="AJG102" s="53"/>
      <c r="AJH102" s="53"/>
      <c r="AJI102" s="53"/>
      <c r="AJJ102" s="53"/>
      <c r="AJK102" s="53"/>
      <c r="AJL102" s="53"/>
      <c r="AJM102" s="53"/>
      <c r="AJN102" s="53"/>
      <c r="AJO102" s="53"/>
      <c r="AJP102" s="53"/>
      <c r="AJQ102" s="53"/>
      <c r="AJR102" s="53"/>
      <c r="AJS102" s="53"/>
      <c r="AJT102" s="53"/>
      <c r="AJU102" s="53"/>
      <c r="AJV102" s="53"/>
      <c r="AJW102" s="53"/>
      <c r="AJX102" s="53"/>
      <c r="AJY102" s="53"/>
      <c r="AJZ102" s="53"/>
      <c r="AKA102" s="53"/>
      <c r="AKB102" s="53"/>
      <c r="AKC102" s="53"/>
      <c r="AKD102" s="53"/>
      <c r="AKE102" s="53"/>
      <c r="AKF102" s="53"/>
      <c r="AKG102" s="53"/>
      <c r="AKH102" s="53"/>
      <c r="AKI102" s="53"/>
      <c r="AKJ102" s="53"/>
      <c r="AKK102" s="53"/>
      <c r="AKL102" s="53"/>
      <c r="AKM102" s="53"/>
      <c r="AKN102" s="53"/>
      <c r="AKO102" s="53"/>
      <c r="AKP102" s="53"/>
      <c r="AKQ102" s="53"/>
      <c r="AKR102" s="53"/>
      <c r="AKS102" s="53"/>
      <c r="AKT102" s="53"/>
      <c r="AKU102" s="53"/>
      <c r="AKV102" s="53"/>
      <c r="AKW102" s="53"/>
      <c r="AKX102" s="53"/>
      <c r="AKY102" s="53"/>
      <c r="AKZ102" s="53"/>
      <c r="ALA102" s="53"/>
      <c r="ALB102" s="53"/>
      <c r="ALC102" s="53"/>
      <c r="ALD102" s="53"/>
      <c r="ALE102" s="53"/>
      <c r="ALF102" s="53"/>
      <c r="ALG102" s="53"/>
      <c r="ALH102" s="53"/>
      <c r="ALI102" s="53"/>
      <c r="ALJ102" s="53"/>
      <c r="ALK102" s="53"/>
      <c r="ALL102" s="53"/>
      <c r="ALM102" s="53"/>
      <c r="ALN102" s="53"/>
      <c r="ALO102" s="53"/>
      <c r="ALP102" s="53"/>
      <c r="ALQ102" s="53"/>
      <c r="ALR102" s="53"/>
      <c r="ALS102" s="53"/>
      <c r="ALT102" s="53"/>
      <c r="ALU102" s="53"/>
      <c r="ALV102" s="53"/>
      <c r="ALW102" s="53"/>
      <c r="ALX102" s="53"/>
      <c r="ALY102" s="53"/>
      <c r="ALZ102" s="53"/>
      <c r="AMA102" s="53"/>
      <c r="AMB102" s="53"/>
      <c r="AMC102" s="53"/>
      <c r="AMD102" s="53"/>
      <c r="AME102" s="53"/>
      <c r="AMF102" s="53"/>
      <c r="AMG102" s="53"/>
      <c r="AMH102" s="53"/>
      <c r="AMI102" s="53"/>
      <c r="AMJ102" s="53"/>
      <c r="AMK102" s="53"/>
      <c r="AML102" s="53"/>
      <c r="AMM102" s="53"/>
      <c r="AMN102" s="53"/>
      <c r="AMO102" s="53"/>
      <c r="AMP102" s="53"/>
      <c r="AMQ102" s="53"/>
      <c r="AMR102" s="53"/>
      <c r="AMS102" s="53"/>
      <c r="AMT102" s="53"/>
      <c r="AMU102" s="53"/>
      <c r="AMV102" s="53"/>
      <c r="AMW102" s="53"/>
      <c r="AMX102" s="53"/>
      <c r="AMY102" s="53"/>
      <c r="AMZ102" s="53"/>
      <c r="ANA102" s="53"/>
      <c r="ANB102" s="53"/>
      <c r="ANC102" s="53"/>
      <c r="AND102" s="53"/>
      <c r="ANE102" s="53"/>
      <c r="ANF102" s="53"/>
      <c r="ANG102" s="53"/>
      <c r="ANH102" s="53"/>
      <c r="ANI102" s="53"/>
      <c r="ANJ102" s="53"/>
      <c r="ANK102" s="53"/>
      <c r="ANL102" s="53"/>
      <c r="ANM102" s="53"/>
      <c r="ANN102" s="53"/>
      <c r="ANO102" s="53"/>
      <c r="ANP102" s="53"/>
      <c r="ANQ102" s="53"/>
      <c r="ANR102" s="53"/>
      <c r="ANS102" s="53"/>
      <c r="ANT102" s="53"/>
      <c r="ANU102" s="53"/>
      <c r="ANV102" s="53"/>
      <c r="ANW102" s="53"/>
      <c r="ANX102" s="53"/>
      <c r="ANY102" s="53"/>
      <c r="ANZ102" s="53"/>
      <c r="AOA102" s="53"/>
      <c r="AOB102" s="53"/>
      <c r="AOC102" s="53"/>
      <c r="AOD102" s="53"/>
      <c r="AOE102" s="53"/>
      <c r="AOF102" s="53"/>
      <c r="AOG102" s="53"/>
      <c r="AOH102" s="53"/>
      <c r="AOI102" s="53"/>
      <c r="AOJ102" s="53"/>
      <c r="AOK102" s="53"/>
      <c r="AOL102" s="53"/>
      <c r="AOM102" s="53"/>
      <c r="AON102" s="53"/>
      <c r="AOO102" s="53"/>
      <c r="AOP102" s="53"/>
      <c r="AOQ102" s="53"/>
      <c r="AOR102" s="53"/>
      <c r="AOS102" s="53"/>
      <c r="AOT102" s="53"/>
      <c r="AOU102" s="53"/>
      <c r="AOV102" s="53"/>
      <c r="AOW102" s="53"/>
      <c r="AOX102" s="53"/>
      <c r="AOY102" s="53"/>
      <c r="AOZ102" s="53"/>
      <c r="APA102" s="53"/>
      <c r="APB102" s="53"/>
      <c r="APC102" s="53"/>
      <c r="APD102" s="53"/>
      <c r="APE102" s="53"/>
      <c r="APF102" s="53"/>
      <c r="APG102" s="53"/>
      <c r="APH102" s="53"/>
      <c r="API102" s="53"/>
      <c r="APJ102" s="53"/>
      <c r="APK102" s="53"/>
      <c r="APL102" s="53"/>
      <c r="APM102" s="53"/>
      <c r="APN102" s="53"/>
      <c r="APO102" s="53"/>
      <c r="APP102" s="53"/>
      <c r="APQ102" s="53"/>
      <c r="APR102" s="53"/>
      <c r="APS102" s="53"/>
      <c r="APT102" s="53"/>
      <c r="APU102" s="53"/>
      <c r="APV102" s="53"/>
      <c r="APW102" s="53"/>
      <c r="APX102" s="53"/>
      <c r="APY102" s="53"/>
      <c r="APZ102" s="53"/>
      <c r="AQA102" s="53"/>
      <c r="AQB102" s="53"/>
      <c r="AQC102" s="53"/>
      <c r="AQD102" s="53"/>
      <c r="AQE102" s="53"/>
      <c r="AQF102" s="53"/>
      <c r="AQG102" s="53"/>
      <c r="AQH102" s="53"/>
      <c r="AQI102" s="53"/>
      <c r="AQJ102" s="53"/>
      <c r="AQK102" s="53"/>
      <c r="AQL102" s="53"/>
      <c r="AQM102" s="53"/>
      <c r="AQN102" s="53"/>
      <c r="AQO102" s="53"/>
      <c r="AQP102" s="53"/>
      <c r="AQQ102" s="53"/>
      <c r="AQR102" s="53"/>
      <c r="AQS102" s="53"/>
      <c r="AQT102" s="53"/>
      <c r="AQU102" s="53"/>
      <c r="AQV102" s="53"/>
      <c r="AQW102" s="53"/>
      <c r="AQX102" s="53"/>
      <c r="AQY102" s="53"/>
      <c r="AQZ102" s="53"/>
      <c r="ARA102" s="53"/>
      <c r="ARB102" s="53"/>
      <c r="ARC102" s="53"/>
      <c r="ARD102" s="53"/>
      <c r="ARE102" s="53"/>
      <c r="ARF102" s="53"/>
      <c r="ARG102" s="53"/>
      <c r="ARH102" s="53"/>
      <c r="ARI102" s="53"/>
      <c r="ARJ102" s="53"/>
      <c r="ARK102" s="53"/>
      <c r="ARL102" s="53"/>
      <c r="ARM102" s="53"/>
      <c r="ARN102" s="53"/>
      <c r="ARO102" s="53"/>
      <c r="ARP102" s="53"/>
      <c r="ARQ102" s="53"/>
      <c r="ARR102" s="53"/>
      <c r="ARS102" s="53"/>
      <c r="ART102" s="53"/>
      <c r="ARU102" s="53"/>
      <c r="ARV102" s="53"/>
      <c r="ARW102" s="53"/>
      <c r="ARX102" s="53"/>
      <c r="ARY102" s="53"/>
      <c r="ARZ102" s="53"/>
      <c r="ASA102" s="53"/>
      <c r="ASB102" s="53"/>
      <c r="ASC102" s="53"/>
      <c r="ASD102" s="53"/>
      <c r="ASE102" s="53"/>
      <c r="ASF102" s="53"/>
      <c r="ASG102" s="53"/>
      <c r="ASH102" s="53"/>
      <c r="ASI102" s="53"/>
      <c r="ASJ102" s="53"/>
      <c r="ASK102" s="53"/>
      <c r="ASL102" s="53"/>
      <c r="ASM102" s="53"/>
      <c r="ASN102" s="53"/>
      <c r="ASO102" s="53"/>
      <c r="ASP102" s="53"/>
      <c r="ASQ102" s="53"/>
      <c r="ASR102" s="53"/>
      <c r="ASS102" s="53"/>
      <c r="AST102" s="53"/>
      <c r="ASU102" s="53"/>
      <c r="ASV102" s="53"/>
      <c r="ASW102" s="53"/>
      <c r="ASX102" s="53"/>
      <c r="ASY102" s="53"/>
      <c r="ASZ102" s="53"/>
      <c r="ATA102" s="53"/>
      <c r="ATB102" s="53"/>
      <c r="ATC102" s="53"/>
      <c r="ATD102" s="53"/>
      <c r="ATE102" s="53"/>
      <c r="ATF102" s="53"/>
      <c r="ATG102" s="53"/>
      <c r="ATH102" s="53"/>
      <c r="ATI102" s="53"/>
      <c r="ATJ102" s="53"/>
      <c r="ATK102" s="53"/>
      <c r="ATL102" s="53"/>
      <c r="ATM102" s="53"/>
      <c r="ATN102" s="53"/>
      <c r="ATO102" s="53"/>
      <c r="ATP102" s="53"/>
      <c r="ATQ102" s="53"/>
      <c r="ATR102" s="53"/>
      <c r="ATS102" s="53"/>
      <c r="ATT102" s="53"/>
      <c r="ATU102" s="53"/>
      <c r="ATV102" s="53"/>
      <c r="ATW102" s="53"/>
      <c r="ATX102" s="53"/>
      <c r="ATY102" s="53"/>
      <c r="ATZ102" s="53"/>
      <c r="AUA102" s="53"/>
      <c r="AUB102" s="53"/>
      <c r="AUC102" s="53"/>
      <c r="AUD102" s="53"/>
      <c r="AUE102" s="53"/>
      <c r="AUF102" s="53"/>
      <c r="AUG102" s="53"/>
      <c r="AUH102" s="53"/>
      <c r="AUI102" s="53"/>
      <c r="AUJ102" s="53"/>
      <c r="AUK102" s="53"/>
      <c r="AUL102" s="53"/>
      <c r="AUM102" s="53"/>
      <c r="AUN102" s="53"/>
      <c r="AUO102" s="53"/>
      <c r="AUP102" s="53"/>
      <c r="AUQ102" s="53"/>
      <c r="AUR102" s="53"/>
      <c r="AUS102" s="53"/>
      <c r="AUT102" s="53"/>
      <c r="AUU102" s="53"/>
      <c r="AUV102" s="53"/>
      <c r="AUW102" s="53"/>
      <c r="AUX102" s="53"/>
      <c r="AUY102" s="53"/>
      <c r="AUZ102" s="53"/>
      <c r="AVA102" s="53"/>
      <c r="AVB102" s="53"/>
      <c r="AVC102" s="53"/>
      <c r="AVD102" s="53"/>
      <c r="AVE102" s="53"/>
      <c r="AVF102" s="53"/>
      <c r="AVG102" s="53"/>
      <c r="AVH102" s="53"/>
      <c r="AVI102" s="53"/>
      <c r="AVJ102" s="53"/>
      <c r="AVK102" s="53"/>
      <c r="AVL102" s="53"/>
      <c r="AVM102" s="53"/>
      <c r="AVN102" s="53"/>
      <c r="AVO102" s="53"/>
      <c r="AVP102" s="53"/>
      <c r="AVQ102" s="53"/>
      <c r="AVR102" s="53"/>
      <c r="AVS102" s="53"/>
      <c r="AVT102" s="53"/>
      <c r="AVU102" s="53"/>
      <c r="AVV102" s="53"/>
      <c r="AVW102" s="53"/>
      <c r="AVX102" s="53"/>
      <c r="AVY102" s="53"/>
      <c r="AVZ102" s="53"/>
      <c r="AWA102" s="53"/>
      <c r="AWB102" s="53"/>
      <c r="AWC102" s="53"/>
      <c r="AWD102" s="53"/>
      <c r="AWE102" s="53"/>
      <c r="AWF102" s="53"/>
      <c r="AWG102" s="53"/>
      <c r="AWH102" s="53"/>
      <c r="AWI102" s="53"/>
      <c r="AWJ102" s="53"/>
      <c r="AWK102" s="53"/>
      <c r="AWL102" s="53"/>
      <c r="AWM102" s="53"/>
      <c r="AWN102" s="53"/>
      <c r="AWO102" s="53"/>
      <c r="AWP102" s="53"/>
      <c r="AWQ102" s="53"/>
      <c r="AWR102" s="53"/>
      <c r="AWS102" s="53"/>
      <c r="AWT102" s="53"/>
      <c r="AWU102" s="53"/>
      <c r="AWV102" s="53"/>
      <c r="AWW102" s="53"/>
      <c r="AWX102" s="53"/>
      <c r="AWY102" s="53"/>
      <c r="AWZ102" s="53"/>
      <c r="AXA102" s="53"/>
      <c r="AXB102" s="53"/>
      <c r="AXC102" s="53"/>
      <c r="AXD102" s="53"/>
      <c r="AXE102" s="53"/>
      <c r="AXF102" s="53"/>
      <c r="AXG102" s="53"/>
      <c r="AXH102" s="53"/>
      <c r="AXI102" s="53"/>
      <c r="AXJ102" s="53"/>
      <c r="AXK102" s="53"/>
      <c r="AXL102" s="53"/>
      <c r="AXM102" s="53"/>
      <c r="AXN102" s="53"/>
      <c r="AXO102" s="53"/>
      <c r="AXP102" s="53"/>
      <c r="AXQ102" s="53"/>
      <c r="AXR102" s="53"/>
      <c r="AXS102" s="53"/>
      <c r="AXT102" s="53"/>
      <c r="AXU102" s="53"/>
      <c r="AXV102" s="53"/>
      <c r="AXW102" s="53"/>
      <c r="AXX102" s="53"/>
      <c r="AXY102" s="53"/>
      <c r="AXZ102" s="53"/>
      <c r="AYA102" s="53"/>
      <c r="AYB102" s="53"/>
      <c r="AYC102" s="53"/>
      <c r="AYD102" s="53"/>
      <c r="AYE102" s="53"/>
      <c r="AYF102" s="53"/>
      <c r="AYG102" s="53"/>
      <c r="AYH102" s="53"/>
      <c r="AYI102" s="53"/>
      <c r="AYJ102" s="53"/>
      <c r="AYK102" s="53"/>
      <c r="AYL102" s="53"/>
      <c r="AYM102" s="53"/>
      <c r="AYN102" s="53"/>
      <c r="AYO102" s="53"/>
      <c r="AYP102" s="53"/>
      <c r="AYQ102" s="53"/>
      <c r="AYR102" s="53"/>
      <c r="AYS102" s="53"/>
      <c r="AYT102" s="53"/>
      <c r="AYU102" s="53"/>
      <c r="AYV102" s="53"/>
      <c r="AYW102" s="53"/>
      <c r="AYX102" s="53"/>
      <c r="AYY102" s="53"/>
      <c r="AYZ102" s="53"/>
      <c r="AZA102" s="53"/>
      <c r="AZB102" s="53"/>
      <c r="AZC102" s="53"/>
      <c r="AZD102" s="53"/>
      <c r="AZE102" s="53"/>
      <c r="AZF102" s="53"/>
      <c r="AZG102" s="53"/>
      <c r="AZH102" s="53"/>
      <c r="AZI102" s="53"/>
      <c r="AZJ102" s="53"/>
      <c r="AZK102" s="53"/>
      <c r="AZL102" s="53"/>
      <c r="AZM102" s="53"/>
      <c r="AZN102" s="53"/>
      <c r="AZO102" s="53"/>
      <c r="AZP102" s="53"/>
      <c r="AZQ102" s="53"/>
      <c r="AZR102" s="53"/>
      <c r="AZS102" s="53"/>
      <c r="AZT102" s="53"/>
      <c r="AZU102" s="53"/>
      <c r="AZV102" s="53"/>
      <c r="AZW102" s="53"/>
      <c r="AZX102" s="53"/>
      <c r="AZY102" s="53"/>
      <c r="AZZ102" s="53"/>
      <c r="BAA102" s="53"/>
      <c r="BAB102" s="53"/>
      <c r="BAC102" s="53"/>
      <c r="BAD102" s="53"/>
      <c r="BAE102" s="53"/>
      <c r="BAF102" s="53"/>
      <c r="BAG102" s="53"/>
      <c r="BAH102" s="53"/>
      <c r="BAI102" s="53"/>
      <c r="BAJ102" s="53"/>
      <c r="BAK102" s="53"/>
      <c r="BAL102" s="53"/>
      <c r="BAM102" s="53"/>
      <c r="BAN102" s="53"/>
      <c r="BAO102" s="53"/>
      <c r="BAP102" s="53"/>
      <c r="BAQ102" s="53"/>
      <c r="BAR102" s="53"/>
      <c r="BAS102" s="53"/>
      <c r="BAT102" s="53"/>
      <c r="BAU102" s="53"/>
      <c r="BAV102" s="53"/>
      <c r="BAW102" s="53"/>
      <c r="BAX102" s="53"/>
      <c r="BAY102" s="53"/>
      <c r="BAZ102" s="53"/>
      <c r="BBA102" s="53"/>
      <c r="BBB102" s="53"/>
      <c r="BBC102" s="53"/>
      <c r="BBD102" s="53"/>
      <c r="BBE102" s="53"/>
      <c r="BBF102" s="53"/>
      <c r="BBG102" s="53"/>
      <c r="BBH102" s="53"/>
      <c r="BBI102" s="53"/>
      <c r="BBJ102" s="53"/>
      <c r="BBK102" s="53"/>
      <c r="BBL102" s="53"/>
      <c r="BBM102" s="53"/>
      <c r="BBN102" s="53"/>
      <c r="BBO102" s="53"/>
      <c r="BBP102" s="53"/>
      <c r="BBQ102" s="53"/>
      <c r="BBR102" s="53"/>
      <c r="BBS102" s="53"/>
      <c r="BBT102" s="53"/>
      <c r="BBU102" s="53"/>
      <c r="BBV102" s="53"/>
      <c r="BBW102" s="53"/>
      <c r="BBX102" s="53"/>
      <c r="BBY102" s="53"/>
      <c r="BBZ102" s="53"/>
      <c r="BCA102" s="53"/>
      <c r="BCB102" s="53"/>
      <c r="BCC102" s="53"/>
      <c r="BCD102" s="53"/>
      <c r="BCE102" s="53"/>
      <c r="BCF102" s="53"/>
      <c r="BCG102" s="53"/>
      <c r="BCH102" s="53"/>
      <c r="BCI102" s="53"/>
      <c r="BCJ102" s="53"/>
      <c r="BCK102" s="53"/>
      <c r="BCL102" s="53"/>
      <c r="BCM102" s="53"/>
      <c r="BCN102" s="53"/>
      <c r="BCO102" s="53"/>
      <c r="BCP102" s="53"/>
      <c r="BCQ102" s="53"/>
      <c r="BCR102" s="53"/>
      <c r="BCS102" s="53"/>
      <c r="BCT102" s="53"/>
      <c r="BCU102" s="53"/>
      <c r="BCV102" s="53"/>
      <c r="BCW102" s="53"/>
      <c r="BCX102" s="53"/>
      <c r="BCY102" s="53"/>
      <c r="BCZ102" s="53"/>
      <c r="BDA102" s="53"/>
      <c r="BDB102" s="53"/>
      <c r="BDC102" s="53"/>
      <c r="BDD102" s="53"/>
      <c r="BDE102" s="53"/>
      <c r="BDF102" s="53"/>
      <c r="BDG102" s="53"/>
      <c r="BDH102" s="53"/>
      <c r="BDI102" s="53"/>
      <c r="BDJ102" s="53"/>
      <c r="BDK102" s="53"/>
      <c r="BDL102" s="53"/>
      <c r="BDM102" s="53"/>
      <c r="BDN102" s="53"/>
      <c r="BDO102" s="53"/>
      <c r="BDP102" s="53"/>
      <c r="BDQ102" s="53"/>
      <c r="BDR102" s="53"/>
      <c r="BDS102" s="53"/>
      <c r="BDT102" s="53"/>
      <c r="BDU102" s="53"/>
      <c r="BDV102" s="53"/>
      <c r="BDW102" s="53"/>
      <c r="BDX102" s="53"/>
      <c r="BDY102" s="53"/>
      <c r="BDZ102" s="53"/>
      <c r="BEA102" s="53"/>
      <c r="BEB102" s="53"/>
      <c r="BEC102" s="53"/>
      <c r="BED102" s="53"/>
      <c r="BEE102" s="53"/>
      <c r="BEF102" s="53"/>
      <c r="BEG102" s="53"/>
      <c r="BEH102" s="53"/>
      <c r="BEI102" s="53"/>
      <c r="BEJ102" s="53"/>
      <c r="BEK102" s="53"/>
      <c r="BEL102" s="53"/>
      <c r="BEM102" s="53"/>
      <c r="BEN102" s="53"/>
      <c r="BEO102" s="53"/>
      <c r="BEP102" s="53"/>
      <c r="BEQ102" s="53"/>
      <c r="BER102" s="53"/>
      <c r="BES102" s="53"/>
      <c r="BET102" s="53"/>
      <c r="BEU102" s="53"/>
      <c r="BEV102" s="53"/>
      <c r="BEW102" s="53"/>
      <c r="BEX102" s="53"/>
      <c r="BEY102" s="53"/>
      <c r="BEZ102" s="53"/>
      <c r="BFA102" s="53"/>
      <c r="BFB102" s="53"/>
      <c r="BFC102" s="53"/>
      <c r="BFD102" s="53"/>
      <c r="BFE102" s="53"/>
      <c r="BFF102" s="53"/>
      <c r="BFG102" s="53"/>
      <c r="BFH102" s="53"/>
      <c r="BFI102" s="53"/>
      <c r="BFJ102" s="53"/>
      <c r="BFK102" s="53"/>
      <c r="BFL102" s="53"/>
      <c r="BFM102" s="53"/>
      <c r="BFN102" s="53"/>
      <c r="BFO102" s="53"/>
      <c r="BFP102" s="53"/>
      <c r="BFQ102" s="53"/>
      <c r="BFR102" s="53"/>
      <c r="BFS102" s="53"/>
      <c r="BFT102" s="53"/>
      <c r="BFU102" s="53"/>
      <c r="BFV102" s="53"/>
      <c r="BFW102" s="53"/>
      <c r="BFX102" s="53"/>
      <c r="BFY102" s="53"/>
      <c r="BFZ102" s="53"/>
      <c r="BGA102" s="53"/>
      <c r="BGB102" s="53"/>
      <c r="BGC102" s="53"/>
      <c r="BGD102" s="53"/>
      <c r="BGE102" s="53"/>
      <c r="BGF102" s="53"/>
      <c r="BGG102" s="53"/>
      <c r="BGH102" s="53"/>
      <c r="BGI102" s="53"/>
      <c r="BGJ102" s="53"/>
      <c r="BGK102" s="53"/>
      <c r="BGL102" s="53"/>
      <c r="BGM102" s="53"/>
      <c r="BGN102" s="53"/>
      <c r="BGO102" s="53"/>
      <c r="BGP102" s="53"/>
      <c r="BGQ102" s="53"/>
      <c r="BGR102" s="53"/>
      <c r="BGS102" s="53"/>
      <c r="BGT102" s="53"/>
      <c r="BGU102" s="53"/>
      <c r="BGV102" s="53"/>
      <c r="BGW102" s="53"/>
      <c r="BGX102" s="53"/>
      <c r="BGY102" s="53"/>
      <c r="BGZ102" s="53"/>
      <c r="BHA102" s="53"/>
      <c r="BHB102" s="53"/>
      <c r="BHC102" s="53"/>
      <c r="BHD102" s="53"/>
      <c r="BHE102" s="53"/>
      <c r="BHF102" s="53"/>
      <c r="BHG102" s="53"/>
      <c r="BHH102" s="53"/>
      <c r="BHI102" s="53"/>
      <c r="BHJ102" s="53"/>
      <c r="BHK102" s="53"/>
      <c r="BHL102" s="53"/>
      <c r="BHM102" s="53"/>
      <c r="BHN102" s="53"/>
      <c r="BHO102" s="53"/>
      <c r="BHP102" s="53"/>
      <c r="BHQ102" s="53"/>
      <c r="BHR102" s="53"/>
      <c r="BHS102" s="53"/>
      <c r="BHT102" s="53"/>
      <c r="BHU102" s="53"/>
      <c r="BHV102" s="53"/>
      <c r="BHW102" s="53"/>
      <c r="BHX102" s="53"/>
      <c r="BHY102" s="53"/>
      <c r="BHZ102" s="53"/>
      <c r="BIA102" s="53"/>
      <c r="BIB102" s="53"/>
      <c r="BIC102" s="53"/>
      <c r="BID102" s="53"/>
      <c r="BIE102" s="53"/>
      <c r="BIF102" s="53"/>
      <c r="BIG102" s="53"/>
      <c r="BIH102" s="53"/>
      <c r="BII102" s="53"/>
      <c r="BIJ102" s="53"/>
      <c r="BIK102" s="53"/>
      <c r="BIL102" s="53"/>
      <c r="BIM102" s="53"/>
      <c r="BIN102" s="53"/>
      <c r="BIO102" s="53"/>
      <c r="BIP102" s="53"/>
      <c r="BIQ102" s="53"/>
      <c r="BIR102" s="53"/>
      <c r="BIS102" s="53"/>
      <c r="BIT102" s="53"/>
      <c r="BIU102" s="53"/>
      <c r="BIV102" s="53"/>
      <c r="BIW102" s="53"/>
      <c r="BIX102" s="53"/>
      <c r="BIY102" s="53"/>
      <c r="BIZ102" s="53"/>
      <c r="BJA102" s="53"/>
      <c r="BJB102" s="53"/>
      <c r="BJC102" s="53"/>
      <c r="BJD102" s="53"/>
      <c r="BJE102" s="53"/>
      <c r="BJF102" s="53"/>
      <c r="BJG102" s="53"/>
      <c r="BJH102" s="53"/>
      <c r="BJI102" s="53"/>
      <c r="BJJ102" s="53"/>
      <c r="BJK102" s="53"/>
      <c r="BJL102" s="53"/>
      <c r="BJM102" s="53"/>
      <c r="BJN102" s="53"/>
      <c r="BJO102" s="53"/>
      <c r="BJP102" s="53"/>
      <c r="BJQ102" s="53"/>
      <c r="BJR102" s="53"/>
      <c r="BJS102" s="53"/>
      <c r="BJT102" s="53"/>
      <c r="BJU102" s="53"/>
      <c r="BJV102" s="53"/>
      <c r="BJW102" s="53"/>
      <c r="BJX102" s="53"/>
      <c r="BJY102" s="53"/>
      <c r="BJZ102" s="53"/>
      <c r="BKA102" s="53"/>
      <c r="BKB102" s="53"/>
      <c r="BKC102" s="53"/>
      <c r="BKD102" s="53"/>
      <c r="BKE102" s="53"/>
      <c r="BKF102" s="53"/>
      <c r="BKG102" s="53"/>
      <c r="BKH102" s="53"/>
      <c r="BKI102" s="53"/>
      <c r="BKJ102" s="53"/>
      <c r="BKK102" s="53"/>
      <c r="BKL102" s="53"/>
      <c r="BKM102" s="53"/>
      <c r="BKN102" s="53"/>
      <c r="BKO102" s="53"/>
      <c r="BKP102" s="53"/>
      <c r="BKQ102" s="53"/>
      <c r="BKR102" s="53"/>
      <c r="BKS102" s="53"/>
      <c r="BKT102" s="53"/>
      <c r="BKU102" s="53"/>
      <c r="BKV102" s="53"/>
      <c r="BKW102" s="53"/>
      <c r="BKX102" s="53"/>
      <c r="BKY102" s="53"/>
      <c r="BKZ102" s="53"/>
      <c r="BLA102" s="53"/>
      <c r="BLB102" s="53"/>
      <c r="BLC102" s="53"/>
      <c r="BLD102" s="53"/>
      <c r="BLE102" s="53"/>
      <c r="BLF102" s="53"/>
      <c r="BLG102" s="53"/>
      <c r="BLH102" s="53"/>
      <c r="BLI102" s="53"/>
      <c r="BLJ102" s="53"/>
      <c r="BLK102" s="53"/>
      <c r="BLL102" s="53"/>
      <c r="BLM102" s="53"/>
      <c r="BLN102" s="53"/>
      <c r="BLO102" s="53"/>
      <c r="BLP102" s="53"/>
      <c r="BLQ102" s="53"/>
      <c r="BLR102" s="53"/>
      <c r="BLS102" s="53"/>
      <c r="BLT102" s="53"/>
      <c r="BLU102" s="53"/>
      <c r="BLV102" s="53"/>
      <c r="BLW102" s="53"/>
      <c r="BLX102" s="53"/>
      <c r="BLY102" s="53"/>
      <c r="BLZ102" s="53"/>
      <c r="BMA102" s="53"/>
      <c r="BMB102" s="53"/>
      <c r="BMC102" s="53"/>
      <c r="BMD102" s="53"/>
      <c r="BME102" s="53"/>
      <c r="BMF102" s="53"/>
      <c r="BMG102" s="53"/>
      <c r="BMH102" s="53"/>
      <c r="BMI102" s="53"/>
      <c r="BMJ102" s="53"/>
      <c r="BMK102" s="53"/>
      <c r="BML102" s="53"/>
      <c r="BMM102" s="53"/>
      <c r="BMN102" s="53"/>
      <c r="BMO102" s="53"/>
      <c r="BMP102" s="53"/>
      <c r="BMQ102" s="53"/>
      <c r="BMR102" s="53"/>
      <c r="BMS102" s="53"/>
      <c r="BMT102" s="53"/>
      <c r="BMU102" s="53"/>
      <c r="BMV102" s="53"/>
      <c r="BMW102" s="53"/>
      <c r="BMX102" s="53"/>
      <c r="BMY102" s="53"/>
      <c r="BMZ102" s="53"/>
      <c r="BNA102" s="53"/>
      <c r="BNB102" s="53"/>
      <c r="BNC102" s="53"/>
      <c r="BND102" s="53"/>
      <c r="BNE102" s="53"/>
      <c r="BNF102" s="53"/>
      <c r="BNG102" s="53"/>
      <c r="BNH102" s="53"/>
      <c r="BNI102" s="53"/>
      <c r="BNJ102" s="53"/>
      <c r="BNK102" s="53"/>
      <c r="BNL102" s="53"/>
      <c r="BNM102" s="53"/>
      <c r="BNN102" s="53"/>
      <c r="BNO102" s="53"/>
      <c r="BNP102" s="53"/>
      <c r="BNQ102" s="53"/>
      <c r="BNR102" s="53"/>
      <c r="BNS102" s="53"/>
      <c r="BNT102" s="53"/>
      <c r="BNU102" s="53"/>
      <c r="BNV102" s="53"/>
      <c r="BNW102" s="53"/>
      <c r="BNX102" s="53"/>
      <c r="BNY102" s="53"/>
      <c r="BNZ102" s="53"/>
      <c r="BOA102" s="53"/>
      <c r="BOB102" s="53"/>
      <c r="BOC102" s="53"/>
      <c r="BOD102" s="53"/>
      <c r="BOE102" s="53"/>
      <c r="BOF102" s="53"/>
      <c r="BOG102" s="53"/>
      <c r="BOH102" s="53"/>
      <c r="BOI102" s="53"/>
      <c r="BOJ102" s="53"/>
      <c r="BOK102" s="53"/>
      <c r="BOL102" s="53"/>
      <c r="BOM102" s="53"/>
      <c r="BON102" s="53"/>
      <c r="BOO102" s="53"/>
      <c r="BOP102" s="53"/>
      <c r="BOQ102" s="53"/>
      <c r="BOR102" s="53"/>
      <c r="BOS102" s="53"/>
      <c r="BOT102" s="53"/>
      <c r="BOU102" s="53"/>
      <c r="BOV102" s="53"/>
      <c r="BOW102" s="53"/>
      <c r="BOX102" s="53"/>
      <c r="BOY102" s="53"/>
      <c r="BOZ102" s="53"/>
      <c r="BPA102" s="53"/>
      <c r="BPB102" s="53"/>
      <c r="BPC102" s="53"/>
      <c r="BPD102" s="53"/>
      <c r="BPE102" s="53"/>
      <c r="BPF102" s="53"/>
      <c r="BPG102" s="53"/>
      <c r="BPH102" s="53"/>
      <c r="BPI102" s="53"/>
      <c r="BPJ102" s="53"/>
      <c r="BPK102" s="53"/>
      <c r="BPL102" s="53"/>
      <c r="BPM102" s="53"/>
      <c r="BPN102" s="53"/>
      <c r="BPO102" s="53"/>
      <c r="BPP102" s="53"/>
      <c r="BPQ102" s="53"/>
      <c r="BPR102" s="53"/>
      <c r="BPS102" s="53"/>
      <c r="BPT102" s="53"/>
      <c r="BPU102" s="53"/>
      <c r="BPV102" s="53"/>
      <c r="BPW102" s="53"/>
      <c r="BPX102" s="53"/>
      <c r="BPY102" s="53"/>
      <c r="BPZ102" s="53"/>
      <c r="BQA102" s="53"/>
      <c r="BQB102" s="53"/>
      <c r="BQC102" s="53"/>
      <c r="BQD102" s="53"/>
      <c r="BQE102" s="53"/>
      <c r="BQF102" s="53"/>
      <c r="BQG102" s="53"/>
      <c r="BQH102" s="53"/>
      <c r="BQI102" s="53"/>
      <c r="BQJ102" s="53"/>
      <c r="BQK102" s="53"/>
      <c r="BQL102" s="53"/>
      <c r="BQM102" s="53"/>
      <c r="BQN102" s="53"/>
      <c r="BQO102" s="53"/>
      <c r="BQP102" s="53"/>
      <c r="BQQ102" s="53"/>
      <c r="BQR102" s="53"/>
      <c r="BQS102" s="53"/>
      <c r="BQT102" s="53"/>
      <c r="BQU102" s="53"/>
      <c r="BQV102" s="53"/>
      <c r="BQW102" s="53"/>
      <c r="BQX102" s="53"/>
      <c r="BQY102" s="53"/>
      <c r="BQZ102" s="53"/>
      <c r="BRA102" s="53"/>
      <c r="BRB102" s="53"/>
      <c r="BRC102" s="53"/>
      <c r="BRD102" s="53"/>
      <c r="BRE102" s="53"/>
      <c r="BRF102" s="53"/>
      <c r="BRG102" s="53"/>
      <c r="BRH102" s="53"/>
      <c r="BRI102" s="53"/>
      <c r="BRJ102" s="53"/>
      <c r="BRK102" s="53"/>
      <c r="BRL102" s="53"/>
      <c r="BRM102" s="53"/>
      <c r="BRN102" s="53"/>
      <c r="BRO102" s="53"/>
      <c r="BRP102" s="53"/>
      <c r="BRQ102" s="53"/>
      <c r="BRR102" s="53"/>
      <c r="BRS102" s="53"/>
      <c r="BRT102" s="53"/>
      <c r="BRU102" s="53"/>
      <c r="BRV102" s="53"/>
      <c r="BRW102" s="53"/>
      <c r="BRX102" s="53"/>
      <c r="BRY102" s="53"/>
      <c r="BRZ102" s="53"/>
      <c r="BSA102" s="53"/>
      <c r="BSB102" s="53"/>
      <c r="BSC102" s="53"/>
      <c r="BSD102" s="53"/>
      <c r="BSE102" s="53"/>
      <c r="BSF102" s="53"/>
      <c r="BSG102" s="53"/>
      <c r="BSH102" s="53"/>
      <c r="BSI102" s="53"/>
      <c r="BSJ102" s="53"/>
      <c r="BSK102" s="53"/>
      <c r="BSL102" s="53"/>
      <c r="BSM102" s="53"/>
      <c r="BSN102" s="53"/>
      <c r="BSO102" s="53"/>
      <c r="BSP102" s="53"/>
      <c r="BSQ102" s="53"/>
      <c r="BSR102" s="53"/>
      <c r="BSS102" s="53"/>
      <c r="BST102" s="53"/>
      <c r="BSU102" s="53"/>
      <c r="BSV102" s="53"/>
      <c r="BSW102" s="53"/>
      <c r="BSX102" s="53"/>
      <c r="BSY102" s="53"/>
      <c r="BSZ102" s="53"/>
      <c r="BTA102" s="53"/>
      <c r="BTB102" s="53"/>
      <c r="BTC102" s="53"/>
      <c r="BTD102" s="53"/>
      <c r="BTE102" s="53"/>
      <c r="BTF102" s="53"/>
      <c r="BTG102" s="53"/>
      <c r="BTH102" s="53"/>
      <c r="BTI102" s="53"/>
      <c r="BTJ102" s="53"/>
      <c r="BTK102" s="53"/>
      <c r="BTL102" s="53"/>
      <c r="BTM102" s="53"/>
      <c r="BTN102" s="53"/>
      <c r="BTO102" s="53"/>
      <c r="BTP102" s="53"/>
      <c r="BTQ102" s="53"/>
      <c r="BTR102" s="53"/>
      <c r="BTS102" s="53"/>
      <c r="BTT102" s="53"/>
      <c r="BTU102" s="53"/>
      <c r="BTV102" s="53"/>
      <c r="BTW102" s="53"/>
      <c r="BTX102" s="53"/>
      <c r="BTY102" s="53"/>
      <c r="BTZ102" s="53"/>
      <c r="BUA102" s="53"/>
      <c r="BUB102" s="53"/>
      <c r="BUC102" s="53"/>
      <c r="BUD102" s="53"/>
      <c r="BUE102" s="53"/>
      <c r="BUF102" s="53"/>
      <c r="BUG102" s="53"/>
      <c r="BUH102" s="53"/>
      <c r="BUI102" s="53"/>
      <c r="BUJ102" s="53"/>
      <c r="BUK102" s="53"/>
      <c r="BUL102" s="53"/>
      <c r="BUM102" s="53"/>
      <c r="BUN102" s="53"/>
      <c r="BUO102" s="53"/>
      <c r="BUP102" s="53"/>
      <c r="BUQ102" s="53"/>
      <c r="BUR102" s="53"/>
      <c r="BUS102" s="53"/>
      <c r="BUT102" s="53"/>
      <c r="BUU102" s="53"/>
      <c r="BUV102" s="53"/>
      <c r="BUW102" s="53"/>
      <c r="BUX102" s="53"/>
      <c r="BUY102" s="53"/>
      <c r="BUZ102" s="53"/>
      <c r="BVA102" s="53"/>
      <c r="BVB102" s="53"/>
      <c r="BVC102" s="53"/>
      <c r="BVD102" s="53"/>
      <c r="BVE102" s="53"/>
      <c r="BVF102" s="53"/>
      <c r="BVG102" s="53"/>
      <c r="BVH102" s="53"/>
      <c r="BVI102" s="53"/>
      <c r="BVJ102" s="53"/>
      <c r="BVK102" s="53"/>
      <c r="BVL102" s="53"/>
      <c r="BVM102" s="53"/>
      <c r="BVN102" s="53"/>
      <c r="BVO102" s="53"/>
      <c r="BVP102" s="53"/>
      <c r="BVQ102" s="53"/>
      <c r="BVR102" s="53"/>
      <c r="BVS102" s="53"/>
      <c r="BVT102" s="53"/>
      <c r="BVU102" s="53"/>
      <c r="BVV102" s="53"/>
      <c r="BVW102" s="53"/>
      <c r="BVX102" s="53"/>
      <c r="BVY102" s="53"/>
      <c r="BVZ102" s="53"/>
      <c r="BWA102" s="53"/>
      <c r="BWB102" s="53"/>
      <c r="BWC102" s="53"/>
      <c r="BWD102" s="53"/>
      <c r="BWE102" s="53"/>
      <c r="BWF102" s="53"/>
      <c r="BWG102" s="53"/>
      <c r="BWH102" s="53"/>
      <c r="BWI102" s="53"/>
      <c r="BWJ102" s="53"/>
      <c r="BWK102" s="53"/>
      <c r="BWL102" s="53"/>
      <c r="BWM102" s="53"/>
      <c r="BWN102" s="53"/>
      <c r="BWO102" s="53"/>
      <c r="BWP102" s="53"/>
      <c r="BWQ102" s="53"/>
      <c r="BWR102" s="53"/>
      <c r="BWS102" s="53"/>
      <c r="BWT102" s="53"/>
      <c r="BWU102" s="53"/>
      <c r="BWV102" s="53"/>
      <c r="BWW102" s="53"/>
      <c r="BWX102" s="53"/>
      <c r="BWY102" s="53"/>
      <c r="BWZ102" s="53"/>
      <c r="BXA102" s="53"/>
      <c r="BXB102" s="53"/>
      <c r="BXC102" s="53"/>
      <c r="BXD102" s="53"/>
      <c r="BXE102" s="53"/>
      <c r="BXF102" s="53"/>
      <c r="BXG102" s="53"/>
      <c r="BXH102" s="53"/>
      <c r="BXI102" s="53"/>
      <c r="BXJ102" s="53"/>
      <c r="BXK102" s="53"/>
      <c r="BXL102" s="53"/>
      <c r="BXM102" s="53"/>
      <c r="BXN102" s="53"/>
      <c r="BXO102" s="53"/>
      <c r="BXP102" s="53"/>
      <c r="BXQ102" s="53"/>
      <c r="BXR102" s="53"/>
      <c r="BXS102" s="53"/>
      <c r="BXT102" s="53"/>
      <c r="BXU102" s="53"/>
      <c r="BXV102" s="53"/>
      <c r="BXW102" s="53"/>
      <c r="BXX102" s="53"/>
      <c r="BXY102" s="53"/>
      <c r="BXZ102" s="53"/>
      <c r="BYA102" s="53"/>
      <c r="BYB102" s="53"/>
      <c r="BYC102" s="53"/>
      <c r="BYD102" s="53"/>
      <c r="BYE102" s="53"/>
      <c r="BYF102" s="53"/>
      <c r="BYG102" s="53"/>
      <c r="BYH102" s="53"/>
      <c r="BYI102" s="53"/>
      <c r="BYJ102" s="53"/>
      <c r="BYK102" s="53"/>
      <c r="BYL102" s="53"/>
      <c r="BYM102" s="53"/>
      <c r="BYN102" s="53"/>
      <c r="BYO102" s="53"/>
      <c r="BYP102" s="53"/>
      <c r="BYQ102" s="53"/>
      <c r="BYR102" s="53"/>
      <c r="BYS102" s="53"/>
      <c r="BYT102" s="53"/>
      <c r="BYU102" s="53"/>
      <c r="BYV102" s="53"/>
      <c r="BYW102" s="53"/>
      <c r="BYX102" s="53"/>
      <c r="BYY102" s="53"/>
      <c r="BYZ102" s="53"/>
      <c r="BZA102" s="53"/>
      <c r="BZB102" s="53"/>
      <c r="BZC102" s="53"/>
      <c r="BZD102" s="53"/>
      <c r="BZE102" s="53"/>
      <c r="BZF102" s="53"/>
      <c r="BZG102" s="53"/>
      <c r="BZH102" s="53"/>
      <c r="BZI102" s="53"/>
      <c r="BZJ102" s="53"/>
      <c r="BZK102" s="53"/>
      <c r="BZL102" s="53"/>
      <c r="BZM102" s="53"/>
      <c r="BZN102" s="53"/>
      <c r="BZO102" s="53"/>
      <c r="BZP102" s="53"/>
      <c r="BZQ102" s="53"/>
      <c r="BZR102" s="53"/>
      <c r="BZS102" s="53"/>
      <c r="BZT102" s="53"/>
      <c r="BZU102" s="53"/>
      <c r="BZV102" s="53"/>
      <c r="BZW102" s="53"/>
      <c r="BZX102" s="53"/>
      <c r="BZY102" s="53"/>
      <c r="BZZ102" s="53"/>
      <c r="CAA102" s="53"/>
      <c r="CAB102" s="53"/>
      <c r="CAC102" s="53"/>
      <c r="CAD102" s="53"/>
      <c r="CAE102" s="53"/>
      <c r="CAF102" s="53"/>
      <c r="CAG102" s="53"/>
      <c r="CAH102" s="53"/>
      <c r="CAI102" s="53"/>
      <c r="CAJ102" s="53"/>
      <c r="CAK102" s="53"/>
      <c r="CAL102" s="53"/>
      <c r="CAM102" s="53"/>
      <c r="CAN102" s="53"/>
      <c r="CAO102" s="53"/>
      <c r="CAP102" s="53"/>
      <c r="CAQ102" s="53"/>
      <c r="CAR102" s="53"/>
      <c r="CAS102" s="53"/>
      <c r="CAT102" s="53"/>
      <c r="CAU102" s="53"/>
      <c r="CAV102" s="53"/>
      <c r="CAW102" s="53"/>
      <c r="CAX102" s="53"/>
      <c r="CAY102" s="53"/>
      <c r="CAZ102" s="53"/>
      <c r="CBA102" s="53"/>
      <c r="CBB102" s="53"/>
      <c r="CBC102" s="53"/>
      <c r="CBD102" s="53"/>
      <c r="CBE102" s="53"/>
      <c r="CBF102" s="53"/>
      <c r="CBG102" s="53"/>
      <c r="CBH102" s="53"/>
      <c r="CBI102" s="53"/>
      <c r="CBJ102" s="53"/>
      <c r="CBK102" s="53"/>
      <c r="CBL102" s="53"/>
      <c r="CBM102" s="53"/>
      <c r="CBN102" s="53"/>
      <c r="CBO102" s="53"/>
      <c r="CBP102" s="53"/>
      <c r="CBQ102" s="53"/>
      <c r="CBR102" s="53"/>
      <c r="CBS102" s="53"/>
      <c r="CBT102" s="53"/>
      <c r="CBU102" s="53"/>
      <c r="CBV102" s="53"/>
      <c r="CBW102" s="53"/>
      <c r="CBX102" s="53"/>
      <c r="CBY102" s="53"/>
      <c r="CBZ102" s="53"/>
      <c r="CCA102" s="53"/>
      <c r="CCB102" s="53"/>
      <c r="CCC102" s="53"/>
      <c r="CCD102" s="53"/>
      <c r="CCE102" s="53"/>
      <c r="CCF102" s="53"/>
      <c r="CCG102" s="53"/>
      <c r="CCH102" s="53"/>
      <c r="CCI102" s="53"/>
      <c r="CCJ102" s="53"/>
      <c r="CCK102" s="53"/>
      <c r="CCL102" s="53"/>
      <c r="CCM102" s="53"/>
      <c r="CCN102" s="53"/>
      <c r="CCO102" s="53"/>
      <c r="CCP102" s="53"/>
      <c r="CCQ102" s="53"/>
      <c r="CCR102" s="53"/>
      <c r="CCS102" s="53"/>
      <c r="CCT102" s="53"/>
      <c r="CCU102" s="53"/>
      <c r="CCV102" s="53"/>
      <c r="CCW102" s="53"/>
      <c r="CCX102" s="53"/>
      <c r="CCY102" s="53"/>
      <c r="CCZ102" s="53"/>
      <c r="CDA102" s="53"/>
      <c r="CDB102" s="53"/>
      <c r="CDC102" s="53"/>
      <c r="CDD102" s="53"/>
      <c r="CDE102" s="53"/>
      <c r="CDF102" s="53"/>
      <c r="CDG102" s="53"/>
      <c r="CDH102" s="53"/>
      <c r="CDI102" s="53"/>
      <c r="CDJ102" s="53"/>
      <c r="CDK102" s="53"/>
      <c r="CDL102" s="53"/>
      <c r="CDM102" s="53"/>
      <c r="CDN102" s="53"/>
      <c r="CDO102" s="53"/>
      <c r="CDP102" s="53"/>
      <c r="CDQ102" s="53"/>
      <c r="CDR102" s="53"/>
      <c r="CDS102" s="53"/>
      <c r="CDT102" s="53"/>
      <c r="CDU102" s="53"/>
      <c r="CDV102" s="53"/>
      <c r="CDW102" s="53"/>
      <c r="CDX102" s="53"/>
      <c r="CDY102" s="53"/>
      <c r="CDZ102" s="53"/>
      <c r="CEA102" s="53"/>
      <c r="CEB102" s="53"/>
      <c r="CEC102" s="53"/>
      <c r="CED102" s="53"/>
      <c r="CEE102" s="53"/>
      <c r="CEF102" s="53"/>
      <c r="CEG102" s="53"/>
      <c r="CEH102" s="53"/>
      <c r="CEI102" s="53"/>
      <c r="CEJ102" s="53"/>
      <c r="CEK102" s="53"/>
      <c r="CEL102" s="53"/>
      <c r="CEM102" s="53"/>
      <c r="CEN102" s="53"/>
      <c r="CEO102" s="53"/>
      <c r="CEP102" s="53"/>
      <c r="CEQ102" s="53"/>
      <c r="CER102" s="53"/>
      <c r="CES102" s="53"/>
      <c r="CET102" s="53"/>
      <c r="CEU102" s="53"/>
      <c r="CEV102" s="53"/>
      <c r="CEW102" s="53"/>
      <c r="CEX102" s="53"/>
      <c r="CEY102" s="53"/>
      <c r="CEZ102" s="53"/>
      <c r="CFA102" s="53"/>
      <c r="CFB102" s="53"/>
      <c r="CFC102" s="53"/>
      <c r="CFD102" s="53"/>
      <c r="CFE102" s="53"/>
      <c r="CFF102" s="53"/>
      <c r="CFG102" s="53"/>
      <c r="CFH102" s="53"/>
      <c r="CFI102" s="53"/>
      <c r="CFJ102" s="53"/>
      <c r="CFK102" s="53"/>
      <c r="CFL102" s="53"/>
      <c r="CFM102" s="53"/>
      <c r="CFN102" s="53"/>
      <c r="CFO102" s="53"/>
      <c r="CFP102" s="53"/>
      <c r="CFQ102" s="53"/>
      <c r="CFR102" s="53"/>
      <c r="CFS102" s="53"/>
      <c r="CFT102" s="53"/>
      <c r="CFU102" s="53"/>
      <c r="CFV102" s="53"/>
      <c r="CFW102" s="53"/>
      <c r="CFX102" s="53"/>
      <c r="CFY102" s="53"/>
      <c r="CFZ102" s="53"/>
      <c r="CGA102" s="53"/>
      <c r="CGB102" s="53"/>
      <c r="CGC102" s="53"/>
      <c r="CGD102" s="53"/>
      <c r="CGE102" s="53"/>
      <c r="CGF102" s="53"/>
      <c r="CGG102" s="53"/>
      <c r="CGH102" s="53"/>
      <c r="CGI102" s="53"/>
      <c r="CGJ102" s="53"/>
      <c r="CGK102" s="53"/>
      <c r="CGL102" s="53"/>
      <c r="CGM102" s="53"/>
      <c r="CGN102" s="53"/>
      <c r="CGO102" s="53"/>
      <c r="CGP102" s="53"/>
      <c r="CGQ102" s="53"/>
      <c r="CGR102" s="53"/>
      <c r="CGS102" s="53"/>
      <c r="CGT102" s="53"/>
      <c r="CGU102" s="53"/>
      <c r="CGV102" s="53"/>
      <c r="CGW102" s="53"/>
      <c r="CGX102" s="53"/>
      <c r="CGY102" s="53"/>
      <c r="CGZ102" s="53"/>
      <c r="CHA102" s="53"/>
      <c r="CHB102" s="53"/>
      <c r="CHC102" s="53"/>
      <c r="CHD102" s="53"/>
      <c r="CHE102" s="53"/>
      <c r="CHF102" s="53"/>
      <c r="CHG102" s="53"/>
      <c r="CHH102" s="53"/>
      <c r="CHI102" s="53"/>
      <c r="CHJ102" s="53"/>
      <c r="CHK102" s="53"/>
      <c r="CHL102" s="53"/>
      <c r="CHM102" s="53"/>
      <c r="CHN102" s="53"/>
      <c r="CHO102" s="53"/>
      <c r="CHP102" s="53"/>
      <c r="CHQ102" s="53"/>
      <c r="CHR102" s="53"/>
      <c r="CHS102" s="53"/>
      <c r="CHT102" s="53"/>
      <c r="CHU102" s="53"/>
      <c r="CHV102" s="53"/>
      <c r="CHW102" s="53"/>
      <c r="CHX102" s="53"/>
      <c r="CHY102" s="53"/>
      <c r="CHZ102" s="53"/>
      <c r="CIA102" s="53"/>
      <c r="CIB102" s="53"/>
      <c r="CIC102" s="53"/>
      <c r="CID102" s="53"/>
      <c r="CIE102" s="53"/>
      <c r="CIF102" s="53"/>
      <c r="CIG102" s="53"/>
      <c r="CIH102" s="53"/>
      <c r="CII102" s="53"/>
      <c r="CIJ102" s="53"/>
      <c r="CIK102" s="53"/>
      <c r="CIL102" s="53"/>
      <c r="CIM102" s="53"/>
      <c r="CIN102" s="53"/>
      <c r="CIO102" s="53"/>
      <c r="CIP102" s="53"/>
      <c r="CIQ102" s="53"/>
      <c r="CIR102" s="53"/>
      <c r="CIS102" s="53"/>
      <c r="CIT102" s="53"/>
      <c r="CIU102" s="53"/>
      <c r="CIV102" s="53"/>
      <c r="CIW102" s="53"/>
      <c r="CIX102" s="53"/>
      <c r="CIY102" s="53"/>
      <c r="CIZ102" s="53"/>
      <c r="CJA102" s="53"/>
      <c r="CJB102" s="53"/>
      <c r="CJC102" s="53"/>
      <c r="CJD102" s="53"/>
      <c r="CJE102" s="53"/>
      <c r="CJF102" s="53"/>
      <c r="CJG102" s="53"/>
      <c r="CJH102" s="53"/>
      <c r="CJI102" s="53"/>
      <c r="CJJ102" s="53"/>
      <c r="CJK102" s="53"/>
      <c r="CJL102" s="53"/>
      <c r="CJM102" s="53"/>
      <c r="CJN102" s="53"/>
      <c r="CJO102" s="53"/>
      <c r="CJP102" s="53"/>
      <c r="CJQ102" s="53"/>
      <c r="CJR102" s="53"/>
      <c r="CJS102" s="53"/>
      <c r="CJT102" s="53"/>
      <c r="CJU102" s="53"/>
      <c r="CJV102" s="53"/>
      <c r="CJW102" s="53"/>
      <c r="CJX102" s="53"/>
      <c r="CJY102" s="53"/>
      <c r="CJZ102" s="53"/>
      <c r="CKA102" s="53"/>
      <c r="CKB102" s="53"/>
      <c r="CKC102" s="53"/>
      <c r="CKD102" s="53"/>
      <c r="CKE102" s="53"/>
      <c r="CKF102" s="53"/>
      <c r="CKG102" s="53"/>
      <c r="CKH102" s="53"/>
      <c r="CKI102" s="53"/>
      <c r="CKJ102" s="53"/>
      <c r="CKK102" s="53"/>
      <c r="CKL102" s="53"/>
      <c r="CKM102" s="53"/>
      <c r="CKN102" s="53"/>
      <c r="CKO102" s="53"/>
      <c r="CKP102" s="53"/>
      <c r="CKQ102" s="53"/>
      <c r="CKR102" s="53"/>
      <c r="CKS102" s="53"/>
      <c r="CKT102" s="53"/>
      <c r="CKU102" s="53"/>
      <c r="CKV102" s="53"/>
      <c r="CKW102" s="53"/>
      <c r="CKX102" s="53"/>
      <c r="CKY102" s="53"/>
      <c r="CKZ102" s="53"/>
      <c r="CLA102" s="53"/>
      <c r="CLB102" s="53"/>
      <c r="CLC102" s="53"/>
      <c r="CLD102" s="53"/>
      <c r="CLE102" s="53"/>
      <c r="CLF102" s="53"/>
      <c r="CLG102" s="53"/>
      <c r="CLH102" s="53"/>
      <c r="CLI102" s="53"/>
      <c r="CLJ102" s="53"/>
      <c r="CLK102" s="53"/>
      <c r="CLL102" s="53"/>
      <c r="CLM102" s="53"/>
      <c r="CLN102" s="53"/>
      <c r="CLO102" s="53"/>
      <c r="CLP102" s="53"/>
      <c r="CLQ102" s="53"/>
      <c r="CLR102" s="53"/>
      <c r="CLS102" s="53"/>
      <c r="CLT102" s="53"/>
      <c r="CLU102" s="53"/>
      <c r="CLV102" s="53"/>
      <c r="CLW102" s="53"/>
      <c r="CLX102" s="53"/>
      <c r="CLY102" s="53"/>
      <c r="CLZ102" s="53"/>
      <c r="CMA102" s="53"/>
      <c r="CMB102" s="53"/>
      <c r="CMC102" s="53"/>
      <c r="CMD102" s="53"/>
      <c r="CME102" s="53"/>
      <c r="CMF102" s="53"/>
      <c r="CMG102" s="53"/>
      <c r="CMH102" s="53"/>
      <c r="CMI102" s="53"/>
      <c r="CMJ102" s="53"/>
      <c r="CMK102" s="53"/>
      <c r="CML102" s="53"/>
      <c r="CMM102" s="53"/>
      <c r="CMN102" s="53"/>
      <c r="CMO102" s="53"/>
      <c r="CMP102" s="53"/>
      <c r="CMQ102" s="53"/>
      <c r="CMR102" s="53"/>
      <c r="CMS102" s="53"/>
      <c r="CMT102" s="53"/>
      <c r="CMU102" s="53"/>
      <c r="CMV102" s="53"/>
      <c r="CMW102" s="53"/>
      <c r="CMX102" s="53"/>
      <c r="CMY102" s="53"/>
      <c r="CMZ102" s="53"/>
      <c r="CNA102" s="53"/>
      <c r="CNB102" s="53"/>
      <c r="CNC102" s="53"/>
      <c r="CND102" s="53"/>
      <c r="CNE102" s="53"/>
      <c r="CNF102" s="53"/>
      <c r="CNG102" s="53"/>
      <c r="CNH102" s="53"/>
      <c r="CNI102" s="53"/>
      <c r="CNJ102" s="53"/>
      <c r="CNK102" s="53"/>
      <c r="CNL102" s="53"/>
      <c r="CNM102" s="53"/>
      <c r="CNN102" s="53"/>
      <c r="CNO102" s="53"/>
      <c r="CNP102" s="53"/>
      <c r="CNQ102" s="53"/>
      <c r="CNR102" s="53"/>
      <c r="CNS102" s="53"/>
      <c r="CNT102" s="53"/>
      <c r="CNU102" s="53"/>
      <c r="CNV102" s="53"/>
      <c r="CNW102" s="53"/>
      <c r="CNX102" s="53"/>
      <c r="CNY102" s="53"/>
      <c r="CNZ102" s="53"/>
      <c r="COA102" s="53"/>
      <c r="COB102" s="53"/>
      <c r="COC102" s="53"/>
      <c r="COD102" s="53"/>
      <c r="COE102" s="53"/>
      <c r="COF102" s="53"/>
      <c r="COG102" s="53"/>
      <c r="COH102" s="53"/>
      <c r="COI102" s="53"/>
      <c r="COJ102" s="53"/>
      <c r="COK102" s="53"/>
      <c r="COL102" s="53"/>
      <c r="COM102" s="53"/>
      <c r="CON102" s="53"/>
      <c r="COO102" s="53"/>
      <c r="COP102" s="53"/>
      <c r="COQ102" s="53"/>
      <c r="COR102" s="53"/>
      <c r="COS102" s="53"/>
      <c r="COT102" s="53"/>
      <c r="COU102" s="53"/>
      <c r="COV102" s="53"/>
      <c r="COW102" s="53"/>
      <c r="COX102" s="53"/>
      <c r="COY102" s="53"/>
      <c r="COZ102" s="53"/>
      <c r="CPA102" s="53"/>
      <c r="CPB102" s="53"/>
      <c r="CPC102" s="53"/>
      <c r="CPD102" s="53"/>
      <c r="CPE102" s="53"/>
      <c r="CPF102" s="53"/>
      <c r="CPG102" s="53"/>
      <c r="CPH102" s="53"/>
      <c r="CPI102" s="53"/>
      <c r="CPJ102" s="53"/>
      <c r="CPK102" s="53"/>
      <c r="CPL102" s="53"/>
      <c r="CPM102" s="53"/>
      <c r="CPN102" s="53"/>
      <c r="CPO102" s="53"/>
      <c r="CPP102" s="53"/>
      <c r="CPQ102" s="53"/>
      <c r="CPR102" s="53"/>
      <c r="CPS102" s="53"/>
      <c r="CPT102" s="53"/>
      <c r="CPU102" s="53"/>
      <c r="CPV102" s="53"/>
      <c r="CPW102" s="53"/>
      <c r="CPX102" s="53"/>
      <c r="CPY102" s="53"/>
      <c r="CPZ102" s="53"/>
      <c r="CQA102" s="53"/>
      <c r="CQB102" s="53"/>
      <c r="CQC102" s="53"/>
      <c r="CQD102" s="53"/>
      <c r="CQE102" s="53"/>
      <c r="CQF102" s="53"/>
      <c r="CQG102" s="53"/>
      <c r="CQH102" s="53"/>
      <c r="CQI102" s="53"/>
      <c r="CQJ102" s="53"/>
      <c r="CQK102" s="53"/>
      <c r="CQL102" s="53"/>
      <c r="CQM102" s="53"/>
      <c r="CQN102" s="53"/>
      <c r="CQO102" s="53"/>
      <c r="CQP102" s="53"/>
      <c r="CQQ102" s="53"/>
      <c r="CQR102" s="53"/>
      <c r="CQS102" s="53"/>
      <c r="CQT102" s="53"/>
      <c r="CQU102" s="53"/>
      <c r="CQV102" s="53"/>
      <c r="CQW102" s="53"/>
      <c r="CQX102" s="53"/>
      <c r="CQY102" s="53"/>
      <c r="CQZ102" s="53"/>
      <c r="CRA102" s="53"/>
      <c r="CRB102" s="53"/>
      <c r="CRC102" s="53"/>
      <c r="CRD102" s="53"/>
      <c r="CRE102" s="53"/>
      <c r="CRF102" s="53"/>
      <c r="CRG102" s="53"/>
      <c r="CRH102" s="53"/>
      <c r="CRI102" s="53"/>
      <c r="CRJ102" s="53"/>
      <c r="CRK102" s="53"/>
      <c r="CRL102" s="53"/>
      <c r="CRM102" s="53"/>
      <c r="CRN102" s="53"/>
      <c r="CRO102" s="53"/>
      <c r="CRP102" s="53"/>
      <c r="CRQ102" s="53"/>
      <c r="CRR102" s="53"/>
      <c r="CRS102" s="53"/>
      <c r="CRT102" s="53"/>
      <c r="CRU102" s="53"/>
      <c r="CRV102" s="53"/>
      <c r="CRW102" s="53"/>
      <c r="CRX102" s="53"/>
      <c r="CRY102" s="53"/>
      <c r="CRZ102" s="53"/>
      <c r="CSA102" s="53"/>
      <c r="CSB102" s="53"/>
      <c r="CSC102" s="53"/>
      <c r="CSD102" s="53"/>
      <c r="CSE102" s="53"/>
      <c r="CSF102" s="53"/>
      <c r="CSG102" s="53"/>
      <c r="CSH102" s="53"/>
      <c r="CSI102" s="53"/>
      <c r="CSJ102" s="53"/>
      <c r="CSK102" s="53"/>
      <c r="CSL102" s="53"/>
      <c r="CSM102" s="53"/>
      <c r="CSN102" s="53"/>
      <c r="CSO102" s="53"/>
      <c r="CSP102" s="53"/>
      <c r="CSQ102" s="53"/>
      <c r="CSR102" s="53"/>
      <c r="CSS102" s="53"/>
      <c r="CST102" s="53"/>
      <c r="CSU102" s="53"/>
      <c r="CSV102" s="53"/>
      <c r="CSW102" s="53"/>
      <c r="CSX102" s="53"/>
      <c r="CSY102" s="53"/>
      <c r="CSZ102" s="53"/>
      <c r="CTA102" s="53"/>
      <c r="CTB102" s="53"/>
      <c r="CTC102" s="53"/>
      <c r="CTD102" s="53"/>
      <c r="CTE102" s="53"/>
      <c r="CTF102" s="53"/>
      <c r="CTG102" s="53"/>
      <c r="CTH102" s="53"/>
      <c r="CTI102" s="53"/>
      <c r="CTJ102" s="53"/>
      <c r="CTK102" s="53"/>
      <c r="CTL102" s="53"/>
      <c r="CTM102" s="53"/>
      <c r="CTN102" s="53"/>
      <c r="CTO102" s="53"/>
      <c r="CTP102" s="53"/>
      <c r="CTQ102" s="53"/>
      <c r="CTR102" s="53"/>
      <c r="CTS102" s="53"/>
      <c r="CTT102" s="53"/>
      <c r="CTU102" s="53"/>
      <c r="CTV102" s="53"/>
      <c r="CTW102" s="53"/>
      <c r="CTX102" s="53"/>
      <c r="CTY102" s="53"/>
      <c r="CTZ102" s="53"/>
      <c r="CUA102" s="53"/>
      <c r="CUB102" s="53"/>
      <c r="CUC102" s="53"/>
      <c r="CUD102" s="53"/>
      <c r="CUE102" s="53"/>
      <c r="CUF102" s="53"/>
      <c r="CUG102" s="53"/>
      <c r="CUH102" s="53"/>
      <c r="CUI102" s="53"/>
      <c r="CUJ102" s="53"/>
      <c r="CUK102" s="53"/>
      <c r="CUL102" s="53"/>
      <c r="CUM102" s="53"/>
      <c r="CUN102" s="53"/>
      <c r="CUO102" s="53"/>
      <c r="CUP102" s="53"/>
      <c r="CUQ102" s="53"/>
      <c r="CUR102" s="53"/>
      <c r="CUS102" s="53"/>
      <c r="CUT102" s="53"/>
      <c r="CUU102" s="53"/>
      <c r="CUV102" s="53"/>
      <c r="CUW102" s="53"/>
      <c r="CUX102" s="53"/>
      <c r="CUY102" s="53"/>
      <c r="CUZ102" s="53"/>
      <c r="CVA102" s="53"/>
      <c r="CVB102" s="53"/>
      <c r="CVC102" s="53"/>
      <c r="CVD102" s="53"/>
      <c r="CVE102" s="53"/>
      <c r="CVF102" s="53"/>
      <c r="CVG102" s="53"/>
      <c r="CVH102" s="53"/>
      <c r="CVI102" s="53"/>
      <c r="CVJ102" s="53"/>
      <c r="CVK102" s="53"/>
      <c r="CVL102" s="53"/>
      <c r="CVM102" s="53"/>
      <c r="CVN102" s="53"/>
      <c r="CVO102" s="53"/>
      <c r="CVP102" s="53"/>
      <c r="CVQ102" s="53"/>
      <c r="CVR102" s="53"/>
      <c r="CVS102" s="53"/>
      <c r="CVT102" s="53"/>
      <c r="CVU102" s="53"/>
      <c r="CVV102" s="53"/>
      <c r="CVW102" s="53"/>
      <c r="CVX102" s="53"/>
      <c r="CVY102" s="53"/>
      <c r="CVZ102" s="53"/>
      <c r="CWA102" s="53"/>
      <c r="CWB102" s="53"/>
      <c r="CWC102" s="53"/>
      <c r="CWD102" s="53"/>
      <c r="CWE102" s="53"/>
      <c r="CWF102" s="53"/>
      <c r="CWG102" s="53"/>
      <c r="CWH102" s="53"/>
      <c r="CWI102" s="53"/>
      <c r="CWJ102" s="53"/>
      <c r="CWK102" s="53"/>
      <c r="CWL102" s="53"/>
      <c r="CWM102" s="53"/>
      <c r="CWN102" s="53"/>
      <c r="CWO102" s="53"/>
      <c r="CWP102" s="53"/>
      <c r="CWQ102" s="53"/>
      <c r="CWR102" s="53"/>
      <c r="CWS102" s="53"/>
      <c r="CWT102" s="53"/>
      <c r="CWU102" s="53"/>
      <c r="CWV102" s="53"/>
      <c r="CWW102" s="53"/>
      <c r="CWX102" s="53"/>
      <c r="CWY102" s="53"/>
      <c r="CWZ102" s="53"/>
      <c r="CXA102" s="53"/>
      <c r="CXB102" s="53"/>
      <c r="CXC102" s="53"/>
      <c r="CXD102" s="53"/>
      <c r="CXE102" s="53"/>
      <c r="CXF102" s="53"/>
      <c r="CXG102" s="53"/>
      <c r="CXH102" s="53"/>
      <c r="CXI102" s="53"/>
      <c r="CXJ102" s="53"/>
      <c r="CXK102" s="53"/>
      <c r="CXL102" s="53"/>
      <c r="CXM102" s="53"/>
      <c r="CXN102" s="53"/>
      <c r="CXO102" s="53"/>
      <c r="CXP102" s="53"/>
      <c r="CXQ102" s="53"/>
      <c r="CXR102" s="53"/>
      <c r="CXS102" s="53"/>
      <c r="CXT102" s="53"/>
      <c r="CXU102" s="53"/>
      <c r="CXV102" s="53"/>
      <c r="CXW102" s="53"/>
      <c r="CXX102" s="53"/>
      <c r="CXY102" s="53"/>
      <c r="CXZ102" s="53"/>
      <c r="CYA102" s="53"/>
      <c r="CYB102" s="53"/>
      <c r="CYC102" s="53"/>
      <c r="CYD102" s="53"/>
      <c r="CYE102" s="53"/>
      <c r="CYF102" s="53"/>
      <c r="CYG102" s="53"/>
      <c r="CYH102" s="53"/>
      <c r="CYI102" s="53"/>
      <c r="CYJ102" s="53"/>
      <c r="CYK102" s="53"/>
      <c r="CYL102" s="53"/>
      <c r="CYM102" s="53"/>
      <c r="CYN102" s="53"/>
      <c r="CYO102" s="53"/>
      <c r="CYP102" s="53"/>
      <c r="CYQ102" s="53"/>
      <c r="CYR102" s="53"/>
      <c r="CYS102" s="53"/>
      <c r="CYT102" s="53"/>
      <c r="CYU102" s="53"/>
      <c r="CYV102" s="53"/>
      <c r="CYW102" s="53"/>
      <c r="CYX102" s="53"/>
      <c r="CYY102" s="53"/>
      <c r="CYZ102" s="53"/>
      <c r="CZA102" s="53"/>
      <c r="CZB102" s="53"/>
      <c r="CZC102" s="53"/>
      <c r="CZD102" s="53"/>
      <c r="CZE102" s="53"/>
      <c r="CZF102" s="53"/>
      <c r="CZG102" s="53"/>
      <c r="CZH102" s="53"/>
      <c r="CZI102" s="53"/>
      <c r="CZJ102" s="53"/>
      <c r="CZK102" s="53"/>
      <c r="CZL102" s="53"/>
      <c r="CZM102" s="53"/>
      <c r="CZN102" s="53"/>
      <c r="CZO102" s="53"/>
      <c r="CZP102" s="53"/>
      <c r="CZQ102" s="53"/>
      <c r="CZR102" s="53"/>
      <c r="CZS102" s="53"/>
      <c r="CZT102" s="53"/>
      <c r="CZU102" s="53"/>
      <c r="CZV102" s="53"/>
      <c r="CZW102" s="53"/>
      <c r="CZX102" s="53"/>
      <c r="CZY102" s="53"/>
      <c r="CZZ102" s="53"/>
      <c r="DAA102" s="53"/>
      <c r="DAB102" s="53"/>
      <c r="DAC102" s="53"/>
      <c r="DAD102" s="53"/>
      <c r="DAE102" s="53"/>
      <c r="DAF102" s="53"/>
      <c r="DAG102" s="53"/>
      <c r="DAH102" s="53"/>
      <c r="DAI102" s="53"/>
      <c r="DAJ102" s="53"/>
      <c r="DAK102" s="53"/>
      <c r="DAL102" s="53"/>
      <c r="DAM102" s="53"/>
      <c r="DAN102" s="53"/>
      <c r="DAO102" s="53"/>
      <c r="DAP102" s="53"/>
      <c r="DAQ102" s="53"/>
      <c r="DAR102" s="53"/>
      <c r="DAS102" s="53"/>
      <c r="DAT102" s="53"/>
      <c r="DAU102" s="53"/>
      <c r="DAV102" s="53"/>
      <c r="DAW102" s="53"/>
      <c r="DAX102" s="53"/>
      <c r="DAY102" s="53"/>
      <c r="DAZ102" s="53"/>
      <c r="DBA102" s="53"/>
      <c r="DBB102" s="53"/>
      <c r="DBC102" s="53"/>
      <c r="DBD102" s="53"/>
      <c r="DBE102" s="53"/>
      <c r="DBF102" s="53"/>
      <c r="DBG102" s="53"/>
      <c r="DBH102" s="53"/>
      <c r="DBI102" s="53"/>
      <c r="DBJ102" s="53"/>
      <c r="DBK102" s="53"/>
      <c r="DBL102" s="53"/>
      <c r="DBM102" s="53"/>
      <c r="DBN102" s="53"/>
      <c r="DBO102" s="53"/>
      <c r="DBP102" s="53"/>
      <c r="DBQ102" s="53"/>
      <c r="DBR102" s="53"/>
      <c r="DBS102" s="53"/>
      <c r="DBT102" s="53"/>
      <c r="DBU102" s="53"/>
      <c r="DBV102" s="53"/>
      <c r="DBW102" s="53"/>
      <c r="DBX102" s="53"/>
      <c r="DBY102" s="53"/>
      <c r="DBZ102" s="53"/>
      <c r="DCA102" s="53"/>
      <c r="DCB102" s="53"/>
      <c r="DCC102" s="53"/>
      <c r="DCD102" s="53"/>
      <c r="DCE102" s="53"/>
      <c r="DCF102" s="53"/>
      <c r="DCG102" s="53"/>
      <c r="DCH102" s="53"/>
      <c r="DCI102" s="53"/>
      <c r="DCJ102" s="53"/>
      <c r="DCK102" s="53"/>
      <c r="DCL102" s="53"/>
      <c r="DCM102" s="53"/>
      <c r="DCN102" s="53"/>
      <c r="DCO102" s="53"/>
      <c r="DCP102" s="53"/>
      <c r="DCQ102" s="53"/>
      <c r="DCR102" s="53"/>
      <c r="DCS102" s="53"/>
      <c r="DCT102" s="53"/>
      <c r="DCU102" s="53"/>
      <c r="DCV102" s="53"/>
      <c r="DCW102" s="53"/>
      <c r="DCX102" s="53"/>
      <c r="DCY102" s="53"/>
      <c r="DCZ102" s="53"/>
      <c r="DDA102" s="53"/>
      <c r="DDB102" s="53"/>
      <c r="DDC102" s="53"/>
      <c r="DDD102" s="53"/>
      <c r="DDE102" s="53"/>
      <c r="DDF102" s="53"/>
      <c r="DDG102" s="53"/>
      <c r="DDH102" s="53"/>
      <c r="DDI102" s="53"/>
      <c r="DDJ102" s="53"/>
      <c r="DDK102" s="53"/>
      <c r="DDL102" s="53"/>
      <c r="DDM102" s="53"/>
      <c r="DDN102" s="53"/>
      <c r="DDO102" s="53"/>
      <c r="DDP102" s="53"/>
      <c r="DDQ102" s="53"/>
      <c r="DDR102" s="53"/>
      <c r="DDS102" s="53"/>
      <c r="DDT102" s="53"/>
      <c r="DDU102" s="53"/>
      <c r="DDV102" s="53"/>
      <c r="DDW102" s="53"/>
      <c r="DDX102" s="53"/>
      <c r="DDY102" s="53"/>
      <c r="DDZ102" s="53"/>
      <c r="DEA102" s="53"/>
      <c r="DEB102" s="53"/>
      <c r="DEC102" s="53"/>
      <c r="DED102" s="53"/>
      <c r="DEE102" s="53"/>
      <c r="DEF102" s="53"/>
      <c r="DEG102" s="53"/>
      <c r="DEH102" s="53"/>
      <c r="DEI102" s="53"/>
      <c r="DEJ102" s="53"/>
      <c r="DEK102" s="53"/>
      <c r="DEL102" s="53"/>
      <c r="DEM102" s="53"/>
      <c r="DEN102" s="53"/>
      <c r="DEO102" s="53"/>
      <c r="DEP102" s="53"/>
      <c r="DEQ102" s="53"/>
      <c r="DER102" s="53"/>
      <c r="DES102" s="53"/>
      <c r="DET102" s="53"/>
      <c r="DEU102" s="53"/>
      <c r="DEV102" s="53"/>
      <c r="DEW102" s="53"/>
      <c r="DEX102" s="53"/>
      <c r="DEY102" s="53"/>
      <c r="DEZ102" s="53"/>
      <c r="DFA102" s="53"/>
      <c r="DFB102" s="53"/>
      <c r="DFC102" s="53"/>
      <c r="DFD102" s="53"/>
      <c r="DFE102" s="53"/>
      <c r="DFF102" s="53"/>
      <c r="DFG102" s="53"/>
      <c r="DFH102" s="53"/>
      <c r="DFI102" s="53"/>
      <c r="DFJ102" s="53"/>
      <c r="DFK102" s="53"/>
      <c r="DFL102" s="53"/>
      <c r="DFM102" s="53"/>
      <c r="DFN102" s="53"/>
      <c r="DFO102" s="53"/>
      <c r="DFP102" s="53"/>
      <c r="DFQ102" s="53"/>
      <c r="DFR102" s="53"/>
      <c r="DFS102" s="53"/>
      <c r="DFT102" s="53"/>
      <c r="DFU102" s="53"/>
      <c r="DFV102" s="53"/>
      <c r="DFW102" s="53"/>
      <c r="DFX102" s="53"/>
      <c r="DFY102" s="53"/>
      <c r="DFZ102" s="53"/>
      <c r="DGA102" s="53"/>
      <c r="DGB102" s="53"/>
      <c r="DGC102" s="53"/>
      <c r="DGD102" s="53"/>
      <c r="DGE102" s="53"/>
      <c r="DGF102" s="53"/>
      <c r="DGG102" s="53"/>
      <c r="DGH102" s="53"/>
      <c r="DGI102" s="53"/>
      <c r="DGJ102" s="53"/>
      <c r="DGK102" s="53"/>
      <c r="DGL102" s="53"/>
      <c r="DGM102" s="53"/>
      <c r="DGN102" s="53"/>
      <c r="DGO102" s="53"/>
      <c r="DGP102" s="53"/>
      <c r="DGQ102" s="53"/>
      <c r="DGR102" s="53"/>
      <c r="DGS102" s="53"/>
      <c r="DGT102" s="53"/>
      <c r="DGU102" s="53"/>
      <c r="DGV102" s="53"/>
      <c r="DGW102" s="53"/>
      <c r="DGX102" s="53"/>
      <c r="DGY102" s="53"/>
      <c r="DGZ102" s="53"/>
      <c r="DHA102" s="53"/>
      <c r="DHB102" s="53"/>
      <c r="DHC102" s="53"/>
      <c r="DHD102" s="53"/>
      <c r="DHE102" s="53"/>
      <c r="DHF102" s="53"/>
      <c r="DHG102" s="53"/>
      <c r="DHH102" s="53"/>
      <c r="DHI102" s="53"/>
      <c r="DHJ102" s="53"/>
      <c r="DHK102" s="53"/>
      <c r="DHL102" s="53"/>
      <c r="DHM102" s="53"/>
      <c r="DHN102" s="53"/>
      <c r="DHO102" s="53"/>
      <c r="DHP102" s="53"/>
      <c r="DHQ102" s="53"/>
      <c r="DHR102" s="53"/>
      <c r="DHS102" s="53"/>
      <c r="DHT102" s="53"/>
      <c r="DHU102" s="53"/>
      <c r="DHV102" s="53"/>
      <c r="DHW102" s="53"/>
      <c r="DHX102" s="53"/>
      <c r="DHY102" s="53"/>
      <c r="DHZ102" s="53"/>
      <c r="DIA102" s="53"/>
      <c r="DIB102" s="53"/>
      <c r="DIC102" s="53"/>
      <c r="DID102" s="53"/>
      <c r="DIE102" s="53"/>
      <c r="DIF102" s="53"/>
      <c r="DIG102" s="53"/>
      <c r="DIH102" s="53"/>
      <c r="DII102" s="53"/>
      <c r="DIJ102" s="53"/>
      <c r="DIK102" s="53"/>
      <c r="DIL102" s="53"/>
      <c r="DIM102" s="53"/>
      <c r="DIN102" s="53"/>
      <c r="DIO102" s="53"/>
      <c r="DIP102" s="53"/>
      <c r="DIQ102" s="53"/>
      <c r="DIR102" s="53"/>
      <c r="DIS102" s="53"/>
      <c r="DIT102" s="53"/>
      <c r="DIU102" s="53"/>
      <c r="DIV102" s="53"/>
      <c r="DIW102" s="53"/>
      <c r="DIX102" s="53"/>
      <c r="DIY102" s="53"/>
      <c r="DIZ102" s="53"/>
      <c r="DJA102" s="53"/>
      <c r="DJB102" s="53"/>
      <c r="DJC102" s="53"/>
      <c r="DJD102" s="53"/>
      <c r="DJE102" s="53"/>
      <c r="DJF102" s="53"/>
      <c r="DJG102" s="53"/>
      <c r="DJH102" s="53"/>
      <c r="DJI102" s="53"/>
      <c r="DJJ102" s="53"/>
      <c r="DJK102" s="53"/>
      <c r="DJL102" s="53"/>
      <c r="DJM102" s="53"/>
      <c r="DJN102" s="53"/>
      <c r="DJO102" s="53"/>
      <c r="DJP102" s="53"/>
      <c r="DJQ102" s="53"/>
      <c r="DJR102" s="53"/>
      <c r="DJS102" s="53"/>
      <c r="DJT102" s="53"/>
      <c r="DJU102" s="53"/>
      <c r="DJV102" s="53"/>
      <c r="DJW102" s="53"/>
      <c r="DJX102" s="53"/>
      <c r="DJY102" s="53"/>
      <c r="DJZ102" s="53"/>
      <c r="DKA102" s="53"/>
      <c r="DKB102" s="53"/>
      <c r="DKC102" s="53"/>
      <c r="DKD102" s="53"/>
      <c r="DKE102" s="53"/>
      <c r="DKF102" s="53"/>
      <c r="DKG102" s="53"/>
      <c r="DKH102" s="53"/>
      <c r="DKI102" s="53"/>
      <c r="DKJ102" s="53"/>
      <c r="DKK102" s="53"/>
      <c r="DKL102" s="53"/>
      <c r="DKM102" s="53"/>
      <c r="DKN102" s="53"/>
      <c r="DKO102" s="53"/>
      <c r="DKP102" s="53"/>
      <c r="DKQ102" s="53"/>
      <c r="DKR102" s="53"/>
      <c r="DKS102" s="53"/>
      <c r="DKT102" s="53"/>
      <c r="DKU102" s="53"/>
      <c r="DKV102" s="53"/>
      <c r="DKW102" s="53"/>
      <c r="DKX102" s="53"/>
      <c r="DKY102" s="53"/>
      <c r="DKZ102" s="53"/>
      <c r="DLA102" s="53"/>
      <c r="DLB102" s="53"/>
      <c r="DLC102" s="53"/>
      <c r="DLD102" s="53"/>
      <c r="DLE102" s="53"/>
      <c r="DLF102" s="53"/>
      <c r="DLG102" s="53"/>
      <c r="DLH102" s="53"/>
      <c r="DLI102" s="53"/>
      <c r="DLJ102" s="53"/>
      <c r="DLK102" s="53"/>
      <c r="DLL102" s="53"/>
      <c r="DLM102" s="53"/>
      <c r="DLN102" s="53"/>
      <c r="DLO102" s="53"/>
      <c r="DLP102" s="53"/>
      <c r="DLQ102" s="53"/>
      <c r="DLR102" s="53"/>
      <c r="DLS102" s="53"/>
      <c r="DLT102" s="53"/>
      <c r="DLU102" s="53"/>
      <c r="DLV102" s="53"/>
      <c r="DLW102" s="53"/>
      <c r="DLX102" s="53"/>
      <c r="DLY102" s="53"/>
      <c r="DLZ102" s="53"/>
      <c r="DMA102" s="53"/>
      <c r="DMB102" s="53"/>
      <c r="DMC102" s="53"/>
      <c r="DMD102" s="53"/>
      <c r="DME102" s="53"/>
      <c r="DMF102" s="53"/>
      <c r="DMG102" s="53"/>
      <c r="DMH102" s="53"/>
      <c r="DMI102" s="53"/>
      <c r="DMJ102" s="53"/>
      <c r="DMK102" s="53"/>
      <c r="DML102" s="53"/>
      <c r="DMM102" s="53"/>
      <c r="DMN102" s="53"/>
      <c r="DMO102" s="53"/>
      <c r="DMP102" s="53"/>
      <c r="DMQ102" s="53"/>
      <c r="DMR102" s="53"/>
      <c r="DMS102" s="53"/>
      <c r="DMT102" s="53"/>
      <c r="DMU102" s="53"/>
      <c r="DMV102" s="53"/>
      <c r="DMW102" s="53"/>
      <c r="DMX102" s="53"/>
      <c r="DMY102" s="53"/>
      <c r="DMZ102" s="53"/>
      <c r="DNA102" s="53"/>
      <c r="DNB102" s="53"/>
      <c r="DNC102" s="53"/>
      <c r="DND102" s="53"/>
      <c r="DNE102" s="53"/>
      <c r="DNF102" s="53"/>
      <c r="DNG102" s="53"/>
      <c r="DNH102" s="53"/>
      <c r="DNI102" s="53"/>
      <c r="DNJ102" s="53"/>
      <c r="DNK102" s="53"/>
      <c r="DNL102" s="53"/>
      <c r="DNM102" s="53"/>
      <c r="DNN102" s="53"/>
      <c r="DNO102" s="53"/>
      <c r="DNP102" s="53"/>
      <c r="DNQ102" s="53"/>
      <c r="DNR102" s="53"/>
      <c r="DNS102" s="53"/>
      <c r="DNT102" s="53"/>
      <c r="DNU102" s="53"/>
      <c r="DNV102" s="53"/>
      <c r="DNW102" s="53"/>
      <c r="DNX102" s="53"/>
      <c r="DNY102" s="53"/>
      <c r="DNZ102" s="53"/>
      <c r="DOA102" s="53"/>
      <c r="DOB102" s="53"/>
      <c r="DOC102" s="53"/>
      <c r="DOD102" s="53"/>
      <c r="DOE102" s="53"/>
      <c r="DOF102" s="53"/>
      <c r="DOG102" s="53"/>
      <c r="DOH102" s="53"/>
      <c r="DOI102" s="53"/>
      <c r="DOJ102" s="53"/>
      <c r="DOK102" s="53"/>
      <c r="DOL102" s="53"/>
      <c r="DOM102" s="53"/>
      <c r="DON102" s="53"/>
      <c r="DOO102" s="53"/>
      <c r="DOP102" s="53"/>
      <c r="DOQ102" s="53"/>
      <c r="DOR102" s="53"/>
      <c r="DOS102" s="53"/>
      <c r="DOT102" s="53"/>
      <c r="DOU102" s="53"/>
      <c r="DOV102" s="53"/>
      <c r="DOW102" s="53"/>
      <c r="DOX102" s="53"/>
      <c r="DOY102" s="53"/>
      <c r="DOZ102" s="53"/>
      <c r="DPA102" s="53"/>
      <c r="DPB102" s="53"/>
      <c r="DPC102" s="53"/>
      <c r="DPD102" s="53"/>
      <c r="DPE102" s="53"/>
      <c r="DPF102" s="53"/>
      <c r="DPG102" s="53"/>
      <c r="DPH102" s="53"/>
      <c r="DPI102" s="53"/>
      <c r="DPJ102" s="53"/>
      <c r="DPK102" s="53"/>
      <c r="DPL102" s="53"/>
      <c r="DPM102" s="53"/>
      <c r="DPN102" s="53"/>
      <c r="DPO102" s="53"/>
      <c r="DPP102" s="53"/>
      <c r="DPQ102" s="53"/>
      <c r="DPR102" s="53"/>
      <c r="DPS102" s="53"/>
      <c r="DPT102" s="53"/>
      <c r="DPU102" s="53"/>
      <c r="DPV102" s="53"/>
      <c r="DPW102" s="53"/>
      <c r="DPX102" s="53"/>
      <c r="DPY102" s="53"/>
      <c r="DPZ102" s="53"/>
      <c r="DQA102" s="53"/>
      <c r="DQB102" s="53"/>
      <c r="DQC102" s="53"/>
      <c r="DQD102" s="53"/>
      <c r="DQE102" s="53"/>
      <c r="DQF102" s="53"/>
      <c r="DQG102" s="53"/>
      <c r="DQH102" s="53"/>
      <c r="DQI102" s="53"/>
      <c r="DQJ102" s="53"/>
      <c r="DQK102" s="53"/>
      <c r="DQL102" s="53"/>
      <c r="DQM102" s="53"/>
      <c r="DQN102" s="53"/>
      <c r="DQO102" s="53"/>
      <c r="DQP102" s="53"/>
      <c r="DQQ102" s="53"/>
      <c r="DQR102" s="53"/>
      <c r="DQS102" s="53"/>
      <c r="DQT102" s="53"/>
      <c r="DQU102" s="53"/>
      <c r="DQV102" s="53"/>
      <c r="DQW102" s="53"/>
      <c r="DQX102" s="53"/>
      <c r="DQY102" s="53"/>
      <c r="DQZ102" s="53"/>
      <c r="DRA102" s="53"/>
      <c r="DRB102" s="53"/>
      <c r="DRC102" s="53"/>
      <c r="DRD102" s="53"/>
      <c r="DRE102" s="53"/>
      <c r="DRF102" s="53"/>
      <c r="DRG102" s="53"/>
      <c r="DRH102" s="53"/>
      <c r="DRI102" s="53"/>
      <c r="DRJ102" s="53"/>
      <c r="DRK102" s="53"/>
      <c r="DRL102" s="53"/>
      <c r="DRM102" s="53"/>
      <c r="DRN102" s="53"/>
      <c r="DRO102" s="53"/>
      <c r="DRP102" s="53"/>
      <c r="DRQ102" s="53"/>
      <c r="DRR102" s="53"/>
      <c r="DRS102" s="53"/>
      <c r="DRT102" s="53"/>
      <c r="DRU102" s="53"/>
      <c r="DRV102" s="53"/>
      <c r="DRW102" s="53"/>
      <c r="DRX102" s="53"/>
      <c r="DRY102" s="53"/>
      <c r="DRZ102" s="53"/>
      <c r="DSA102" s="53"/>
      <c r="DSB102" s="53"/>
      <c r="DSC102" s="53"/>
      <c r="DSD102" s="53"/>
      <c r="DSE102" s="53"/>
      <c r="DSF102" s="53"/>
      <c r="DSG102" s="53"/>
      <c r="DSH102" s="53"/>
      <c r="DSI102" s="53"/>
      <c r="DSJ102" s="53"/>
      <c r="DSK102" s="53"/>
      <c r="DSL102" s="53"/>
      <c r="DSM102" s="53"/>
      <c r="DSN102" s="53"/>
      <c r="DSO102" s="53"/>
      <c r="DSP102" s="53"/>
      <c r="DSQ102" s="53"/>
      <c r="DSR102" s="53"/>
      <c r="DSS102" s="53"/>
      <c r="DST102" s="53"/>
      <c r="DSU102" s="53"/>
      <c r="DSV102" s="53"/>
      <c r="DSW102" s="53"/>
      <c r="DSX102" s="53"/>
      <c r="DSY102" s="53"/>
      <c r="DSZ102" s="53"/>
      <c r="DTA102" s="53"/>
      <c r="DTB102" s="53"/>
      <c r="DTC102" s="53"/>
      <c r="DTD102" s="53"/>
      <c r="DTE102" s="53"/>
      <c r="DTF102" s="53"/>
      <c r="DTG102" s="53"/>
      <c r="DTH102" s="53"/>
      <c r="DTI102" s="53"/>
      <c r="DTJ102" s="53"/>
      <c r="DTK102" s="53"/>
      <c r="DTL102" s="53"/>
      <c r="DTM102" s="53"/>
      <c r="DTN102" s="53"/>
      <c r="DTO102" s="53"/>
      <c r="DTP102" s="53"/>
      <c r="DTQ102" s="53"/>
      <c r="DTR102" s="53"/>
      <c r="DTS102" s="53"/>
      <c r="DTT102" s="53"/>
      <c r="DTU102" s="53"/>
      <c r="DTV102" s="53"/>
      <c r="DTW102" s="53"/>
      <c r="DTX102" s="53"/>
      <c r="DTY102" s="53"/>
      <c r="DTZ102" s="53"/>
      <c r="DUA102" s="53"/>
      <c r="DUB102" s="53"/>
      <c r="DUC102" s="53"/>
      <c r="DUD102" s="53"/>
      <c r="DUE102" s="53"/>
      <c r="DUF102" s="53"/>
      <c r="DUG102" s="53"/>
      <c r="DUH102" s="53"/>
      <c r="DUI102" s="53"/>
      <c r="DUJ102" s="53"/>
      <c r="DUK102" s="53"/>
      <c r="DUL102" s="53"/>
      <c r="DUM102" s="53"/>
      <c r="DUN102" s="53"/>
      <c r="DUO102" s="53"/>
      <c r="DUP102" s="53"/>
      <c r="DUQ102" s="53"/>
      <c r="DUR102" s="53"/>
      <c r="DUS102" s="53"/>
      <c r="DUT102" s="53"/>
      <c r="DUU102" s="53"/>
      <c r="DUV102" s="53"/>
      <c r="DUW102" s="53"/>
      <c r="DUX102" s="53"/>
      <c r="DUY102" s="53"/>
      <c r="DUZ102" s="53"/>
      <c r="DVA102" s="53"/>
      <c r="DVB102" s="53"/>
      <c r="DVC102" s="53"/>
      <c r="DVD102" s="53"/>
      <c r="DVE102" s="53"/>
      <c r="DVF102" s="53"/>
      <c r="DVG102" s="53"/>
      <c r="DVH102" s="53"/>
      <c r="DVI102" s="53"/>
      <c r="DVJ102" s="53"/>
      <c r="DVK102" s="53"/>
      <c r="DVL102" s="53"/>
      <c r="DVM102" s="53"/>
      <c r="DVN102" s="53"/>
      <c r="DVO102" s="53"/>
      <c r="DVP102" s="53"/>
      <c r="DVQ102" s="53"/>
      <c r="DVR102" s="53"/>
      <c r="DVS102" s="53"/>
      <c r="DVT102" s="53"/>
      <c r="DVU102" s="53"/>
      <c r="DVV102" s="53"/>
      <c r="DVW102" s="53"/>
      <c r="DVX102" s="53"/>
      <c r="DVY102" s="53"/>
      <c r="DVZ102" s="53"/>
      <c r="DWA102" s="53"/>
      <c r="DWB102" s="53"/>
      <c r="DWC102" s="53"/>
      <c r="DWD102" s="53"/>
      <c r="DWE102" s="53"/>
      <c r="DWF102" s="53"/>
      <c r="DWG102" s="53"/>
      <c r="DWH102" s="53"/>
      <c r="DWI102" s="53"/>
      <c r="DWJ102" s="53"/>
      <c r="DWK102" s="53"/>
      <c r="DWL102" s="53"/>
      <c r="DWM102" s="53"/>
      <c r="DWN102" s="53"/>
      <c r="DWO102" s="53"/>
      <c r="DWP102" s="53"/>
      <c r="DWQ102" s="53"/>
      <c r="DWR102" s="53"/>
      <c r="DWS102" s="53"/>
      <c r="DWT102" s="53"/>
      <c r="DWU102" s="53"/>
      <c r="DWV102" s="53"/>
      <c r="DWW102" s="53"/>
      <c r="DWX102" s="53"/>
      <c r="DWY102" s="53"/>
      <c r="DWZ102" s="53"/>
      <c r="DXA102" s="53"/>
      <c r="DXB102" s="53"/>
      <c r="DXC102" s="53"/>
      <c r="DXD102" s="53"/>
      <c r="DXE102" s="53"/>
      <c r="DXF102" s="53"/>
      <c r="DXG102" s="53"/>
      <c r="DXH102" s="53"/>
      <c r="DXI102" s="53"/>
      <c r="DXJ102" s="53"/>
      <c r="DXK102" s="53"/>
      <c r="DXL102" s="53"/>
      <c r="DXM102" s="53"/>
      <c r="DXN102" s="53"/>
      <c r="DXO102" s="53"/>
      <c r="DXP102" s="53"/>
      <c r="DXQ102" s="53"/>
      <c r="DXR102" s="53"/>
      <c r="DXS102" s="53"/>
      <c r="DXT102" s="53"/>
      <c r="DXU102" s="53"/>
      <c r="DXV102" s="53"/>
      <c r="DXW102" s="53"/>
      <c r="DXX102" s="53"/>
      <c r="DXY102" s="53"/>
      <c r="DXZ102" s="53"/>
      <c r="DYA102" s="53"/>
      <c r="DYB102" s="53"/>
      <c r="DYC102" s="53"/>
      <c r="DYD102" s="53"/>
      <c r="DYE102" s="53"/>
      <c r="DYF102" s="53"/>
      <c r="DYG102" s="53"/>
      <c r="DYH102" s="53"/>
      <c r="DYI102" s="53"/>
      <c r="DYJ102" s="53"/>
      <c r="DYK102" s="53"/>
      <c r="DYL102" s="53"/>
      <c r="DYM102" s="53"/>
      <c r="DYN102" s="53"/>
      <c r="DYO102" s="53"/>
      <c r="DYP102" s="53"/>
      <c r="DYQ102" s="53"/>
      <c r="DYR102" s="53"/>
      <c r="DYS102" s="53"/>
      <c r="DYT102" s="53"/>
      <c r="DYU102" s="53"/>
      <c r="DYV102" s="53"/>
      <c r="DYW102" s="53"/>
      <c r="DYX102" s="53"/>
      <c r="DYY102" s="53"/>
      <c r="DYZ102" s="53"/>
      <c r="DZA102" s="53"/>
      <c r="DZB102" s="53"/>
      <c r="DZC102" s="53"/>
      <c r="DZD102" s="53"/>
      <c r="DZE102" s="53"/>
      <c r="DZF102" s="53"/>
      <c r="DZG102" s="53"/>
      <c r="DZH102" s="53"/>
      <c r="DZI102" s="53"/>
      <c r="DZJ102" s="53"/>
      <c r="DZK102" s="53"/>
      <c r="DZL102" s="53"/>
      <c r="DZM102" s="53"/>
      <c r="DZN102" s="53"/>
      <c r="DZO102" s="53"/>
      <c r="DZP102" s="53"/>
      <c r="DZQ102" s="53"/>
      <c r="DZR102" s="53"/>
      <c r="DZS102" s="53"/>
      <c r="DZT102" s="53"/>
      <c r="DZU102" s="53"/>
      <c r="DZV102" s="53"/>
      <c r="DZW102" s="53"/>
      <c r="DZX102" s="53"/>
      <c r="DZY102" s="53"/>
      <c r="DZZ102" s="53"/>
      <c r="EAA102" s="53"/>
      <c r="EAB102" s="53"/>
      <c r="EAC102" s="53"/>
      <c r="EAD102" s="53"/>
      <c r="EAE102" s="53"/>
      <c r="EAF102" s="53"/>
      <c r="EAG102" s="53"/>
      <c r="EAH102" s="53"/>
      <c r="EAI102" s="53"/>
      <c r="EAJ102" s="53"/>
      <c r="EAK102" s="53"/>
      <c r="EAL102" s="53"/>
      <c r="EAM102" s="53"/>
      <c r="EAN102" s="53"/>
      <c r="EAO102" s="53"/>
      <c r="EAP102" s="53"/>
      <c r="EAQ102" s="53"/>
      <c r="EAR102" s="53"/>
      <c r="EAS102" s="53"/>
      <c r="EAT102" s="53"/>
      <c r="EAU102" s="53"/>
      <c r="EAV102" s="53"/>
      <c r="EAW102" s="53"/>
      <c r="EAX102" s="53"/>
      <c r="EAY102" s="53"/>
      <c r="EAZ102" s="53"/>
      <c r="EBA102" s="53"/>
      <c r="EBB102" s="53"/>
      <c r="EBC102" s="53"/>
      <c r="EBD102" s="53"/>
      <c r="EBE102" s="53"/>
      <c r="EBF102" s="53"/>
      <c r="EBG102" s="53"/>
      <c r="EBH102" s="53"/>
      <c r="EBI102" s="53"/>
      <c r="EBJ102" s="53"/>
      <c r="EBK102" s="53"/>
      <c r="EBL102" s="53"/>
      <c r="EBM102" s="53"/>
      <c r="EBN102" s="53"/>
      <c r="EBO102" s="53"/>
      <c r="EBP102" s="53"/>
      <c r="EBQ102" s="53"/>
      <c r="EBR102" s="53"/>
      <c r="EBS102" s="53"/>
      <c r="EBT102" s="53"/>
      <c r="EBU102" s="53"/>
      <c r="EBV102" s="53"/>
      <c r="EBW102" s="53"/>
      <c r="EBX102" s="53"/>
      <c r="EBY102" s="53"/>
      <c r="EBZ102" s="53"/>
      <c r="ECA102" s="53"/>
      <c r="ECB102" s="53"/>
      <c r="ECC102" s="53"/>
      <c r="ECD102" s="53"/>
      <c r="ECE102" s="53"/>
      <c r="ECF102" s="53"/>
      <c r="ECG102" s="53"/>
      <c r="ECH102" s="53"/>
      <c r="ECI102" s="53"/>
      <c r="ECJ102" s="53"/>
      <c r="ECK102" s="53"/>
      <c r="ECL102" s="53"/>
      <c r="ECM102" s="53"/>
      <c r="ECN102" s="53"/>
      <c r="ECO102" s="53"/>
      <c r="ECP102" s="53"/>
      <c r="ECQ102" s="53"/>
      <c r="ECR102" s="53"/>
      <c r="ECS102" s="53"/>
      <c r="ECT102" s="53"/>
      <c r="ECU102" s="53"/>
      <c r="ECV102" s="53"/>
      <c r="ECW102" s="53"/>
      <c r="ECX102" s="53"/>
      <c r="ECY102" s="53"/>
      <c r="ECZ102" s="53"/>
      <c r="EDA102" s="53"/>
      <c r="EDB102" s="53"/>
      <c r="EDC102" s="53"/>
      <c r="EDD102" s="53"/>
      <c r="EDE102" s="53"/>
      <c r="EDF102" s="53"/>
      <c r="EDG102" s="53"/>
      <c r="EDH102" s="53"/>
      <c r="EDI102" s="53"/>
      <c r="EDJ102" s="53"/>
      <c r="EDK102" s="53"/>
      <c r="EDL102" s="53"/>
      <c r="EDM102" s="53"/>
      <c r="EDN102" s="53"/>
      <c r="EDO102" s="53"/>
      <c r="EDP102" s="53"/>
      <c r="EDQ102" s="53"/>
      <c r="EDR102" s="53"/>
      <c r="EDS102" s="53"/>
      <c r="EDT102" s="53"/>
      <c r="EDU102" s="53"/>
      <c r="EDV102" s="53"/>
      <c r="EDW102" s="53"/>
      <c r="EDX102" s="53"/>
      <c r="EDY102" s="53"/>
      <c r="EDZ102" s="53"/>
      <c r="EEA102" s="53"/>
      <c r="EEB102" s="53"/>
      <c r="EEC102" s="53"/>
      <c r="EED102" s="53"/>
      <c r="EEE102" s="53"/>
      <c r="EEF102" s="53"/>
      <c r="EEG102" s="53"/>
      <c r="EEH102" s="53"/>
      <c r="EEI102" s="53"/>
      <c r="EEJ102" s="53"/>
      <c r="EEK102" s="53"/>
      <c r="EEL102" s="53"/>
      <c r="EEM102" s="53"/>
      <c r="EEN102" s="53"/>
      <c r="EEO102" s="53"/>
      <c r="EEP102" s="53"/>
      <c r="EEQ102" s="53"/>
      <c r="EER102" s="53"/>
      <c r="EES102" s="53"/>
      <c r="EET102" s="53"/>
      <c r="EEU102" s="53"/>
      <c r="EEV102" s="53"/>
      <c r="EEW102" s="53"/>
      <c r="EEX102" s="53"/>
      <c r="EEY102" s="53"/>
      <c r="EEZ102" s="53"/>
      <c r="EFA102" s="53"/>
      <c r="EFB102" s="53"/>
      <c r="EFC102" s="53"/>
      <c r="EFD102" s="53"/>
      <c r="EFE102" s="53"/>
      <c r="EFF102" s="53"/>
      <c r="EFG102" s="53"/>
      <c r="EFH102" s="53"/>
      <c r="EFI102" s="53"/>
      <c r="EFJ102" s="53"/>
      <c r="EFK102" s="53"/>
      <c r="EFL102" s="53"/>
      <c r="EFM102" s="53"/>
      <c r="EFN102" s="53"/>
      <c r="EFO102" s="53"/>
      <c r="EFP102" s="53"/>
      <c r="EFQ102" s="53"/>
      <c r="EFR102" s="53"/>
      <c r="EFS102" s="53"/>
      <c r="EFT102" s="53"/>
      <c r="EFU102" s="53"/>
      <c r="EFV102" s="53"/>
      <c r="EFW102" s="53"/>
      <c r="EFX102" s="53"/>
      <c r="EFY102" s="53"/>
      <c r="EFZ102" s="53"/>
      <c r="EGA102" s="53"/>
      <c r="EGB102" s="53"/>
      <c r="EGC102" s="53"/>
      <c r="EGD102" s="53"/>
      <c r="EGE102" s="53"/>
      <c r="EGF102" s="53"/>
      <c r="EGG102" s="53"/>
      <c r="EGH102" s="53"/>
      <c r="EGI102" s="53"/>
      <c r="EGJ102" s="53"/>
      <c r="EGK102" s="53"/>
      <c r="EGL102" s="53"/>
      <c r="EGM102" s="53"/>
      <c r="EGN102" s="53"/>
      <c r="EGO102" s="53"/>
      <c r="EGP102" s="53"/>
      <c r="EGQ102" s="53"/>
      <c r="EGR102" s="53"/>
      <c r="EGS102" s="53"/>
      <c r="EGT102" s="53"/>
      <c r="EGU102" s="53"/>
      <c r="EGV102" s="53"/>
      <c r="EGW102" s="53"/>
      <c r="EGX102" s="53"/>
      <c r="EGY102" s="53"/>
      <c r="EGZ102" s="53"/>
      <c r="EHA102" s="53"/>
      <c r="EHB102" s="53"/>
      <c r="EHC102" s="53"/>
      <c r="EHD102" s="53"/>
      <c r="EHE102" s="53"/>
      <c r="EHF102" s="53"/>
      <c r="EHG102" s="53"/>
      <c r="EHH102" s="53"/>
      <c r="EHI102" s="53"/>
      <c r="EHJ102" s="53"/>
      <c r="EHK102" s="53"/>
      <c r="EHL102" s="53"/>
      <c r="EHM102" s="53"/>
      <c r="EHN102" s="53"/>
      <c r="EHO102" s="53"/>
      <c r="EHP102" s="53"/>
      <c r="EHQ102" s="53"/>
      <c r="EHR102" s="53"/>
      <c r="EHS102" s="53"/>
      <c r="EHT102" s="53"/>
      <c r="EHU102" s="53"/>
      <c r="EHV102" s="53"/>
      <c r="EHW102" s="53"/>
      <c r="EHX102" s="53"/>
      <c r="EHY102" s="53"/>
      <c r="EHZ102" s="53"/>
      <c r="EIA102" s="53"/>
      <c r="EIB102" s="53"/>
      <c r="EIC102" s="53"/>
      <c r="EID102" s="53"/>
      <c r="EIE102" s="53"/>
      <c r="EIF102" s="53"/>
      <c r="EIG102" s="53"/>
      <c r="EIH102" s="53"/>
      <c r="EII102" s="53"/>
      <c r="EIJ102" s="53"/>
      <c r="EIK102" s="53"/>
      <c r="EIL102" s="53"/>
      <c r="EIM102" s="53"/>
      <c r="EIN102" s="53"/>
      <c r="EIO102" s="53"/>
      <c r="EIP102" s="53"/>
      <c r="EIQ102" s="53"/>
      <c r="EIR102" s="53"/>
      <c r="EIS102" s="53"/>
      <c r="EIT102" s="53"/>
      <c r="EIU102" s="53"/>
      <c r="EIV102" s="53"/>
      <c r="EIW102" s="53"/>
      <c r="EIX102" s="53"/>
      <c r="EIY102" s="53"/>
      <c r="EIZ102" s="53"/>
      <c r="EJA102" s="53"/>
      <c r="EJB102" s="53"/>
      <c r="EJC102" s="53"/>
      <c r="EJD102" s="53"/>
      <c r="EJE102" s="53"/>
      <c r="EJF102" s="53"/>
      <c r="EJG102" s="53"/>
      <c r="EJH102" s="53"/>
      <c r="EJI102" s="53"/>
      <c r="EJJ102" s="53"/>
      <c r="EJK102" s="53"/>
      <c r="EJL102" s="53"/>
      <c r="EJM102" s="53"/>
      <c r="EJN102" s="53"/>
      <c r="EJO102" s="53"/>
      <c r="EJP102" s="53"/>
      <c r="EJQ102" s="53"/>
      <c r="EJR102" s="53"/>
      <c r="EJS102" s="53"/>
      <c r="EJT102" s="53"/>
      <c r="EJU102" s="53"/>
      <c r="EJV102" s="53"/>
      <c r="EJW102" s="53"/>
      <c r="EJX102" s="53"/>
      <c r="EJY102" s="53"/>
      <c r="EJZ102" s="53"/>
      <c r="EKA102" s="53"/>
      <c r="EKB102" s="53"/>
      <c r="EKC102" s="53"/>
      <c r="EKD102" s="53"/>
      <c r="EKE102" s="53"/>
      <c r="EKF102" s="53"/>
      <c r="EKG102" s="53"/>
      <c r="EKH102" s="53"/>
      <c r="EKI102" s="53"/>
      <c r="EKJ102" s="53"/>
      <c r="EKK102" s="53"/>
      <c r="EKL102" s="53"/>
      <c r="EKM102" s="53"/>
      <c r="EKN102" s="53"/>
      <c r="EKO102" s="53"/>
      <c r="EKP102" s="53"/>
      <c r="EKQ102" s="53"/>
      <c r="EKR102" s="53"/>
      <c r="EKS102" s="53"/>
      <c r="EKT102" s="53"/>
      <c r="EKU102" s="53"/>
      <c r="EKV102" s="53"/>
      <c r="EKW102" s="53"/>
      <c r="EKX102" s="53"/>
      <c r="EKY102" s="53"/>
      <c r="EKZ102" s="53"/>
      <c r="ELA102" s="53"/>
      <c r="ELB102" s="53"/>
      <c r="ELC102" s="53"/>
      <c r="ELD102" s="53"/>
      <c r="ELE102" s="53"/>
      <c r="ELF102" s="53"/>
      <c r="ELG102" s="53"/>
      <c r="ELH102" s="53"/>
      <c r="ELI102" s="53"/>
      <c r="ELJ102" s="53"/>
      <c r="ELK102" s="53"/>
      <c r="ELL102" s="53"/>
      <c r="ELM102" s="53"/>
      <c r="ELN102" s="53"/>
      <c r="ELO102" s="53"/>
      <c r="ELP102" s="53"/>
      <c r="ELQ102" s="53"/>
      <c r="ELR102" s="53"/>
      <c r="ELS102" s="53"/>
      <c r="ELT102" s="53"/>
      <c r="ELU102" s="53"/>
      <c r="ELV102" s="53"/>
      <c r="ELW102" s="53"/>
      <c r="ELX102" s="53"/>
      <c r="ELY102" s="53"/>
      <c r="ELZ102" s="53"/>
      <c r="EMA102" s="53"/>
      <c r="EMB102" s="53"/>
      <c r="EMC102" s="53"/>
      <c r="EMD102" s="53"/>
      <c r="EME102" s="53"/>
      <c r="EMF102" s="53"/>
      <c r="EMG102" s="53"/>
      <c r="EMH102" s="53"/>
      <c r="EMI102" s="53"/>
      <c r="EMJ102" s="53"/>
      <c r="EMK102" s="53"/>
      <c r="EML102" s="53"/>
      <c r="EMM102" s="53"/>
      <c r="EMN102" s="53"/>
      <c r="EMO102" s="53"/>
      <c r="EMP102" s="53"/>
      <c r="EMQ102" s="53"/>
      <c r="EMR102" s="53"/>
      <c r="EMS102" s="53"/>
      <c r="EMT102" s="53"/>
      <c r="EMU102" s="53"/>
      <c r="EMV102" s="53"/>
      <c r="EMW102" s="53"/>
      <c r="EMX102" s="53"/>
      <c r="EMY102" s="53"/>
      <c r="EMZ102" s="53"/>
      <c r="ENA102" s="53"/>
      <c r="ENB102" s="53"/>
      <c r="ENC102" s="53"/>
      <c r="END102" s="53"/>
      <c r="ENE102" s="53"/>
      <c r="ENF102" s="53"/>
      <c r="ENG102" s="53"/>
      <c r="ENH102" s="53"/>
      <c r="ENI102" s="53"/>
      <c r="ENJ102" s="53"/>
      <c r="ENK102" s="53"/>
      <c r="ENL102" s="53"/>
      <c r="ENM102" s="53"/>
      <c r="ENN102" s="53"/>
      <c r="ENO102" s="53"/>
      <c r="ENP102" s="53"/>
      <c r="ENQ102" s="53"/>
      <c r="ENR102" s="53"/>
      <c r="ENS102" s="53"/>
      <c r="ENT102" s="53"/>
      <c r="ENU102" s="53"/>
      <c r="ENV102" s="53"/>
      <c r="ENW102" s="53"/>
      <c r="ENX102" s="53"/>
      <c r="ENY102" s="53"/>
      <c r="ENZ102" s="53"/>
      <c r="EOA102" s="53"/>
      <c r="EOB102" s="53"/>
      <c r="EOC102" s="53"/>
      <c r="EOD102" s="53"/>
      <c r="EOE102" s="53"/>
      <c r="EOF102" s="53"/>
      <c r="EOG102" s="53"/>
      <c r="EOH102" s="53"/>
      <c r="EOI102" s="53"/>
      <c r="EOJ102" s="53"/>
      <c r="EOK102" s="53"/>
      <c r="EOL102" s="53"/>
      <c r="EOM102" s="53"/>
      <c r="EON102" s="53"/>
      <c r="EOO102" s="53"/>
      <c r="EOP102" s="53"/>
      <c r="EOQ102" s="53"/>
      <c r="EOR102" s="53"/>
      <c r="EOS102" s="53"/>
      <c r="EOT102" s="53"/>
      <c r="EOU102" s="53"/>
      <c r="EOV102" s="53"/>
      <c r="EOW102" s="53"/>
      <c r="EOX102" s="53"/>
      <c r="EOY102" s="53"/>
      <c r="EOZ102" s="53"/>
      <c r="EPA102" s="53"/>
      <c r="EPB102" s="53"/>
      <c r="EPC102" s="53"/>
      <c r="EPD102" s="53"/>
      <c r="EPE102" s="53"/>
      <c r="EPF102" s="53"/>
      <c r="EPG102" s="53"/>
      <c r="EPH102" s="53"/>
      <c r="EPI102" s="53"/>
      <c r="EPJ102" s="53"/>
      <c r="EPK102" s="53"/>
      <c r="EPL102" s="53"/>
      <c r="EPM102" s="53"/>
      <c r="EPN102" s="53"/>
      <c r="EPO102" s="53"/>
      <c r="EPP102" s="53"/>
      <c r="EPQ102" s="53"/>
      <c r="EPR102" s="53"/>
      <c r="EPS102" s="53"/>
      <c r="EPT102" s="53"/>
      <c r="EPU102" s="53"/>
      <c r="EPV102" s="53"/>
      <c r="EPW102" s="53"/>
      <c r="EPX102" s="53"/>
      <c r="EPY102" s="53"/>
      <c r="EPZ102" s="53"/>
      <c r="EQA102" s="53"/>
      <c r="EQB102" s="53"/>
      <c r="EQC102" s="53"/>
      <c r="EQD102" s="53"/>
      <c r="EQE102" s="53"/>
      <c r="EQF102" s="53"/>
      <c r="EQG102" s="53"/>
      <c r="EQH102" s="53"/>
      <c r="EQI102" s="53"/>
      <c r="EQJ102" s="53"/>
      <c r="EQK102" s="53"/>
      <c r="EQL102" s="53"/>
      <c r="EQM102" s="53"/>
      <c r="EQN102" s="53"/>
      <c r="EQO102" s="53"/>
      <c r="EQP102" s="53"/>
      <c r="EQQ102" s="53"/>
      <c r="EQR102" s="53"/>
      <c r="EQS102" s="53"/>
      <c r="EQT102" s="53"/>
      <c r="EQU102" s="53"/>
      <c r="EQV102" s="53"/>
      <c r="EQW102" s="53"/>
      <c r="EQX102" s="53"/>
      <c r="EQY102" s="53"/>
      <c r="EQZ102" s="53"/>
      <c r="ERA102" s="53"/>
      <c r="ERB102" s="53"/>
      <c r="ERC102" s="53"/>
      <c r="ERD102" s="53"/>
      <c r="ERE102" s="53"/>
      <c r="ERF102" s="53"/>
      <c r="ERG102" s="53"/>
      <c r="ERH102" s="53"/>
      <c r="ERI102" s="53"/>
      <c r="ERJ102" s="53"/>
      <c r="ERK102" s="53"/>
      <c r="ERL102" s="53"/>
      <c r="ERM102" s="53"/>
      <c r="ERN102" s="53"/>
      <c r="ERO102" s="53"/>
      <c r="ERP102" s="53"/>
      <c r="ERQ102" s="53"/>
      <c r="ERR102" s="53"/>
      <c r="ERS102" s="53"/>
      <c r="ERT102" s="53"/>
      <c r="ERU102" s="53"/>
      <c r="ERV102" s="53"/>
      <c r="ERW102" s="53"/>
      <c r="ERX102" s="53"/>
      <c r="ERY102" s="53"/>
      <c r="ERZ102" s="53"/>
      <c r="ESA102" s="53"/>
      <c r="ESB102" s="53"/>
      <c r="ESC102" s="53"/>
      <c r="ESD102" s="53"/>
      <c r="ESE102" s="53"/>
      <c r="ESF102" s="53"/>
      <c r="ESG102" s="53"/>
      <c r="ESH102" s="53"/>
      <c r="ESI102" s="53"/>
      <c r="ESJ102" s="53"/>
      <c r="ESK102" s="53"/>
      <c r="ESL102" s="53"/>
      <c r="ESM102" s="53"/>
      <c r="ESN102" s="53"/>
      <c r="ESO102" s="53"/>
      <c r="ESP102" s="53"/>
      <c r="ESQ102" s="53"/>
      <c r="ESR102" s="53"/>
      <c r="ESS102" s="53"/>
      <c r="EST102" s="53"/>
      <c r="ESU102" s="53"/>
      <c r="ESV102" s="53"/>
      <c r="ESW102" s="53"/>
      <c r="ESX102" s="53"/>
      <c r="ESY102" s="53"/>
      <c r="ESZ102" s="53"/>
      <c r="ETA102" s="53"/>
      <c r="ETB102" s="53"/>
      <c r="ETC102" s="53"/>
      <c r="ETD102" s="53"/>
      <c r="ETE102" s="53"/>
      <c r="ETF102" s="53"/>
      <c r="ETG102" s="53"/>
      <c r="ETH102" s="53"/>
      <c r="ETI102" s="53"/>
      <c r="ETJ102" s="53"/>
      <c r="ETK102" s="53"/>
      <c r="ETL102" s="53"/>
      <c r="ETM102" s="53"/>
      <c r="ETN102" s="53"/>
      <c r="ETO102" s="53"/>
      <c r="ETP102" s="53"/>
      <c r="ETQ102" s="53"/>
      <c r="ETR102" s="53"/>
      <c r="ETS102" s="53"/>
      <c r="ETT102" s="53"/>
      <c r="ETU102" s="53"/>
      <c r="ETV102" s="53"/>
      <c r="ETW102" s="53"/>
      <c r="ETX102" s="53"/>
      <c r="ETY102" s="53"/>
      <c r="ETZ102" s="53"/>
      <c r="EUA102" s="53"/>
      <c r="EUB102" s="53"/>
      <c r="EUC102" s="53"/>
      <c r="EUD102" s="53"/>
      <c r="EUE102" s="53"/>
      <c r="EUF102" s="53"/>
      <c r="EUG102" s="53"/>
      <c r="EUH102" s="53"/>
      <c r="EUI102" s="53"/>
      <c r="EUJ102" s="53"/>
      <c r="EUK102" s="53"/>
      <c r="EUL102" s="53"/>
      <c r="EUM102" s="53"/>
      <c r="EUN102" s="53"/>
      <c r="EUO102" s="53"/>
      <c r="EUP102" s="53"/>
      <c r="EUQ102" s="53"/>
      <c r="EUR102" s="53"/>
      <c r="EUS102" s="53"/>
      <c r="EUT102" s="53"/>
      <c r="EUU102" s="53"/>
      <c r="EUV102" s="53"/>
      <c r="EUW102" s="53"/>
      <c r="EUX102" s="53"/>
      <c r="EUY102" s="53"/>
      <c r="EUZ102" s="53"/>
      <c r="EVA102" s="53"/>
      <c r="EVB102" s="53"/>
      <c r="EVC102" s="53"/>
      <c r="EVD102" s="53"/>
      <c r="EVE102" s="53"/>
      <c r="EVF102" s="53"/>
      <c r="EVG102" s="53"/>
      <c r="EVH102" s="53"/>
      <c r="EVI102" s="53"/>
      <c r="EVJ102" s="53"/>
      <c r="EVK102" s="53"/>
      <c r="EVL102" s="53"/>
      <c r="EVM102" s="53"/>
      <c r="EVN102" s="53"/>
      <c r="EVO102" s="53"/>
      <c r="EVP102" s="53"/>
      <c r="EVQ102" s="53"/>
      <c r="EVR102" s="53"/>
      <c r="EVS102" s="53"/>
      <c r="EVT102" s="53"/>
      <c r="EVU102" s="53"/>
      <c r="EVV102" s="53"/>
      <c r="EVW102" s="53"/>
      <c r="EVX102" s="53"/>
      <c r="EVY102" s="53"/>
      <c r="EVZ102" s="53"/>
      <c r="EWA102" s="53"/>
      <c r="EWB102" s="53"/>
      <c r="EWC102" s="53"/>
      <c r="EWD102" s="53"/>
      <c r="EWE102" s="53"/>
      <c r="EWF102" s="53"/>
      <c r="EWG102" s="53"/>
      <c r="EWH102" s="53"/>
      <c r="EWI102" s="53"/>
      <c r="EWJ102" s="53"/>
      <c r="EWK102" s="53"/>
      <c r="EWL102" s="53"/>
      <c r="EWM102" s="53"/>
      <c r="EWN102" s="53"/>
      <c r="EWO102" s="53"/>
      <c r="EWP102" s="53"/>
      <c r="EWQ102" s="53"/>
      <c r="EWR102" s="53"/>
      <c r="EWS102" s="53"/>
      <c r="EWT102" s="53"/>
      <c r="EWU102" s="53"/>
      <c r="EWV102" s="53"/>
      <c r="EWW102" s="53"/>
      <c r="EWX102" s="53"/>
      <c r="EWY102" s="53"/>
      <c r="EWZ102" s="53"/>
      <c r="EXA102" s="53"/>
      <c r="EXB102" s="53"/>
      <c r="EXC102" s="53"/>
      <c r="EXD102" s="53"/>
      <c r="EXE102" s="53"/>
      <c r="EXF102" s="53"/>
      <c r="EXG102" s="53"/>
      <c r="EXH102" s="53"/>
      <c r="EXI102" s="53"/>
      <c r="EXJ102" s="53"/>
      <c r="EXK102" s="53"/>
      <c r="EXL102" s="53"/>
      <c r="EXM102" s="53"/>
      <c r="EXN102" s="53"/>
      <c r="EXO102" s="53"/>
      <c r="EXP102" s="53"/>
      <c r="EXQ102" s="53"/>
      <c r="EXR102" s="53"/>
      <c r="EXS102" s="53"/>
      <c r="EXT102" s="53"/>
      <c r="EXU102" s="53"/>
      <c r="EXV102" s="53"/>
      <c r="EXW102" s="53"/>
      <c r="EXX102" s="53"/>
      <c r="EXY102" s="53"/>
      <c r="EXZ102" s="53"/>
      <c r="EYA102" s="53"/>
      <c r="EYB102" s="53"/>
      <c r="EYC102" s="53"/>
      <c r="EYD102" s="53"/>
      <c r="EYE102" s="53"/>
      <c r="EYF102" s="53"/>
      <c r="EYG102" s="53"/>
      <c r="EYH102" s="53"/>
      <c r="EYI102" s="53"/>
      <c r="EYJ102" s="53"/>
      <c r="EYK102" s="53"/>
      <c r="EYL102" s="53"/>
      <c r="EYM102" s="53"/>
      <c r="EYN102" s="53"/>
      <c r="EYO102" s="53"/>
      <c r="EYP102" s="53"/>
      <c r="EYQ102" s="53"/>
      <c r="EYR102" s="53"/>
      <c r="EYS102" s="53"/>
      <c r="EYT102" s="53"/>
      <c r="EYU102" s="53"/>
      <c r="EYV102" s="53"/>
      <c r="EYW102" s="53"/>
      <c r="EYX102" s="53"/>
      <c r="EYY102" s="53"/>
      <c r="EYZ102" s="53"/>
      <c r="EZA102" s="53"/>
      <c r="EZB102" s="53"/>
      <c r="EZC102" s="53"/>
      <c r="EZD102" s="53"/>
      <c r="EZE102" s="53"/>
      <c r="EZF102" s="53"/>
      <c r="EZG102" s="53"/>
      <c r="EZH102" s="53"/>
      <c r="EZI102" s="53"/>
      <c r="EZJ102" s="53"/>
      <c r="EZK102" s="53"/>
      <c r="EZL102" s="53"/>
      <c r="EZM102" s="53"/>
      <c r="EZN102" s="53"/>
      <c r="EZO102" s="53"/>
      <c r="EZP102" s="53"/>
      <c r="EZQ102" s="53"/>
      <c r="EZR102" s="53"/>
      <c r="EZS102" s="53"/>
      <c r="EZT102" s="53"/>
      <c r="EZU102" s="53"/>
      <c r="EZV102" s="53"/>
      <c r="EZW102" s="53"/>
      <c r="EZX102" s="53"/>
      <c r="EZY102" s="53"/>
      <c r="EZZ102" s="53"/>
      <c r="FAA102" s="53"/>
      <c r="FAB102" s="53"/>
      <c r="FAC102" s="53"/>
      <c r="FAD102" s="53"/>
      <c r="FAE102" s="53"/>
      <c r="FAF102" s="53"/>
      <c r="FAG102" s="53"/>
      <c r="FAH102" s="53"/>
      <c r="FAI102" s="53"/>
      <c r="FAJ102" s="53"/>
      <c r="FAK102" s="53"/>
      <c r="FAL102" s="53"/>
      <c r="FAM102" s="53"/>
      <c r="FAN102" s="53"/>
      <c r="FAO102" s="53"/>
      <c r="FAP102" s="53"/>
      <c r="FAQ102" s="53"/>
      <c r="FAR102" s="53"/>
      <c r="FAS102" s="53"/>
      <c r="FAT102" s="53"/>
      <c r="FAU102" s="53"/>
      <c r="FAV102" s="53"/>
      <c r="FAW102" s="53"/>
      <c r="FAX102" s="53"/>
      <c r="FAY102" s="53"/>
      <c r="FAZ102" s="53"/>
      <c r="FBA102" s="53"/>
      <c r="FBB102" s="53"/>
      <c r="FBC102" s="53"/>
      <c r="FBD102" s="53"/>
      <c r="FBE102" s="53"/>
      <c r="FBF102" s="53"/>
      <c r="FBG102" s="53"/>
      <c r="FBH102" s="53"/>
      <c r="FBI102" s="53"/>
      <c r="FBJ102" s="53"/>
      <c r="FBK102" s="53"/>
      <c r="FBL102" s="53"/>
      <c r="FBM102" s="53"/>
      <c r="FBN102" s="53"/>
      <c r="FBO102" s="53"/>
      <c r="FBP102" s="53"/>
      <c r="FBQ102" s="53"/>
      <c r="FBR102" s="53"/>
      <c r="FBS102" s="53"/>
      <c r="FBT102" s="53"/>
      <c r="FBU102" s="53"/>
      <c r="FBV102" s="53"/>
      <c r="FBW102" s="53"/>
      <c r="FBX102" s="53"/>
      <c r="FBY102" s="53"/>
      <c r="FBZ102" s="53"/>
      <c r="FCA102" s="53"/>
      <c r="FCB102" s="53"/>
      <c r="FCC102" s="53"/>
      <c r="FCD102" s="53"/>
      <c r="FCE102" s="53"/>
      <c r="FCF102" s="53"/>
      <c r="FCG102" s="53"/>
      <c r="FCH102" s="53"/>
      <c r="FCI102" s="53"/>
      <c r="FCJ102" s="53"/>
      <c r="FCK102" s="53"/>
      <c r="FCL102" s="53"/>
      <c r="FCM102" s="53"/>
      <c r="FCN102" s="53"/>
      <c r="FCO102" s="53"/>
      <c r="FCP102" s="53"/>
      <c r="FCQ102" s="53"/>
      <c r="FCR102" s="53"/>
      <c r="FCS102" s="53"/>
      <c r="FCT102" s="53"/>
      <c r="FCU102" s="53"/>
      <c r="FCV102" s="53"/>
      <c r="FCW102" s="53"/>
      <c r="FCX102" s="53"/>
      <c r="FCY102" s="53"/>
      <c r="FCZ102" s="53"/>
      <c r="FDA102" s="53"/>
      <c r="FDB102" s="53"/>
      <c r="FDC102" s="53"/>
      <c r="FDD102" s="53"/>
      <c r="FDE102" s="53"/>
      <c r="FDF102" s="53"/>
      <c r="FDG102" s="53"/>
      <c r="FDH102" s="53"/>
      <c r="FDI102" s="53"/>
      <c r="FDJ102" s="53"/>
      <c r="FDK102" s="53"/>
      <c r="FDL102" s="53"/>
      <c r="FDM102" s="53"/>
      <c r="FDN102" s="53"/>
      <c r="FDO102" s="53"/>
      <c r="FDP102" s="53"/>
      <c r="FDQ102" s="53"/>
      <c r="FDR102" s="53"/>
      <c r="FDS102" s="53"/>
      <c r="FDT102" s="53"/>
      <c r="FDU102" s="53"/>
      <c r="FDV102" s="53"/>
      <c r="FDW102" s="53"/>
      <c r="FDX102" s="53"/>
      <c r="FDY102" s="53"/>
      <c r="FDZ102" s="53"/>
      <c r="FEA102" s="53"/>
      <c r="FEB102" s="53"/>
      <c r="FEC102" s="53"/>
      <c r="FED102" s="53"/>
      <c r="FEE102" s="53"/>
      <c r="FEF102" s="53"/>
      <c r="FEG102" s="53"/>
      <c r="FEH102" s="53"/>
      <c r="FEI102" s="53"/>
      <c r="FEJ102" s="53"/>
      <c r="FEK102" s="53"/>
      <c r="FEL102" s="53"/>
      <c r="FEM102" s="53"/>
      <c r="FEN102" s="53"/>
      <c r="FEO102" s="53"/>
      <c r="FEP102" s="53"/>
      <c r="FEQ102" s="53"/>
      <c r="FER102" s="53"/>
      <c r="FES102" s="53"/>
      <c r="FET102" s="53"/>
      <c r="FEU102" s="53"/>
      <c r="FEV102" s="53"/>
      <c r="FEW102" s="53"/>
      <c r="FEX102" s="53"/>
      <c r="FEY102" s="53"/>
      <c r="FEZ102" s="53"/>
      <c r="FFA102" s="53"/>
      <c r="FFB102" s="53"/>
      <c r="FFC102" s="53"/>
      <c r="FFD102" s="53"/>
      <c r="FFE102" s="53"/>
      <c r="FFF102" s="53"/>
      <c r="FFG102" s="53"/>
      <c r="FFH102" s="53"/>
      <c r="FFI102" s="53"/>
      <c r="FFJ102" s="53"/>
      <c r="FFK102" s="53"/>
      <c r="FFL102" s="53"/>
      <c r="FFM102" s="53"/>
      <c r="FFN102" s="53"/>
      <c r="FFO102" s="53"/>
      <c r="FFP102" s="53"/>
      <c r="FFQ102" s="53"/>
      <c r="FFR102" s="53"/>
      <c r="FFS102" s="53"/>
      <c r="FFT102" s="53"/>
      <c r="FFU102" s="53"/>
      <c r="FFV102" s="53"/>
      <c r="FFW102" s="53"/>
      <c r="FFX102" s="53"/>
      <c r="FFY102" s="53"/>
      <c r="FFZ102" s="53"/>
      <c r="FGA102" s="53"/>
      <c r="FGB102" s="53"/>
      <c r="FGC102" s="53"/>
      <c r="FGD102" s="53"/>
      <c r="FGE102" s="53"/>
      <c r="FGF102" s="53"/>
      <c r="FGG102" s="53"/>
      <c r="FGH102" s="53"/>
      <c r="FGI102" s="53"/>
      <c r="FGJ102" s="53"/>
      <c r="FGK102" s="53"/>
      <c r="FGL102" s="53"/>
      <c r="FGM102" s="53"/>
      <c r="FGN102" s="53"/>
      <c r="FGO102" s="53"/>
      <c r="FGP102" s="53"/>
      <c r="FGQ102" s="53"/>
      <c r="FGR102" s="53"/>
      <c r="FGS102" s="53"/>
      <c r="FGT102" s="53"/>
      <c r="FGU102" s="53"/>
      <c r="FGV102" s="53"/>
      <c r="FGW102" s="53"/>
      <c r="FGX102" s="53"/>
      <c r="FGY102" s="53"/>
      <c r="FGZ102" s="53"/>
      <c r="FHA102" s="53"/>
      <c r="FHB102" s="53"/>
      <c r="FHC102" s="53"/>
      <c r="FHD102" s="53"/>
      <c r="FHE102" s="53"/>
      <c r="FHF102" s="53"/>
      <c r="FHG102" s="53"/>
      <c r="FHH102" s="53"/>
      <c r="FHI102" s="53"/>
      <c r="FHJ102" s="53"/>
      <c r="FHK102" s="53"/>
      <c r="FHL102" s="53"/>
      <c r="FHM102" s="53"/>
      <c r="FHN102" s="53"/>
      <c r="FHO102" s="53"/>
      <c r="FHP102" s="53"/>
      <c r="FHQ102" s="53"/>
      <c r="FHR102" s="53"/>
      <c r="FHS102" s="53"/>
      <c r="FHT102" s="53"/>
      <c r="FHU102" s="53"/>
      <c r="FHV102" s="53"/>
      <c r="FHW102" s="53"/>
      <c r="FHX102" s="53"/>
      <c r="FHY102" s="53"/>
      <c r="FHZ102" s="53"/>
      <c r="FIA102" s="53"/>
      <c r="FIB102" s="53"/>
      <c r="FIC102" s="53"/>
      <c r="FID102" s="53"/>
      <c r="FIE102" s="53"/>
      <c r="FIF102" s="53"/>
      <c r="FIG102" s="53"/>
      <c r="FIH102" s="53"/>
      <c r="FII102" s="53"/>
      <c r="FIJ102" s="53"/>
      <c r="FIK102" s="53"/>
      <c r="FIL102" s="53"/>
      <c r="FIM102" s="53"/>
      <c r="FIN102" s="53"/>
      <c r="FIO102" s="53"/>
      <c r="FIP102" s="53"/>
      <c r="FIQ102" s="53"/>
      <c r="FIR102" s="53"/>
      <c r="FIS102" s="53"/>
      <c r="FIT102" s="53"/>
      <c r="FIU102" s="53"/>
      <c r="FIV102" s="53"/>
      <c r="FIW102" s="53"/>
      <c r="FIX102" s="53"/>
      <c r="FIY102" s="53"/>
      <c r="FIZ102" s="53"/>
      <c r="FJA102" s="53"/>
      <c r="FJB102" s="53"/>
      <c r="FJC102" s="53"/>
      <c r="FJD102" s="53"/>
      <c r="FJE102" s="53"/>
      <c r="FJF102" s="53"/>
      <c r="FJG102" s="53"/>
      <c r="FJH102" s="53"/>
      <c r="FJI102" s="53"/>
      <c r="FJJ102" s="53"/>
      <c r="FJK102" s="53"/>
      <c r="FJL102" s="53"/>
      <c r="FJM102" s="53"/>
      <c r="FJN102" s="53"/>
      <c r="FJO102" s="53"/>
      <c r="FJP102" s="53"/>
      <c r="FJQ102" s="53"/>
      <c r="FJR102" s="53"/>
      <c r="FJS102" s="53"/>
      <c r="FJT102" s="53"/>
      <c r="FJU102" s="53"/>
      <c r="FJV102" s="53"/>
      <c r="FJW102" s="53"/>
      <c r="FJX102" s="53"/>
      <c r="FJY102" s="53"/>
      <c r="FJZ102" s="53"/>
      <c r="FKA102" s="53"/>
      <c r="FKB102" s="53"/>
      <c r="FKC102" s="53"/>
      <c r="FKD102" s="53"/>
      <c r="FKE102" s="53"/>
      <c r="FKF102" s="53"/>
      <c r="FKG102" s="53"/>
      <c r="FKH102" s="53"/>
      <c r="FKI102" s="53"/>
      <c r="FKJ102" s="53"/>
      <c r="FKK102" s="53"/>
      <c r="FKL102" s="53"/>
      <c r="FKM102" s="53"/>
      <c r="FKN102" s="53"/>
      <c r="FKO102" s="53"/>
      <c r="FKP102" s="53"/>
      <c r="FKQ102" s="53"/>
      <c r="FKR102" s="53"/>
      <c r="FKS102" s="53"/>
      <c r="FKT102" s="53"/>
      <c r="FKU102" s="53"/>
      <c r="FKV102" s="53"/>
      <c r="FKW102" s="53"/>
      <c r="FKX102" s="53"/>
      <c r="FKY102" s="53"/>
      <c r="FKZ102" s="53"/>
      <c r="FLA102" s="53"/>
      <c r="FLB102" s="53"/>
      <c r="FLC102" s="53"/>
      <c r="FLD102" s="53"/>
      <c r="FLE102" s="53"/>
      <c r="FLF102" s="53"/>
      <c r="FLG102" s="53"/>
      <c r="FLH102" s="53"/>
      <c r="FLI102" s="53"/>
      <c r="FLJ102" s="53"/>
      <c r="FLK102" s="53"/>
      <c r="FLL102" s="53"/>
      <c r="FLM102" s="53"/>
      <c r="FLN102" s="53"/>
      <c r="FLO102" s="53"/>
      <c r="FLP102" s="53"/>
      <c r="FLQ102" s="53"/>
      <c r="FLR102" s="53"/>
      <c r="FLS102" s="53"/>
      <c r="FLT102" s="53"/>
      <c r="FLU102" s="53"/>
      <c r="FLV102" s="53"/>
      <c r="FLW102" s="53"/>
      <c r="FLX102" s="53"/>
      <c r="FLY102" s="53"/>
      <c r="FLZ102" s="53"/>
      <c r="FMA102" s="53"/>
      <c r="FMB102" s="53"/>
      <c r="FMC102" s="53"/>
      <c r="FMD102" s="53"/>
      <c r="FME102" s="53"/>
      <c r="FMF102" s="53"/>
      <c r="FMG102" s="53"/>
      <c r="FMH102" s="53"/>
      <c r="FMI102" s="53"/>
      <c r="FMJ102" s="53"/>
      <c r="FMK102" s="53"/>
      <c r="FML102" s="53"/>
      <c r="FMM102" s="53"/>
      <c r="FMN102" s="53"/>
      <c r="FMO102" s="53"/>
      <c r="FMP102" s="53"/>
      <c r="FMQ102" s="53"/>
      <c r="FMR102" s="53"/>
      <c r="FMS102" s="53"/>
      <c r="FMT102" s="53"/>
      <c r="FMU102" s="53"/>
      <c r="FMV102" s="53"/>
      <c r="FMW102" s="53"/>
      <c r="FMX102" s="53"/>
      <c r="FMY102" s="53"/>
      <c r="FMZ102" s="53"/>
      <c r="FNA102" s="53"/>
      <c r="FNB102" s="53"/>
      <c r="FNC102" s="53"/>
      <c r="FND102" s="53"/>
      <c r="FNE102" s="53"/>
      <c r="FNF102" s="53"/>
      <c r="FNG102" s="53"/>
      <c r="FNH102" s="53"/>
      <c r="FNI102" s="53"/>
      <c r="FNJ102" s="53"/>
      <c r="FNK102" s="53"/>
      <c r="FNL102" s="53"/>
      <c r="FNM102" s="53"/>
      <c r="FNN102" s="53"/>
      <c r="FNO102" s="53"/>
      <c r="FNP102" s="53"/>
      <c r="FNQ102" s="53"/>
      <c r="FNR102" s="53"/>
      <c r="FNS102" s="53"/>
      <c r="FNT102" s="53"/>
      <c r="FNU102" s="53"/>
      <c r="FNV102" s="53"/>
      <c r="FNW102" s="53"/>
      <c r="FNX102" s="53"/>
      <c r="FNY102" s="53"/>
      <c r="FNZ102" s="53"/>
      <c r="FOA102" s="53"/>
      <c r="FOB102" s="53"/>
      <c r="FOC102" s="53"/>
      <c r="FOD102" s="53"/>
      <c r="FOE102" s="53"/>
      <c r="FOF102" s="53"/>
      <c r="FOG102" s="53"/>
      <c r="FOH102" s="53"/>
      <c r="FOI102" s="53"/>
      <c r="FOJ102" s="53"/>
      <c r="FOK102" s="53"/>
      <c r="FOL102" s="53"/>
      <c r="FOM102" s="53"/>
      <c r="FON102" s="53"/>
      <c r="FOO102" s="53"/>
      <c r="FOP102" s="53"/>
      <c r="FOQ102" s="53"/>
      <c r="FOR102" s="53"/>
      <c r="FOS102" s="53"/>
      <c r="FOT102" s="53"/>
      <c r="FOU102" s="53"/>
      <c r="FOV102" s="53"/>
      <c r="FOW102" s="53"/>
      <c r="FOX102" s="53"/>
      <c r="FOY102" s="53"/>
      <c r="FOZ102" s="53"/>
      <c r="FPA102" s="53"/>
      <c r="FPB102" s="53"/>
      <c r="FPC102" s="53"/>
      <c r="FPD102" s="53"/>
      <c r="FPE102" s="53"/>
      <c r="FPF102" s="53"/>
      <c r="FPG102" s="53"/>
      <c r="FPH102" s="53"/>
      <c r="FPI102" s="53"/>
      <c r="FPJ102" s="53"/>
      <c r="FPK102" s="53"/>
      <c r="FPL102" s="53"/>
      <c r="FPM102" s="53"/>
      <c r="FPN102" s="53"/>
      <c r="FPO102" s="53"/>
      <c r="FPP102" s="53"/>
      <c r="FPQ102" s="53"/>
      <c r="FPR102" s="53"/>
      <c r="FPS102" s="53"/>
      <c r="FPT102" s="53"/>
      <c r="FPU102" s="53"/>
      <c r="FPV102" s="53"/>
      <c r="FPW102" s="53"/>
      <c r="FPX102" s="53"/>
      <c r="FPY102" s="53"/>
      <c r="FPZ102" s="53"/>
      <c r="FQA102" s="53"/>
      <c r="FQB102" s="53"/>
      <c r="FQC102" s="53"/>
      <c r="FQD102" s="53"/>
      <c r="FQE102" s="53"/>
      <c r="FQF102" s="53"/>
      <c r="FQG102" s="53"/>
      <c r="FQH102" s="53"/>
      <c r="FQI102" s="53"/>
      <c r="FQJ102" s="53"/>
      <c r="FQK102" s="53"/>
      <c r="FQL102" s="53"/>
      <c r="FQM102" s="53"/>
      <c r="FQN102" s="53"/>
      <c r="FQO102" s="53"/>
      <c r="FQP102" s="53"/>
      <c r="FQQ102" s="53"/>
      <c r="FQR102" s="53"/>
      <c r="FQS102" s="53"/>
      <c r="FQT102" s="53"/>
      <c r="FQU102" s="53"/>
      <c r="FQV102" s="53"/>
      <c r="FQW102" s="53"/>
      <c r="FQX102" s="53"/>
      <c r="FQY102" s="53"/>
      <c r="FQZ102" s="53"/>
      <c r="FRA102" s="53"/>
      <c r="FRB102" s="53"/>
      <c r="FRC102" s="53"/>
      <c r="FRD102" s="53"/>
      <c r="FRE102" s="53"/>
      <c r="FRF102" s="53"/>
      <c r="FRG102" s="53"/>
      <c r="FRH102" s="53"/>
      <c r="FRI102" s="53"/>
      <c r="FRJ102" s="53"/>
      <c r="FRK102" s="53"/>
      <c r="FRL102" s="53"/>
      <c r="FRM102" s="53"/>
      <c r="FRN102" s="53"/>
      <c r="FRO102" s="53"/>
      <c r="FRP102" s="53"/>
      <c r="FRQ102" s="53"/>
      <c r="FRR102" s="53"/>
      <c r="FRS102" s="53"/>
      <c r="FRT102" s="53"/>
      <c r="FRU102" s="53"/>
      <c r="FRV102" s="53"/>
      <c r="FRW102" s="53"/>
      <c r="FRX102" s="53"/>
      <c r="FRY102" s="53"/>
      <c r="FRZ102" s="53"/>
      <c r="FSA102" s="53"/>
      <c r="FSB102" s="53"/>
      <c r="FSC102" s="53"/>
      <c r="FSD102" s="53"/>
      <c r="FSE102" s="53"/>
      <c r="FSF102" s="53"/>
      <c r="FSG102" s="53"/>
      <c r="FSH102" s="53"/>
      <c r="FSI102" s="53"/>
      <c r="FSJ102" s="53"/>
      <c r="FSK102" s="53"/>
      <c r="FSL102" s="53"/>
      <c r="FSM102" s="53"/>
      <c r="FSN102" s="53"/>
      <c r="FSO102" s="53"/>
      <c r="FSP102" s="53"/>
      <c r="FSQ102" s="53"/>
      <c r="FSR102" s="53"/>
      <c r="FSS102" s="53"/>
      <c r="FST102" s="53"/>
      <c r="FSU102" s="53"/>
      <c r="FSV102" s="53"/>
      <c r="FSW102" s="53"/>
      <c r="FSX102" s="53"/>
      <c r="FSY102" s="53"/>
      <c r="FSZ102" s="53"/>
      <c r="FTA102" s="53"/>
      <c r="FTB102" s="53"/>
      <c r="FTC102" s="53"/>
      <c r="FTD102" s="53"/>
      <c r="FTE102" s="53"/>
      <c r="FTF102" s="53"/>
      <c r="FTG102" s="53"/>
      <c r="FTH102" s="53"/>
      <c r="FTI102" s="53"/>
      <c r="FTJ102" s="53"/>
      <c r="FTK102" s="53"/>
      <c r="FTL102" s="53"/>
      <c r="FTM102" s="53"/>
      <c r="FTN102" s="53"/>
      <c r="FTO102" s="53"/>
      <c r="FTP102" s="53"/>
      <c r="FTQ102" s="53"/>
      <c r="FTR102" s="53"/>
      <c r="FTS102" s="53"/>
      <c r="FTT102" s="53"/>
      <c r="FTU102" s="53"/>
      <c r="FTV102" s="53"/>
      <c r="FTW102" s="53"/>
      <c r="FTX102" s="53"/>
      <c r="FTY102" s="53"/>
      <c r="FTZ102" s="53"/>
      <c r="FUA102" s="53"/>
      <c r="FUB102" s="53"/>
      <c r="FUC102" s="53"/>
      <c r="FUD102" s="53"/>
      <c r="FUE102" s="53"/>
      <c r="FUF102" s="53"/>
      <c r="FUG102" s="53"/>
      <c r="FUH102" s="53"/>
      <c r="FUI102" s="53"/>
      <c r="FUJ102" s="53"/>
      <c r="FUK102" s="53"/>
      <c r="FUL102" s="53"/>
      <c r="FUM102" s="53"/>
      <c r="FUN102" s="53"/>
      <c r="FUO102" s="53"/>
      <c r="FUP102" s="53"/>
      <c r="FUQ102" s="53"/>
      <c r="FUR102" s="53"/>
      <c r="FUS102" s="53"/>
      <c r="FUT102" s="53"/>
      <c r="FUU102" s="53"/>
      <c r="FUV102" s="53"/>
      <c r="FUW102" s="53"/>
      <c r="FUX102" s="53"/>
      <c r="FUY102" s="53"/>
      <c r="FUZ102" s="53"/>
      <c r="FVA102" s="53"/>
      <c r="FVB102" s="53"/>
      <c r="FVC102" s="53"/>
      <c r="FVD102" s="53"/>
      <c r="FVE102" s="53"/>
      <c r="FVF102" s="53"/>
      <c r="FVG102" s="53"/>
      <c r="FVH102" s="53"/>
      <c r="FVI102" s="53"/>
      <c r="FVJ102" s="53"/>
      <c r="FVK102" s="53"/>
      <c r="FVL102" s="53"/>
      <c r="FVM102" s="53"/>
      <c r="FVN102" s="53"/>
      <c r="FVO102" s="53"/>
      <c r="FVP102" s="53"/>
      <c r="FVQ102" s="53"/>
      <c r="FVR102" s="53"/>
      <c r="FVS102" s="53"/>
      <c r="FVT102" s="53"/>
      <c r="FVU102" s="53"/>
      <c r="FVV102" s="53"/>
      <c r="FVW102" s="53"/>
      <c r="FVX102" s="53"/>
      <c r="FVY102" s="53"/>
      <c r="FVZ102" s="53"/>
      <c r="FWA102" s="53"/>
      <c r="FWB102" s="53"/>
      <c r="FWC102" s="53"/>
      <c r="FWD102" s="53"/>
      <c r="FWE102" s="53"/>
      <c r="FWF102" s="53"/>
      <c r="FWG102" s="53"/>
      <c r="FWH102" s="53"/>
      <c r="FWI102" s="53"/>
      <c r="FWJ102" s="53"/>
      <c r="FWK102" s="53"/>
      <c r="FWL102" s="53"/>
      <c r="FWM102" s="53"/>
      <c r="FWN102" s="53"/>
      <c r="FWO102" s="53"/>
      <c r="FWP102" s="53"/>
      <c r="FWQ102" s="53"/>
      <c r="FWR102" s="53"/>
      <c r="FWS102" s="53"/>
      <c r="FWT102" s="53"/>
      <c r="FWU102" s="53"/>
      <c r="FWV102" s="53"/>
      <c r="FWW102" s="53"/>
      <c r="FWX102" s="53"/>
      <c r="FWY102" s="53"/>
      <c r="FWZ102" s="53"/>
      <c r="FXA102" s="53"/>
      <c r="FXB102" s="53"/>
      <c r="FXC102" s="53"/>
      <c r="FXD102" s="53"/>
      <c r="FXE102" s="53"/>
      <c r="FXF102" s="53"/>
      <c r="FXG102" s="53"/>
      <c r="FXH102" s="53"/>
      <c r="FXI102" s="53"/>
      <c r="FXJ102" s="53"/>
      <c r="FXK102" s="53"/>
      <c r="FXL102" s="53"/>
      <c r="FXM102" s="53"/>
      <c r="FXN102" s="53"/>
      <c r="FXO102" s="53"/>
      <c r="FXP102" s="53"/>
      <c r="FXQ102" s="53"/>
      <c r="FXR102" s="53"/>
      <c r="FXS102" s="53"/>
      <c r="FXT102" s="53"/>
      <c r="FXU102" s="53"/>
      <c r="FXV102" s="53"/>
      <c r="FXW102" s="53"/>
      <c r="FXX102" s="53"/>
      <c r="FXY102" s="53"/>
      <c r="FXZ102" s="53"/>
      <c r="FYA102" s="53"/>
      <c r="FYB102" s="53"/>
      <c r="FYC102" s="53"/>
      <c r="FYD102" s="53"/>
      <c r="FYE102" s="53"/>
      <c r="FYF102" s="53"/>
      <c r="FYG102" s="53"/>
      <c r="FYH102" s="53"/>
      <c r="FYI102" s="53"/>
      <c r="FYJ102" s="53"/>
      <c r="FYK102" s="53"/>
      <c r="FYL102" s="53"/>
      <c r="FYM102" s="53"/>
      <c r="FYN102" s="53"/>
      <c r="FYO102" s="53"/>
      <c r="FYP102" s="53"/>
      <c r="FYQ102" s="53"/>
      <c r="FYR102" s="53"/>
      <c r="FYS102" s="53"/>
      <c r="FYT102" s="53"/>
      <c r="FYU102" s="53"/>
      <c r="FYV102" s="53"/>
      <c r="FYW102" s="53"/>
      <c r="FYX102" s="53"/>
      <c r="FYY102" s="53"/>
      <c r="FYZ102" s="53"/>
      <c r="FZA102" s="53"/>
      <c r="FZB102" s="53"/>
      <c r="FZC102" s="53"/>
      <c r="FZD102" s="53"/>
      <c r="FZE102" s="53"/>
      <c r="FZF102" s="53"/>
      <c r="FZG102" s="53"/>
      <c r="FZH102" s="53"/>
      <c r="FZI102" s="53"/>
      <c r="FZJ102" s="53"/>
      <c r="FZK102" s="53"/>
      <c r="FZL102" s="53"/>
      <c r="FZM102" s="53"/>
      <c r="FZN102" s="53"/>
      <c r="FZO102" s="53"/>
      <c r="FZP102" s="53"/>
      <c r="FZQ102" s="53"/>
      <c r="FZR102" s="53"/>
      <c r="FZS102" s="53"/>
      <c r="FZT102" s="53"/>
      <c r="FZU102" s="53"/>
      <c r="FZV102" s="53"/>
      <c r="FZW102" s="53"/>
      <c r="FZX102" s="53"/>
      <c r="FZY102" s="53"/>
      <c r="FZZ102" s="53"/>
      <c r="GAA102" s="53"/>
      <c r="GAB102" s="53"/>
      <c r="GAC102" s="53"/>
      <c r="GAD102" s="53"/>
      <c r="GAE102" s="53"/>
      <c r="GAF102" s="53"/>
      <c r="GAG102" s="53"/>
      <c r="GAH102" s="53"/>
      <c r="GAI102" s="53"/>
      <c r="GAJ102" s="53"/>
      <c r="GAK102" s="53"/>
      <c r="GAL102" s="53"/>
      <c r="GAM102" s="53"/>
      <c r="GAN102" s="53"/>
      <c r="GAO102" s="53"/>
      <c r="GAP102" s="53"/>
      <c r="GAQ102" s="53"/>
      <c r="GAR102" s="53"/>
      <c r="GAS102" s="53"/>
      <c r="GAT102" s="53"/>
      <c r="GAU102" s="53"/>
      <c r="GAV102" s="53"/>
      <c r="GAW102" s="53"/>
      <c r="GAX102" s="53"/>
      <c r="GAY102" s="53"/>
      <c r="GAZ102" s="53"/>
      <c r="GBA102" s="53"/>
      <c r="GBB102" s="53"/>
      <c r="GBC102" s="53"/>
      <c r="GBD102" s="53"/>
      <c r="GBE102" s="53"/>
      <c r="GBF102" s="53"/>
      <c r="GBG102" s="53"/>
      <c r="GBH102" s="53"/>
      <c r="GBI102" s="53"/>
      <c r="GBJ102" s="53"/>
      <c r="GBK102" s="53"/>
      <c r="GBL102" s="53"/>
      <c r="GBM102" s="53"/>
      <c r="GBN102" s="53"/>
      <c r="GBO102" s="53"/>
      <c r="GBP102" s="53"/>
      <c r="GBQ102" s="53"/>
      <c r="GBR102" s="53"/>
      <c r="GBS102" s="53"/>
      <c r="GBT102" s="53"/>
      <c r="GBU102" s="53"/>
      <c r="GBV102" s="53"/>
      <c r="GBW102" s="53"/>
      <c r="GBX102" s="53"/>
      <c r="GBY102" s="53"/>
      <c r="GBZ102" s="53"/>
      <c r="GCA102" s="53"/>
      <c r="GCB102" s="53"/>
      <c r="GCC102" s="53"/>
      <c r="GCD102" s="53"/>
      <c r="GCE102" s="53"/>
      <c r="GCF102" s="53"/>
      <c r="GCG102" s="53"/>
      <c r="GCH102" s="53"/>
      <c r="GCI102" s="53"/>
      <c r="GCJ102" s="53"/>
      <c r="GCK102" s="53"/>
      <c r="GCL102" s="53"/>
      <c r="GCM102" s="53"/>
      <c r="GCN102" s="53"/>
      <c r="GCO102" s="53"/>
      <c r="GCP102" s="53"/>
      <c r="GCQ102" s="53"/>
      <c r="GCR102" s="53"/>
      <c r="GCS102" s="53"/>
      <c r="GCT102" s="53"/>
      <c r="GCU102" s="53"/>
      <c r="GCV102" s="53"/>
      <c r="GCW102" s="53"/>
      <c r="GCX102" s="53"/>
      <c r="GCY102" s="53"/>
      <c r="GCZ102" s="53"/>
      <c r="GDA102" s="53"/>
      <c r="GDB102" s="53"/>
      <c r="GDC102" s="53"/>
      <c r="GDD102" s="53"/>
      <c r="GDE102" s="53"/>
      <c r="GDF102" s="53"/>
      <c r="GDG102" s="53"/>
      <c r="GDH102" s="53"/>
      <c r="GDI102" s="53"/>
      <c r="GDJ102" s="53"/>
      <c r="GDK102" s="53"/>
      <c r="GDL102" s="53"/>
      <c r="GDM102" s="53"/>
      <c r="GDN102" s="53"/>
      <c r="GDO102" s="53"/>
      <c r="GDP102" s="53"/>
      <c r="GDQ102" s="53"/>
      <c r="GDR102" s="53"/>
      <c r="GDS102" s="53"/>
      <c r="GDT102" s="53"/>
      <c r="GDU102" s="53"/>
      <c r="GDV102" s="53"/>
      <c r="GDW102" s="53"/>
      <c r="GDX102" s="53"/>
      <c r="GDY102" s="53"/>
      <c r="GDZ102" s="53"/>
      <c r="GEA102" s="53"/>
      <c r="GEB102" s="53"/>
      <c r="GEC102" s="53"/>
      <c r="GED102" s="53"/>
      <c r="GEE102" s="53"/>
      <c r="GEF102" s="53"/>
      <c r="GEG102" s="53"/>
      <c r="GEH102" s="53"/>
      <c r="GEI102" s="53"/>
      <c r="GEJ102" s="53"/>
      <c r="GEK102" s="53"/>
      <c r="GEL102" s="53"/>
      <c r="GEM102" s="53"/>
      <c r="GEN102" s="53"/>
      <c r="GEO102" s="53"/>
      <c r="GEP102" s="53"/>
      <c r="GEQ102" s="53"/>
      <c r="GER102" s="53"/>
      <c r="GES102" s="53"/>
      <c r="GET102" s="53"/>
      <c r="GEU102" s="53"/>
      <c r="GEV102" s="53"/>
      <c r="GEW102" s="53"/>
      <c r="GEX102" s="53"/>
      <c r="GEY102" s="53"/>
      <c r="GEZ102" s="53"/>
      <c r="GFA102" s="53"/>
      <c r="GFB102" s="53"/>
      <c r="GFC102" s="53"/>
      <c r="GFD102" s="53"/>
      <c r="GFE102" s="53"/>
      <c r="GFF102" s="53"/>
      <c r="GFG102" s="53"/>
      <c r="GFH102" s="53"/>
      <c r="GFI102" s="53"/>
      <c r="GFJ102" s="53"/>
      <c r="GFK102" s="53"/>
      <c r="GFL102" s="53"/>
      <c r="GFM102" s="53"/>
      <c r="GFN102" s="53"/>
      <c r="GFO102" s="53"/>
      <c r="GFP102" s="53"/>
      <c r="GFQ102" s="53"/>
      <c r="GFR102" s="53"/>
      <c r="GFS102" s="53"/>
      <c r="GFT102" s="53"/>
      <c r="GFU102" s="53"/>
      <c r="GFV102" s="53"/>
      <c r="GFW102" s="53"/>
      <c r="GFX102" s="53"/>
      <c r="GFY102" s="53"/>
      <c r="GFZ102" s="53"/>
      <c r="GGA102" s="53"/>
      <c r="GGB102" s="53"/>
      <c r="GGC102" s="53"/>
      <c r="GGD102" s="53"/>
      <c r="GGE102" s="53"/>
      <c r="GGF102" s="53"/>
      <c r="GGG102" s="53"/>
      <c r="GGH102" s="53"/>
      <c r="GGI102" s="53"/>
      <c r="GGJ102" s="53"/>
      <c r="GGK102" s="53"/>
      <c r="GGL102" s="53"/>
      <c r="GGM102" s="53"/>
      <c r="GGN102" s="53"/>
      <c r="GGO102" s="53"/>
      <c r="GGP102" s="53"/>
      <c r="GGQ102" s="53"/>
      <c r="GGR102" s="53"/>
      <c r="GGS102" s="53"/>
      <c r="GGT102" s="53"/>
      <c r="GGU102" s="53"/>
      <c r="GGV102" s="53"/>
      <c r="GGW102" s="53"/>
      <c r="GGX102" s="53"/>
      <c r="GGY102" s="53"/>
      <c r="GGZ102" s="53"/>
      <c r="GHA102" s="53"/>
      <c r="GHB102" s="53"/>
      <c r="GHC102" s="53"/>
      <c r="GHD102" s="53"/>
      <c r="GHE102" s="53"/>
      <c r="GHF102" s="53"/>
      <c r="GHG102" s="53"/>
      <c r="GHH102" s="53"/>
      <c r="GHI102" s="53"/>
      <c r="GHJ102" s="53"/>
      <c r="GHK102" s="53"/>
      <c r="GHL102" s="53"/>
      <c r="GHM102" s="53"/>
      <c r="GHN102" s="53"/>
      <c r="GHO102" s="53"/>
      <c r="GHP102" s="53"/>
      <c r="GHQ102" s="53"/>
      <c r="GHR102" s="53"/>
      <c r="GHS102" s="53"/>
      <c r="GHT102" s="53"/>
      <c r="GHU102" s="53"/>
      <c r="GHV102" s="53"/>
      <c r="GHW102" s="53"/>
      <c r="GHX102" s="53"/>
      <c r="GHY102" s="53"/>
      <c r="GHZ102" s="53"/>
      <c r="GIA102" s="53"/>
      <c r="GIB102" s="53"/>
      <c r="GIC102" s="53"/>
      <c r="GID102" s="53"/>
      <c r="GIE102" s="53"/>
      <c r="GIF102" s="53"/>
      <c r="GIG102" s="53"/>
      <c r="GIH102" s="53"/>
      <c r="GII102" s="53"/>
      <c r="GIJ102" s="53"/>
      <c r="GIK102" s="53"/>
      <c r="GIL102" s="53"/>
      <c r="GIM102" s="53"/>
      <c r="GIN102" s="53"/>
      <c r="GIO102" s="53"/>
      <c r="GIP102" s="53"/>
      <c r="GIQ102" s="53"/>
      <c r="GIR102" s="53"/>
      <c r="GIS102" s="53"/>
      <c r="GIT102" s="53"/>
      <c r="GIU102" s="53"/>
      <c r="GIV102" s="53"/>
      <c r="GIW102" s="53"/>
      <c r="GIX102" s="53"/>
      <c r="GIY102" s="53"/>
      <c r="GIZ102" s="53"/>
      <c r="GJA102" s="53"/>
      <c r="GJB102" s="53"/>
      <c r="GJC102" s="53"/>
      <c r="GJD102" s="53"/>
      <c r="GJE102" s="53"/>
      <c r="GJF102" s="53"/>
      <c r="GJG102" s="53"/>
      <c r="GJH102" s="53"/>
      <c r="GJI102" s="53"/>
      <c r="GJJ102" s="53"/>
      <c r="GJK102" s="53"/>
      <c r="GJL102" s="53"/>
      <c r="GJM102" s="53"/>
      <c r="GJN102" s="53"/>
      <c r="GJO102" s="53"/>
      <c r="GJP102" s="53"/>
      <c r="GJQ102" s="53"/>
      <c r="GJR102" s="53"/>
      <c r="GJS102" s="53"/>
      <c r="GJT102" s="53"/>
      <c r="GJU102" s="53"/>
      <c r="GJV102" s="53"/>
      <c r="GJW102" s="53"/>
      <c r="GJX102" s="53"/>
      <c r="GJY102" s="53"/>
      <c r="GJZ102" s="53"/>
      <c r="GKA102" s="53"/>
      <c r="GKB102" s="53"/>
      <c r="GKC102" s="53"/>
      <c r="GKD102" s="53"/>
      <c r="GKE102" s="53"/>
      <c r="GKF102" s="53"/>
      <c r="GKG102" s="53"/>
      <c r="GKH102" s="53"/>
      <c r="GKI102" s="53"/>
      <c r="GKJ102" s="53"/>
      <c r="GKK102" s="53"/>
      <c r="GKL102" s="53"/>
      <c r="GKM102" s="53"/>
      <c r="GKN102" s="53"/>
      <c r="GKO102" s="53"/>
      <c r="GKP102" s="53"/>
      <c r="GKQ102" s="53"/>
      <c r="GKR102" s="53"/>
      <c r="GKS102" s="53"/>
      <c r="GKT102" s="53"/>
      <c r="GKU102" s="53"/>
      <c r="GKV102" s="53"/>
      <c r="GKW102" s="53"/>
      <c r="GKX102" s="53"/>
      <c r="GKY102" s="53"/>
      <c r="GKZ102" s="53"/>
      <c r="GLA102" s="53"/>
      <c r="GLB102" s="53"/>
      <c r="GLC102" s="53"/>
      <c r="GLD102" s="53"/>
      <c r="GLE102" s="53"/>
      <c r="GLF102" s="53"/>
      <c r="GLG102" s="53"/>
      <c r="GLH102" s="53"/>
      <c r="GLI102" s="53"/>
      <c r="GLJ102" s="53"/>
      <c r="GLK102" s="53"/>
      <c r="GLL102" s="53"/>
      <c r="GLM102" s="53"/>
      <c r="GLN102" s="53"/>
      <c r="GLO102" s="53"/>
      <c r="GLP102" s="53"/>
      <c r="GLQ102" s="53"/>
      <c r="GLR102" s="53"/>
      <c r="GLS102" s="53"/>
      <c r="GLT102" s="53"/>
      <c r="GLU102" s="53"/>
      <c r="GLV102" s="53"/>
      <c r="GLW102" s="53"/>
      <c r="GLX102" s="53"/>
      <c r="GLY102" s="53"/>
      <c r="GLZ102" s="53"/>
      <c r="GMA102" s="53"/>
      <c r="GMB102" s="53"/>
      <c r="GMC102" s="53"/>
      <c r="GMD102" s="53"/>
      <c r="GME102" s="53"/>
      <c r="GMF102" s="53"/>
      <c r="GMG102" s="53"/>
      <c r="GMH102" s="53"/>
      <c r="GMI102" s="53"/>
      <c r="GMJ102" s="53"/>
      <c r="GMK102" s="53"/>
      <c r="GML102" s="53"/>
      <c r="GMM102" s="53"/>
      <c r="GMN102" s="53"/>
      <c r="GMO102" s="53"/>
      <c r="GMP102" s="53"/>
      <c r="GMQ102" s="53"/>
      <c r="GMR102" s="53"/>
      <c r="GMS102" s="53"/>
      <c r="GMT102" s="53"/>
      <c r="GMU102" s="53"/>
      <c r="GMV102" s="53"/>
      <c r="GMW102" s="53"/>
      <c r="GMX102" s="53"/>
      <c r="GMY102" s="53"/>
      <c r="GMZ102" s="53"/>
      <c r="GNA102" s="53"/>
      <c r="GNB102" s="53"/>
      <c r="GNC102" s="53"/>
      <c r="GND102" s="53"/>
      <c r="GNE102" s="53"/>
      <c r="GNF102" s="53"/>
      <c r="GNG102" s="53"/>
      <c r="GNH102" s="53"/>
      <c r="GNI102" s="53"/>
      <c r="GNJ102" s="53"/>
      <c r="GNK102" s="53"/>
      <c r="GNL102" s="53"/>
      <c r="GNM102" s="53"/>
      <c r="GNN102" s="53"/>
      <c r="GNO102" s="53"/>
      <c r="GNP102" s="53"/>
      <c r="GNQ102" s="53"/>
      <c r="GNR102" s="53"/>
      <c r="GNS102" s="53"/>
      <c r="GNT102" s="53"/>
      <c r="GNU102" s="53"/>
      <c r="GNV102" s="53"/>
      <c r="GNW102" s="53"/>
      <c r="GNX102" s="53"/>
      <c r="GNY102" s="53"/>
      <c r="GNZ102" s="53"/>
      <c r="GOA102" s="53"/>
      <c r="GOB102" s="53"/>
      <c r="GOC102" s="53"/>
      <c r="GOD102" s="53"/>
      <c r="GOE102" s="53"/>
      <c r="GOF102" s="53"/>
      <c r="GOG102" s="53"/>
      <c r="GOH102" s="53"/>
      <c r="GOI102" s="53"/>
      <c r="GOJ102" s="53"/>
      <c r="GOK102" s="53"/>
      <c r="GOL102" s="53"/>
      <c r="GOM102" s="53"/>
      <c r="GON102" s="53"/>
      <c r="GOO102" s="53"/>
      <c r="GOP102" s="53"/>
      <c r="GOQ102" s="53"/>
      <c r="GOR102" s="53"/>
      <c r="GOS102" s="53"/>
      <c r="GOT102" s="53"/>
      <c r="GOU102" s="53"/>
      <c r="GOV102" s="53"/>
      <c r="GOW102" s="53"/>
      <c r="GOX102" s="53"/>
      <c r="GOY102" s="53"/>
      <c r="GOZ102" s="53"/>
      <c r="GPA102" s="53"/>
      <c r="GPB102" s="53"/>
      <c r="GPC102" s="53"/>
      <c r="GPD102" s="53"/>
      <c r="GPE102" s="53"/>
      <c r="GPF102" s="53"/>
      <c r="GPG102" s="53"/>
      <c r="GPH102" s="53"/>
      <c r="GPI102" s="53"/>
      <c r="GPJ102" s="53"/>
      <c r="GPK102" s="53"/>
      <c r="GPL102" s="53"/>
      <c r="GPM102" s="53"/>
      <c r="GPN102" s="53"/>
      <c r="GPO102" s="53"/>
      <c r="GPP102" s="53"/>
      <c r="GPQ102" s="53"/>
      <c r="GPR102" s="53"/>
      <c r="GPS102" s="53"/>
      <c r="GPT102" s="53"/>
      <c r="GPU102" s="53"/>
      <c r="GPV102" s="53"/>
      <c r="GPW102" s="53"/>
      <c r="GPX102" s="53"/>
      <c r="GPY102" s="53"/>
      <c r="GPZ102" s="53"/>
      <c r="GQA102" s="53"/>
      <c r="GQB102" s="53"/>
      <c r="GQC102" s="53"/>
      <c r="GQD102" s="53"/>
      <c r="GQE102" s="53"/>
      <c r="GQF102" s="53"/>
      <c r="GQG102" s="53"/>
      <c r="GQH102" s="53"/>
      <c r="GQI102" s="53"/>
      <c r="GQJ102" s="53"/>
      <c r="GQK102" s="53"/>
      <c r="GQL102" s="53"/>
      <c r="GQM102" s="53"/>
      <c r="GQN102" s="53"/>
      <c r="GQO102" s="53"/>
      <c r="GQP102" s="53"/>
      <c r="GQQ102" s="53"/>
      <c r="GQR102" s="53"/>
      <c r="GQS102" s="53"/>
      <c r="GQT102" s="53"/>
      <c r="GQU102" s="53"/>
      <c r="GQV102" s="53"/>
      <c r="GQW102" s="53"/>
      <c r="GQX102" s="53"/>
      <c r="GQY102" s="53"/>
      <c r="GQZ102" s="53"/>
      <c r="GRA102" s="53"/>
      <c r="GRB102" s="53"/>
      <c r="GRC102" s="53"/>
      <c r="GRD102" s="53"/>
      <c r="GRE102" s="53"/>
      <c r="GRF102" s="53"/>
      <c r="GRG102" s="53"/>
      <c r="GRH102" s="53"/>
      <c r="GRI102" s="53"/>
      <c r="GRJ102" s="53"/>
      <c r="GRK102" s="53"/>
      <c r="GRL102" s="53"/>
      <c r="GRM102" s="53"/>
      <c r="GRN102" s="53"/>
      <c r="GRO102" s="53"/>
      <c r="GRP102" s="53"/>
      <c r="GRQ102" s="53"/>
      <c r="GRR102" s="53"/>
      <c r="GRS102" s="53"/>
      <c r="GRT102" s="53"/>
      <c r="GRU102" s="53"/>
      <c r="GRV102" s="53"/>
      <c r="GRW102" s="53"/>
      <c r="GRX102" s="53"/>
      <c r="GRY102" s="53"/>
      <c r="GRZ102" s="53"/>
      <c r="GSA102" s="53"/>
      <c r="GSB102" s="53"/>
      <c r="GSC102" s="53"/>
      <c r="GSD102" s="53"/>
      <c r="GSE102" s="53"/>
      <c r="GSF102" s="53"/>
      <c r="GSG102" s="53"/>
      <c r="GSH102" s="53"/>
      <c r="GSI102" s="53"/>
      <c r="GSJ102" s="53"/>
      <c r="GSK102" s="53"/>
      <c r="GSL102" s="53"/>
      <c r="GSM102" s="53"/>
      <c r="GSN102" s="53"/>
      <c r="GSO102" s="53"/>
      <c r="GSP102" s="53"/>
      <c r="GSQ102" s="53"/>
      <c r="GSR102" s="53"/>
      <c r="GSS102" s="53"/>
      <c r="GST102" s="53"/>
      <c r="GSU102" s="53"/>
      <c r="GSV102" s="53"/>
      <c r="GSW102" s="53"/>
      <c r="GSX102" s="53"/>
      <c r="GSY102" s="53"/>
      <c r="GSZ102" s="53"/>
      <c r="GTA102" s="53"/>
      <c r="GTB102" s="53"/>
      <c r="GTC102" s="53"/>
      <c r="GTD102" s="53"/>
      <c r="GTE102" s="53"/>
      <c r="GTF102" s="53"/>
      <c r="GTG102" s="53"/>
      <c r="GTH102" s="53"/>
      <c r="GTI102" s="53"/>
      <c r="GTJ102" s="53"/>
      <c r="GTK102" s="53"/>
      <c r="GTL102" s="53"/>
      <c r="GTM102" s="53"/>
      <c r="GTN102" s="53"/>
      <c r="GTO102" s="53"/>
      <c r="GTP102" s="53"/>
      <c r="GTQ102" s="53"/>
      <c r="GTR102" s="53"/>
      <c r="GTS102" s="53"/>
      <c r="GTT102" s="53"/>
      <c r="GTU102" s="53"/>
      <c r="GTV102" s="53"/>
      <c r="GTW102" s="53"/>
      <c r="GTX102" s="53"/>
      <c r="GTY102" s="53"/>
      <c r="GTZ102" s="53"/>
      <c r="GUA102" s="53"/>
      <c r="GUB102" s="53"/>
      <c r="GUC102" s="53"/>
      <c r="GUD102" s="53"/>
      <c r="GUE102" s="53"/>
      <c r="GUF102" s="53"/>
      <c r="GUG102" s="53"/>
      <c r="GUH102" s="53"/>
      <c r="GUI102" s="53"/>
      <c r="GUJ102" s="53"/>
      <c r="GUK102" s="53"/>
      <c r="GUL102" s="53"/>
      <c r="GUM102" s="53"/>
      <c r="GUN102" s="53"/>
      <c r="GUO102" s="53"/>
      <c r="GUP102" s="53"/>
      <c r="GUQ102" s="53"/>
      <c r="GUR102" s="53"/>
      <c r="GUS102" s="53"/>
      <c r="GUT102" s="53"/>
      <c r="GUU102" s="53"/>
      <c r="GUV102" s="53"/>
      <c r="GUW102" s="53"/>
      <c r="GUX102" s="53"/>
      <c r="GUY102" s="53"/>
      <c r="GUZ102" s="53"/>
      <c r="GVA102" s="53"/>
      <c r="GVB102" s="53"/>
      <c r="GVC102" s="53"/>
      <c r="GVD102" s="53"/>
      <c r="GVE102" s="53"/>
      <c r="GVF102" s="53"/>
      <c r="GVG102" s="53"/>
      <c r="GVH102" s="53"/>
      <c r="GVI102" s="53"/>
      <c r="GVJ102" s="53"/>
      <c r="GVK102" s="53"/>
      <c r="GVL102" s="53"/>
      <c r="GVM102" s="53"/>
      <c r="GVN102" s="53"/>
      <c r="GVO102" s="53"/>
      <c r="GVP102" s="53"/>
      <c r="GVQ102" s="53"/>
      <c r="GVR102" s="53"/>
      <c r="GVS102" s="53"/>
      <c r="GVT102" s="53"/>
      <c r="GVU102" s="53"/>
      <c r="GVV102" s="53"/>
      <c r="GVW102" s="53"/>
      <c r="GVX102" s="53"/>
      <c r="GVY102" s="53"/>
      <c r="GVZ102" s="53"/>
      <c r="GWA102" s="53"/>
      <c r="GWB102" s="53"/>
      <c r="GWC102" s="53"/>
      <c r="GWD102" s="53"/>
      <c r="GWE102" s="53"/>
      <c r="GWF102" s="53"/>
      <c r="GWG102" s="53"/>
      <c r="GWH102" s="53"/>
      <c r="GWI102" s="53"/>
      <c r="GWJ102" s="53"/>
      <c r="GWK102" s="53"/>
      <c r="GWL102" s="53"/>
      <c r="GWM102" s="53"/>
      <c r="GWN102" s="53"/>
      <c r="GWO102" s="53"/>
      <c r="GWP102" s="53"/>
      <c r="GWQ102" s="53"/>
      <c r="GWR102" s="53"/>
      <c r="GWS102" s="53"/>
      <c r="GWT102" s="53"/>
      <c r="GWU102" s="53"/>
      <c r="GWV102" s="53"/>
      <c r="GWW102" s="53"/>
      <c r="GWX102" s="53"/>
      <c r="GWY102" s="53"/>
      <c r="GWZ102" s="53"/>
      <c r="GXA102" s="53"/>
      <c r="GXB102" s="53"/>
      <c r="GXC102" s="53"/>
      <c r="GXD102" s="53"/>
      <c r="GXE102" s="53"/>
      <c r="GXF102" s="53"/>
      <c r="GXG102" s="53"/>
      <c r="GXH102" s="53"/>
      <c r="GXI102" s="53"/>
      <c r="GXJ102" s="53"/>
      <c r="GXK102" s="53"/>
      <c r="GXL102" s="53"/>
      <c r="GXM102" s="53"/>
      <c r="GXN102" s="53"/>
      <c r="GXO102" s="53"/>
      <c r="GXP102" s="53"/>
      <c r="GXQ102" s="53"/>
      <c r="GXR102" s="53"/>
      <c r="GXS102" s="53"/>
      <c r="GXT102" s="53"/>
      <c r="GXU102" s="53"/>
      <c r="GXV102" s="53"/>
      <c r="GXW102" s="53"/>
      <c r="GXX102" s="53"/>
      <c r="GXY102" s="53"/>
      <c r="GXZ102" s="53"/>
      <c r="GYA102" s="53"/>
      <c r="GYB102" s="53"/>
      <c r="GYC102" s="53"/>
      <c r="GYD102" s="53"/>
      <c r="GYE102" s="53"/>
      <c r="GYF102" s="53"/>
      <c r="GYG102" s="53"/>
      <c r="GYH102" s="53"/>
      <c r="GYI102" s="53"/>
      <c r="GYJ102" s="53"/>
      <c r="GYK102" s="53"/>
      <c r="GYL102" s="53"/>
      <c r="GYM102" s="53"/>
      <c r="GYN102" s="53"/>
      <c r="GYO102" s="53"/>
      <c r="GYP102" s="53"/>
      <c r="GYQ102" s="53"/>
      <c r="GYR102" s="53"/>
      <c r="GYS102" s="53"/>
      <c r="GYT102" s="53"/>
      <c r="GYU102" s="53"/>
      <c r="GYV102" s="53"/>
      <c r="GYW102" s="53"/>
      <c r="GYX102" s="53"/>
      <c r="GYY102" s="53"/>
      <c r="GYZ102" s="53"/>
      <c r="GZA102" s="53"/>
      <c r="GZB102" s="53"/>
      <c r="GZC102" s="53"/>
      <c r="GZD102" s="53"/>
      <c r="GZE102" s="53"/>
      <c r="GZF102" s="53"/>
      <c r="GZG102" s="53"/>
      <c r="GZH102" s="53"/>
      <c r="GZI102" s="53"/>
      <c r="GZJ102" s="53"/>
      <c r="GZK102" s="53"/>
      <c r="GZL102" s="53"/>
      <c r="GZM102" s="53"/>
      <c r="GZN102" s="53"/>
      <c r="GZO102" s="53"/>
      <c r="GZP102" s="53"/>
      <c r="GZQ102" s="53"/>
      <c r="GZR102" s="53"/>
      <c r="GZS102" s="53"/>
      <c r="GZT102" s="53"/>
      <c r="GZU102" s="53"/>
      <c r="GZV102" s="53"/>
      <c r="GZW102" s="53"/>
      <c r="GZX102" s="53"/>
      <c r="GZY102" s="53"/>
      <c r="GZZ102" s="53"/>
      <c r="HAA102" s="53"/>
      <c r="HAB102" s="53"/>
      <c r="HAC102" s="53"/>
      <c r="HAD102" s="53"/>
      <c r="HAE102" s="53"/>
      <c r="HAF102" s="53"/>
      <c r="HAG102" s="53"/>
      <c r="HAH102" s="53"/>
      <c r="HAI102" s="53"/>
      <c r="HAJ102" s="53"/>
      <c r="HAK102" s="53"/>
      <c r="HAL102" s="53"/>
      <c r="HAM102" s="53"/>
      <c r="HAN102" s="53"/>
      <c r="HAO102" s="53"/>
      <c r="HAP102" s="53"/>
      <c r="HAQ102" s="53"/>
      <c r="HAR102" s="53"/>
      <c r="HAS102" s="53"/>
      <c r="HAT102" s="53"/>
      <c r="HAU102" s="53"/>
      <c r="HAV102" s="53"/>
      <c r="HAW102" s="53"/>
      <c r="HAX102" s="53"/>
      <c r="HAY102" s="53"/>
      <c r="HAZ102" s="53"/>
      <c r="HBA102" s="53"/>
      <c r="HBB102" s="53"/>
      <c r="HBC102" s="53"/>
      <c r="HBD102" s="53"/>
      <c r="HBE102" s="53"/>
      <c r="HBF102" s="53"/>
      <c r="HBG102" s="53"/>
      <c r="HBH102" s="53"/>
      <c r="HBI102" s="53"/>
      <c r="HBJ102" s="53"/>
      <c r="HBK102" s="53"/>
      <c r="HBL102" s="53"/>
      <c r="HBM102" s="53"/>
      <c r="HBN102" s="53"/>
      <c r="HBO102" s="53"/>
      <c r="HBP102" s="53"/>
      <c r="HBQ102" s="53"/>
      <c r="HBR102" s="53"/>
      <c r="HBS102" s="53"/>
      <c r="HBT102" s="53"/>
      <c r="HBU102" s="53"/>
      <c r="HBV102" s="53"/>
      <c r="HBW102" s="53"/>
      <c r="HBX102" s="53"/>
      <c r="HBY102" s="53"/>
      <c r="HBZ102" s="53"/>
      <c r="HCA102" s="53"/>
      <c r="HCB102" s="53"/>
      <c r="HCC102" s="53"/>
      <c r="HCD102" s="53"/>
      <c r="HCE102" s="53"/>
      <c r="HCF102" s="53"/>
      <c r="HCG102" s="53"/>
      <c r="HCH102" s="53"/>
      <c r="HCI102" s="53"/>
      <c r="HCJ102" s="53"/>
      <c r="HCK102" s="53"/>
      <c r="HCL102" s="53"/>
      <c r="HCM102" s="53"/>
      <c r="HCN102" s="53"/>
      <c r="HCO102" s="53"/>
      <c r="HCP102" s="53"/>
      <c r="HCQ102" s="53"/>
      <c r="HCR102" s="53"/>
      <c r="HCS102" s="53"/>
      <c r="HCT102" s="53"/>
      <c r="HCU102" s="53"/>
      <c r="HCV102" s="53"/>
      <c r="HCW102" s="53"/>
      <c r="HCX102" s="53"/>
      <c r="HCY102" s="53"/>
      <c r="HCZ102" s="53"/>
      <c r="HDA102" s="53"/>
      <c r="HDB102" s="53"/>
      <c r="HDC102" s="53"/>
      <c r="HDD102" s="53"/>
      <c r="HDE102" s="53"/>
      <c r="HDF102" s="53"/>
      <c r="HDG102" s="53"/>
      <c r="HDH102" s="53"/>
      <c r="HDI102" s="53"/>
      <c r="HDJ102" s="53"/>
      <c r="HDK102" s="53"/>
      <c r="HDL102" s="53"/>
      <c r="HDM102" s="53"/>
      <c r="HDN102" s="53"/>
      <c r="HDO102" s="53"/>
      <c r="HDP102" s="53"/>
      <c r="HDQ102" s="53"/>
      <c r="HDR102" s="53"/>
      <c r="HDS102" s="53"/>
      <c r="HDT102" s="53"/>
      <c r="HDU102" s="53"/>
      <c r="HDV102" s="53"/>
      <c r="HDW102" s="53"/>
      <c r="HDX102" s="53"/>
      <c r="HDY102" s="53"/>
      <c r="HDZ102" s="53"/>
      <c r="HEA102" s="53"/>
      <c r="HEB102" s="53"/>
      <c r="HEC102" s="53"/>
      <c r="HED102" s="53"/>
      <c r="HEE102" s="53"/>
      <c r="HEF102" s="53"/>
      <c r="HEG102" s="53"/>
      <c r="HEH102" s="53"/>
      <c r="HEI102" s="53"/>
      <c r="HEJ102" s="53"/>
      <c r="HEK102" s="53"/>
      <c r="HEL102" s="53"/>
      <c r="HEM102" s="53"/>
      <c r="HEN102" s="53"/>
      <c r="HEO102" s="53"/>
      <c r="HEP102" s="53"/>
      <c r="HEQ102" s="53"/>
      <c r="HER102" s="53"/>
      <c r="HES102" s="53"/>
      <c r="HET102" s="53"/>
      <c r="HEU102" s="53"/>
      <c r="HEV102" s="53"/>
      <c r="HEW102" s="53"/>
      <c r="HEX102" s="53"/>
      <c r="HEY102" s="53"/>
      <c r="HEZ102" s="53"/>
      <c r="HFA102" s="53"/>
      <c r="HFB102" s="53"/>
      <c r="HFC102" s="53"/>
      <c r="HFD102" s="53"/>
      <c r="HFE102" s="53"/>
      <c r="HFF102" s="53"/>
      <c r="HFG102" s="53"/>
      <c r="HFH102" s="53"/>
      <c r="HFI102" s="53"/>
      <c r="HFJ102" s="53"/>
      <c r="HFK102" s="53"/>
      <c r="HFL102" s="53"/>
      <c r="HFM102" s="53"/>
      <c r="HFN102" s="53"/>
      <c r="HFO102" s="53"/>
      <c r="HFP102" s="53"/>
      <c r="HFQ102" s="53"/>
      <c r="HFR102" s="53"/>
      <c r="HFS102" s="53"/>
      <c r="HFT102" s="53"/>
      <c r="HFU102" s="53"/>
      <c r="HFV102" s="53"/>
      <c r="HFW102" s="53"/>
      <c r="HFX102" s="53"/>
      <c r="HFY102" s="53"/>
      <c r="HFZ102" s="53"/>
      <c r="HGA102" s="53"/>
      <c r="HGB102" s="53"/>
      <c r="HGC102" s="53"/>
      <c r="HGD102" s="53"/>
      <c r="HGE102" s="53"/>
      <c r="HGF102" s="53"/>
      <c r="HGG102" s="53"/>
      <c r="HGH102" s="53"/>
      <c r="HGI102" s="53"/>
      <c r="HGJ102" s="53"/>
      <c r="HGK102" s="53"/>
      <c r="HGL102" s="53"/>
      <c r="HGM102" s="53"/>
      <c r="HGN102" s="53"/>
      <c r="HGO102" s="53"/>
      <c r="HGP102" s="53"/>
      <c r="HGQ102" s="53"/>
      <c r="HGR102" s="53"/>
      <c r="HGS102" s="53"/>
      <c r="HGT102" s="53"/>
      <c r="HGU102" s="53"/>
      <c r="HGV102" s="53"/>
      <c r="HGW102" s="53"/>
      <c r="HGX102" s="53"/>
      <c r="HGY102" s="53"/>
      <c r="HGZ102" s="53"/>
      <c r="HHA102" s="53"/>
      <c r="HHB102" s="53"/>
      <c r="HHC102" s="53"/>
      <c r="HHD102" s="53"/>
      <c r="HHE102" s="53"/>
      <c r="HHF102" s="53"/>
      <c r="HHG102" s="53"/>
      <c r="HHH102" s="53"/>
      <c r="HHI102" s="53"/>
      <c r="HHJ102" s="53"/>
      <c r="HHK102" s="53"/>
      <c r="HHL102" s="53"/>
      <c r="HHM102" s="53"/>
      <c r="HHN102" s="53"/>
      <c r="HHO102" s="53"/>
      <c r="HHP102" s="53"/>
      <c r="HHQ102" s="53"/>
      <c r="HHR102" s="53"/>
      <c r="HHS102" s="53"/>
      <c r="HHT102" s="53"/>
      <c r="HHU102" s="53"/>
      <c r="HHV102" s="53"/>
      <c r="HHW102" s="53"/>
      <c r="HHX102" s="53"/>
      <c r="HHY102" s="53"/>
      <c r="HHZ102" s="53"/>
      <c r="HIA102" s="53"/>
      <c r="HIB102" s="53"/>
      <c r="HIC102" s="53"/>
      <c r="HID102" s="53"/>
      <c r="HIE102" s="53"/>
      <c r="HIF102" s="53"/>
      <c r="HIG102" s="53"/>
      <c r="HIH102" s="53"/>
      <c r="HII102" s="53"/>
      <c r="HIJ102" s="53"/>
      <c r="HIK102" s="53"/>
      <c r="HIL102" s="53"/>
      <c r="HIM102" s="53"/>
      <c r="HIN102" s="53"/>
      <c r="HIO102" s="53"/>
      <c r="HIP102" s="53"/>
      <c r="HIQ102" s="53"/>
      <c r="HIR102" s="53"/>
      <c r="HIS102" s="53"/>
      <c r="HIT102" s="53"/>
      <c r="HIU102" s="53"/>
      <c r="HIV102" s="53"/>
      <c r="HIW102" s="53"/>
      <c r="HIX102" s="53"/>
      <c r="HIY102" s="53"/>
      <c r="HIZ102" s="53"/>
      <c r="HJA102" s="53"/>
      <c r="HJB102" s="53"/>
      <c r="HJC102" s="53"/>
      <c r="HJD102" s="53"/>
      <c r="HJE102" s="53"/>
      <c r="HJF102" s="53"/>
      <c r="HJG102" s="53"/>
      <c r="HJH102" s="53"/>
      <c r="HJI102" s="53"/>
      <c r="HJJ102" s="53"/>
      <c r="HJK102" s="53"/>
      <c r="HJL102" s="53"/>
      <c r="HJM102" s="53"/>
      <c r="HJN102" s="53"/>
      <c r="HJO102" s="53"/>
      <c r="HJP102" s="53"/>
      <c r="HJQ102" s="53"/>
      <c r="HJR102" s="53"/>
      <c r="HJS102" s="53"/>
      <c r="HJT102" s="53"/>
      <c r="HJU102" s="53"/>
      <c r="HJV102" s="53"/>
      <c r="HJW102" s="53"/>
      <c r="HJX102" s="53"/>
      <c r="HJY102" s="53"/>
      <c r="HJZ102" s="53"/>
      <c r="HKA102" s="53"/>
      <c r="HKB102" s="53"/>
      <c r="HKC102" s="53"/>
      <c r="HKD102" s="53"/>
      <c r="HKE102" s="53"/>
      <c r="HKF102" s="53"/>
      <c r="HKG102" s="53"/>
      <c r="HKH102" s="53"/>
      <c r="HKI102" s="53"/>
      <c r="HKJ102" s="53"/>
      <c r="HKK102" s="53"/>
      <c r="HKL102" s="53"/>
      <c r="HKM102" s="53"/>
      <c r="HKN102" s="53"/>
      <c r="HKO102" s="53"/>
      <c r="HKP102" s="53"/>
      <c r="HKQ102" s="53"/>
      <c r="HKR102" s="53"/>
      <c r="HKS102" s="53"/>
      <c r="HKT102" s="53"/>
      <c r="HKU102" s="53"/>
      <c r="HKV102" s="53"/>
      <c r="HKW102" s="53"/>
      <c r="HKX102" s="53"/>
      <c r="HKY102" s="53"/>
      <c r="HKZ102" s="53"/>
      <c r="HLA102" s="53"/>
      <c r="HLB102" s="53"/>
      <c r="HLC102" s="53"/>
      <c r="HLD102" s="53"/>
      <c r="HLE102" s="53"/>
      <c r="HLF102" s="53"/>
      <c r="HLG102" s="53"/>
      <c r="HLH102" s="53"/>
      <c r="HLI102" s="53"/>
      <c r="HLJ102" s="53"/>
      <c r="HLK102" s="53"/>
      <c r="HLL102" s="53"/>
      <c r="HLM102" s="53"/>
      <c r="HLN102" s="53"/>
      <c r="HLO102" s="53"/>
      <c r="HLP102" s="53"/>
      <c r="HLQ102" s="53"/>
      <c r="HLR102" s="53"/>
      <c r="HLS102" s="53"/>
      <c r="HLT102" s="53"/>
      <c r="HLU102" s="53"/>
      <c r="HLV102" s="53"/>
      <c r="HLW102" s="53"/>
      <c r="HLX102" s="53"/>
      <c r="HLY102" s="53"/>
      <c r="HLZ102" s="53"/>
      <c r="HMA102" s="53"/>
      <c r="HMB102" s="53"/>
      <c r="HMC102" s="53"/>
      <c r="HMD102" s="53"/>
      <c r="HME102" s="53"/>
      <c r="HMF102" s="53"/>
      <c r="HMG102" s="53"/>
      <c r="HMH102" s="53"/>
      <c r="HMI102" s="53"/>
      <c r="HMJ102" s="53"/>
      <c r="HMK102" s="53"/>
      <c r="HML102" s="53"/>
      <c r="HMM102" s="53"/>
      <c r="HMN102" s="53"/>
      <c r="HMO102" s="53"/>
      <c r="HMP102" s="53"/>
      <c r="HMQ102" s="53"/>
      <c r="HMR102" s="53"/>
      <c r="HMS102" s="53"/>
      <c r="HMT102" s="53"/>
      <c r="HMU102" s="53"/>
      <c r="HMV102" s="53"/>
      <c r="HMW102" s="53"/>
      <c r="HMX102" s="53"/>
      <c r="HMY102" s="53"/>
      <c r="HMZ102" s="53"/>
      <c r="HNA102" s="53"/>
      <c r="HNB102" s="53"/>
      <c r="HNC102" s="53"/>
      <c r="HND102" s="53"/>
      <c r="HNE102" s="53"/>
      <c r="HNF102" s="53"/>
      <c r="HNG102" s="53"/>
      <c r="HNH102" s="53"/>
      <c r="HNI102" s="53"/>
      <c r="HNJ102" s="53"/>
      <c r="HNK102" s="53"/>
      <c r="HNL102" s="53"/>
      <c r="HNM102" s="53"/>
      <c r="HNN102" s="53"/>
      <c r="HNO102" s="53"/>
      <c r="HNP102" s="53"/>
      <c r="HNQ102" s="53"/>
      <c r="HNR102" s="53"/>
      <c r="HNS102" s="53"/>
      <c r="HNT102" s="53"/>
      <c r="HNU102" s="53"/>
      <c r="HNV102" s="53"/>
      <c r="HNW102" s="53"/>
      <c r="HNX102" s="53"/>
      <c r="HNY102" s="53"/>
      <c r="HNZ102" s="53"/>
      <c r="HOA102" s="53"/>
      <c r="HOB102" s="53"/>
      <c r="HOC102" s="53"/>
      <c r="HOD102" s="53"/>
      <c r="HOE102" s="53"/>
      <c r="HOF102" s="53"/>
      <c r="HOG102" s="53"/>
      <c r="HOH102" s="53"/>
      <c r="HOI102" s="53"/>
      <c r="HOJ102" s="53"/>
      <c r="HOK102" s="53"/>
      <c r="HOL102" s="53"/>
      <c r="HOM102" s="53"/>
      <c r="HON102" s="53"/>
      <c r="HOO102" s="53"/>
      <c r="HOP102" s="53"/>
      <c r="HOQ102" s="53"/>
      <c r="HOR102" s="53"/>
      <c r="HOS102" s="53"/>
      <c r="HOT102" s="53"/>
      <c r="HOU102" s="53"/>
      <c r="HOV102" s="53"/>
      <c r="HOW102" s="53"/>
      <c r="HOX102" s="53"/>
      <c r="HOY102" s="53"/>
      <c r="HOZ102" s="53"/>
      <c r="HPA102" s="53"/>
      <c r="HPB102" s="53"/>
      <c r="HPC102" s="53"/>
      <c r="HPD102" s="53"/>
      <c r="HPE102" s="53"/>
      <c r="HPF102" s="53"/>
      <c r="HPG102" s="53"/>
      <c r="HPH102" s="53"/>
      <c r="HPI102" s="53"/>
      <c r="HPJ102" s="53"/>
      <c r="HPK102" s="53"/>
      <c r="HPL102" s="53"/>
      <c r="HPM102" s="53"/>
      <c r="HPN102" s="53"/>
      <c r="HPO102" s="53"/>
      <c r="HPP102" s="53"/>
      <c r="HPQ102" s="53"/>
      <c r="HPR102" s="53"/>
      <c r="HPS102" s="53"/>
      <c r="HPT102" s="53"/>
      <c r="HPU102" s="53"/>
      <c r="HPV102" s="53"/>
      <c r="HPW102" s="53"/>
      <c r="HPX102" s="53"/>
      <c r="HPY102" s="53"/>
      <c r="HPZ102" s="53"/>
      <c r="HQA102" s="53"/>
      <c r="HQB102" s="53"/>
      <c r="HQC102" s="53"/>
      <c r="HQD102" s="53"/>
      <c r="HQE102" s="53"/>
      <c r="HQF102" s="53"/>
      <c r="HQG102" s="53"/>
      <c r="HQH102" s="53"/>
      <c r="HQI102" s="53"/>
      <c r="HQJ102" s="53"/>
      <c r="HQK102" s="53"/>
      <c r="HQL102" s="53"/>
      <c r="HQM102" s="53"/>
      <c r="HQN102" s="53"/>
      <c r="HQO102" s="53"/>
      <c r="HQP102" s="53"/>
      <c r="HQQ102" s="53"/>
      <c r="HQR102" s="53"/>
      <c r="HQS102" s="53"/>
      <c r="HQT102" s="53"/>
      <c r="HQU102" s="53"/>
      <c r="HQV102" s="53"/>
      <c r="HQW102" s="53"/>
      <c r="HQX102" s="53"/>
      <c r="HQY102" s="53"/>
      <c r="HQZ102" s="53"/>
      <c r="HRA102" s="53"/>
      <c r="HRB102" s="53"/>
      <c r="HRC102" s="53"/>
      <c r="HRD102" s="53"/>
      <c r="HRE102" s="53"/>
      <c r="HRF102" s="53"/>
      <c r="HRG102" s="53"/>
      <c r="HRH102" s="53"/>
      <c r="HRI102" s="53"/>
      <c r="HRJ102" s="53"/>
      <c r="HRK102" s="53"/>
      <c r="HRL102" s="53"/>
      <c r="HRM102" s="53"/>
      <c r="HRN102" s="53"/>
      <c r="HRO102" s="53"/>
      <c r="HRP102" s="53"/>
      <c r="HRQ102" s="53"/>
      <c r="HRR102" s="53"/>
      <c r="HRS102" s="53"/>
      <c r="HRT102" s="53"/>
      <c r="HRU102" s="53"/>
      <c r="HRV102" s="53"/>
      <c r="HRW102" s="53"/>
      <c r="HRX102" s="53"/>
      <c r="HRY102" s="53"/>
      <c r="HRZ102" s="53"/>
      <c r="HSA102" s="53"/>
      <c r="HSB102" s="53"/>
      <c r="HSC102" s="53"/>
      <c r="HSD102" s="53"/>
      <c r="HSE102" s="53"/>
      <c r="HSF102" s="53"/>
      <c r="HSG102" s="53"/>
      <c r="HSH102" s="53"/>
      <c r="HSI102" s="53"/>
      <c r="HSJ102" s="53"/>
      <c r="HSK102" s="53"/>
      <c r="HSL102" s="53"/>
      <c r="HSM102" s="53"/>
      <c r="HSN102" s="53"/>
      <c r="HSO102" s="53"/>
      <c r="HSP102" s="53"/>
      <c r="HSQ102" s="53"/>
      <c r="HSR102" s="53"/>
      <c r="HSS102" s="53"/>
      <c r="HST102" s="53"/>
      <c r="HSU102" s="53"/>
      <c r="HSV102" s="53"/>
      <c r="HSW102" s="53"/>
      <c r="HSX102" s="53"/>
      <c r="HSY102" s="53"/>
      <c r="HSZ102" s="53"/>
      <c r="HTA102" s="53"/>
      <c r="HTB102" s="53"/>
      <c r="HTC102" s="53"/>
      <c r="HTD102" s="53"/>
      <c r="HTE102" s="53"/>
      <c r="HTF102" s="53"/>
      <c r="HTG102" s="53"/>
      <c r="HTH102" s="53"/>
      <c r="HTI102" s="53"/>
      <c r="HTJ102" s="53"/>
      <c r="HTK102" s="53"/>
      <c r="HTL102" s="53"/>
      <c r="HTM102" s="53"/>
      <c r="HTN102" s="53"/>
      <c r="HTO102" s="53"/>
      <c r="HTP102" s="53"/>
      <c r="HTQ102" s="53"/>
      <c r="HTR102" s="53"/>
      <c r="HTS102" s="53"/>
      <c r="HTT102" s="53"/>
      <c r="HTU102" s="53"/>
      <c r="HTV102" s="53"/>
      <c r="HTW102" s="53"/>
      <c r="HTX102" s="53"/>
      <c r="HTY102" s="53"/>
      <c r="HTZ102" s="53"/>
      <c r="HUA102" s="53"/>
      <c r="HUB102" s="53"/>
      <c r="HUC102" s="53"/>
      <c r="HUD102" s="53"/>
      <c r="HUE102" s="53"/>
      <c r="HUF102" s="53"/>
      <c r="HUG102" s="53"/>
      <c r="HUH102" s="53"/>
      <c r="HUI102" s="53"/>
      <c r="HUJ102" s="53"/>
      <c r="HUK102" s="53"/>
      <c r="HUL102" s="53"/>
      <c r="HUM102" s="53"/>
      <c r="HUN102" s="53"/>
      <c r="HUO102" s="53"/>
      <c r="HUP102" s="53"/>
      <c r="HUQ102" s="53"/>
      <c r="HUR102" s="53"/>
      <c r="HUS102" s="53"/>
      <c r="HUT102" s="53"/>
      <c r="HUU102" s="53"/>
      <c r="HUV102" s="53"/>
      <c r="HUW102" s="53"/>
      <c r="HUX102" s="53"/>
      <c r="HUY102" s="53"/>
      <c r="HUZ102" s="53"/>
      <c r="HVA102" s="53"/>
      <c r="HVB102" s="53"/>
      <c r="HVC102" s="53"/>
      <c r="HVD102" s="53"/>
      <c r="HVE102" s="53"/>
      <c r="HVF102" s="53"/>
      <c r="HVG102" s="53"/>
      <c r="HVH102" s="53"/>
      <c r="HVI102" s="53"/>
      <c r="HVJ102" s="53"/>
      <c r="HVK102" s="53"/>
      <c r="HVL102" s="53"/>
      <c r="HVM102" s="53"/>
      <c r="HVN102" s="53"/>
      <c r="HVO102" s="53"/>
      <c r="HVP102" s="53"/>
      <c r="HVQ102" s="53"/>
      <c r="HVR102" s="53"/>
      <c r="HVS102" s="53"/>
      <c r="HVT102" s="53"/>
      <c r="HVU102" s="53"/>
      <c r="HVV102" s="53"/>
      <c r="HVW102" s="53"/>
      <c r="HVX102" s="53"/>
      <c r="HVY102" s="53"/>
      <c r="HVZ102" s="53"/>
      <c r="HWA102" s="53"/>
      <c r="HWB102" s="53"/>
      <c r="HWC102" s="53"/>
      <c r="HWD102" s="53"/>
      <c r="HWE102" s="53"/>
      <c r="HWF102" s="53"/>
      <c r="HWG102" s="53"/>
      <c r="HWH102" s="53"/>
      <c r="HWI102" s="53"/>
      <c r="HWJ102" s="53"/>
      <c r="HWK102" s="53"/>
      <c r="HWL102" s="53"/>
      <c r="HWM102" s="53"/>
      <c r="HWN102" s="53"/>
      <c r="HWO102" s="53"/>
      <c r="HWP102" s="53"/>
      <c r="HWQ102" s="53"/>
      <c r="HWR102" s="53"/>
      <c r="HWS102" s="53"/>
      <c r="HWT102" s="53"/>
      <c r="HWU102" s="53"/>
      <c r="HWV102" s="53"/>
      <c r="HWW102" s="53"/>
      <c r="HWX102" s="53"/>
      <c r="HWY102" s="53"/>
      <c r="HWZ102" s="53"/>
      <c r="HXA102" s="53"/>
      <c r="HXB102" s="53"/>
      <c r="HXC102" s="53"/>
      <c r="HXD102" s="53"/>
      <c r="HXE102" s="53"/>
      <c r="HXF102" s="53"/>
      <c r="HXG102" s="53"/>
      <c r="HXH102" s="53"/>
      <c r="HXI102" s="53"/>
      <c r="HXJ102" s="53"/>
      <c r="HXK102" s="53"/>
      <c r="HXL102" s="53"/>
      <c r="HXM102" s="53"/>
      <c r="HXN102" s="53"/>
      <c r="HXO102" s="53"/>
      <c r="HXP102" s="53"/>
      <c r="HXQ102" s="53"/>
      <c r="HXR102" s="53"/>
      <c r="HXS102" s="53"/>
      <c r="HXT102" s="53"/>
      <c r="HXU102" s="53"/>
      <c r="HXV102" s="53"/>
      <c r="HXW102" s="53"/>
      <c r="HXX102" s="53"/>
      <c r="HXY102" s="53"/>
      <c r="HXZ102" s="53"/>
      <c r="HYA102" s="53"/>
      <c r="HYB102" s="53"/>
      <c r="HYC102" s="53"/>
      <c r="HYD102" s="53"/>
      <c r="HYE102" s="53"/>
      <c r="HYF102" s="53"/>
      <c r="HYG102" s="53"/>
      <c r="HYH102" s="53"/>
      <c r="HYI102" s="53"/>
      <c r="HYJ102" s="53"/>
      <c r="HYK102" s="53"/>
      <c r="HYL102" s="53"/>
      <c r="HYM102" s="53"/>
      <c r="HYN102" s="53"/>
      <c r="HYO102" s="53"/>
      <c r="HYP102" s="53"/>
      <c r="HYQ102" s="53"/>
      <c r="HYR102" s="53"/>
      <c r="HYS102" s="53"/>
      <c r="HYT102" s="53"/>
      <c r="HYU102" s="53"/>
      <c r="HYV102" s="53"/>
      <c r="HYW102" s="53"/>
      <c r="HYX102" s="53"/>
      <c r="HYY102" s="53"/>
      <c r="HYZ102" s="53"/>
      <c r="HZA102" s="53"/>
      <c r="HZB102" s="53"/>
      <c r="HZC102" s="53"/>
      <c r="HZD102" s="53"/>
      <c r="HZE102" s="53"/>
      <c r="HZF102" s="53"/>
      <c r="HZG102" s="53"/>
      <c r="HZH102" s="53"/>
      <c r="HZI102" s="53"/>
      <c r="HZJ102" s="53"/>
      <c r="HZK102" s="53"/>
      <c r="HZL102" s="53"/>
      <c r="HZM102" s="53"/>
      <c r="HZN102" s="53"/>
      <c r="HZO102" s="53"/>
      <c r="HZP102" s="53"/>
      <c r="HZQ102" s="53"/>
      <c r="HZR102" s="53"/>
      <c r="HZS102" s="53"/>
      <c r="HZT102" s="53"/>
      <c r="HZU102" s="53"/>
      <c r="HZV102" s="53"/>
      <c r="HZW102" s="53"/>
      <c r="HZX102" s="53"/>
      <c r="HZY102" s="53"/>
      <c r="HZZ102" s="53"/>
      <c r="IAA102" s="53"/>
      <c r="IAB102" s="53"/>
      <c r="IAC102" s="53"/>
      <c r="IAD102" s="53"/>
      <c r="IAE102" s="53"/>
      <c r="IAF102" s="53"/>
      <c r="IAG102" s="53"/>
      <c r="IAH102" s="53"/>
      <c r="IAI102" s="53"/>
      <c r="IAJ102" s="53"/>
      <c r="IAK102" s="53"/>
      <c r="IAL102" s="53"/>
      <c r="IAM102" s="53"/>
      <c r="IAN102" s="53"/>
      <c r="IAO102" s="53"/>
      <c r="IAP102" s="53"/>
      <c r="IAQ102" s="53"/>
      <c r="IAR102" s="53"/>
      <c r="IAS102" s="53"/>
      <c r="IAT102" s="53"/>
      <c r="IAU102" s="53"/>
      <c r="IAV102" s="53"/>
      <c r="IAW102" s="53"/>
      <c r="IAX102" s="53"/>
      <c r="IAY102" s="53"/>
      <c r="IAZ102" s="53"/>
      <c r="IBA102" s="53"/>
      <c r="IBB102" s="53"/>
      <c r="IBC102" s="53"/>
      <c r="IBD102" s="53"/>
      <c r="IBE102" s="53"/>
      <c r="IBF102" s="53"/>
      <c r="IBG102" s="53"/>
      <c r="IBH102" s="53"/>
      <c r="IBI102" s="53"/>
      <c r="IBJ102" s="53"/>
      <c r="IBK102" s="53"/>
      <c r="IBL102" s="53"/>
      <c r="IBM102" s="53"/>
      <c r="IBN102" s="53"/>
      <c r="IBO102" s="53"/>
      <c r="IBP102" s="53"/>
      <c r="IBQ102" s="53"/>
      <c r="IBR102" s="53"/>
      <c r="IBS102" s="53"/>
      <c r="IBT102" s="53"/>
      <c r="IBU102" s="53"/>
      <c r="IBV102" s="53"/>
      <c r="IBW102" s="53"/>
      <c r="IBX102" s="53"/>
      <c r="IBY102" s="53"/>
      <c r="IBZ102" s="53"/>
      <c r="ICA102" s="53"/>
      <c r="ICB102" s="53"/>
      <c r="ICC102" s="53"/>
      <c r="ICD102" s="53"/>
      <c r="ICE102" s="53"/>
      <c r="ICF102" s="53"/>
      <c r="ICG102" s="53"/>
      <c r="ICH102" s="53"/>
      <c r="ICI102" s="53"/>
      <c r="ICJ102" s="53"/>
      <c r="ICK102" s="53"/>
      <c r="ICL102" s="53"/>
      <c r="ICM102" s="53"/>
      <c r="ICN102" s="53"/>
      <c r="ICO102" s="53"/>
      <c r="ICP102" s="53"/>
      <c r="ICQ102" s="53"/>
      <c r="ICR102" s="53"/>
      <c r="ICS102" s="53"/>
      <c r="ICT102" s="53"/>
      <c r="ICU102" s="53"/>
      <c r="ICV102" s="53"/>
      <c r="ICW102" s="53"/>
      <c r="ICX102" s="53"/>
      <c r="ICY102" s="53"/>
      <c r="ICZ102" s="53"/>
      <c r="IDA102" s="53"/>
      <c r="IDB102" s="53"/>
      <c r="IDC102" s="53"/>
      <c r="IDD102" s="53"/>
      <c r="IDE102" s="53"/>
      <c r="IDF102" s="53"/>
      <c r="IDG102" s="53"/>
      <c r="IDH102" s="53"/>
      <c r="IDI102" s="53"/>
      <c r="IDJ102" s="53"/>
      <c r="IDK102" s="53"/>
      <c r="IDL102" s="53"/>
      <c r="IDM102" s="53"/>
      <c r="IDN102" s="53"/>
      <c r="IDO102" s="53"/>
      <c r="IDP102" s="53"/>
      <c r="IDQ102" s="53"/>
      <c r="IDR102" s="53"/>
      <c r="IDS102" s="53"/>
      <c r="IDT102" s="53"/>
      <c r="IDU102" s="53"/>
      <c r="IDV102" s="53"/>
      <c r="IDW102" s="53"/>
      <c r="IDX102" s="53"/>
      <c r="IDY102" s="53"/>
      <c r="IDZ102" s="53"/>
      <c r="IEA102" s="53"/>
      <c r="IEB102" s="53"/>
      <c r="IEC102" s="53"/>
      <c r="IED102" s="53"/>
      <c r="IEE102" s="53"/>
      <c r="IEF102" s="53"/>
      <c r="IEG102" s="53"/>
      <c r="IEH102" s="53"/>
      <c r="IEI102" s="53"/>
      <c r="IEJ102" s="53"/>
      <c r="IEK102" s="53"/>
      <c r="IEL102" s="53"/>
      <c r="IEM102" s="53"/>
      <c r="IEN102" s="53"/>
      <c r="IEO102" s="53"/>
      <c r="IEP102" s="53"/>
      <c r="IEQ102" s="53"/>
      <c r="IER102" s="53"/>
      <c r="IES102" s="53"/>
      <c r="IET102" s="53"/>
      <c r="IEU102" s="53"/>
      <c r="IEV102" s="53"/>
      <c r="IEW102" s="53"/>
      <c r="IEX102" s="53"/>
      <c r="IEY102" s="53"/>
      <c r="IEZ102" s="53"/>
      <c r="IFA102" s="53"/>
      <c r="IFB102" s="53"/>
      <c r="IFC102" s="53"/>
      <c r="IFD102" s="53"/>
      <c r="IFE102" s="53"/>
      <c r="IFF102" s="53"/>
      <c r="IFG102" s="53"/>
      <c r="IFH102" s="53"/>
      <c r="IFI102" s="53"/>
      <c r="IFJ102" s="53"/>
      <c r="IFK102" s="53"/>
      <c r="IFL102" s="53"/>
      <c r="IFM102" s="53"/>
      <c r="IFN102" s="53"/>
      <c r="IFO102" s="53"/>
      <c r="IFP102" s="53"/>
      <c r="IFQ102" s="53"/>
      <c r="IFR102" s="53"/>
      <c r="IFS102" s="53"/>
      <c r="IFT102" s="53"/>
      <c r="IFU102" s="53"/>
      <c r="IFV102" s="53"/>
      <c r="IFW102" s="53"/>
      <c r="IFX102" s="53"/>
      <c r="IFY102" s="53"/>
      <c r="IFZ102" s="53"/>
      <c r="IGA102" s="53"/>
      <c r="IGB102" s="53"/>
      <c r="IGC102" s="53"/>
      <c r="IGD102" s="53"/>
      <c r="IGE102" s="53"/>
      <c r="IGF102" s="53"/>
      <c r="IGG102" s="53"/>
      <c r="IGH102" s="53"/>
      <c r="IGI102" s="53"/>
      <c r="IGJ102" s="53"/>
      <c r="IGK102" s="53"/>
      <c r="IGL102" s="53"/>
      <c r="IGM102" s="53"/>
      <c r="IGN102" s="53"/>
      <c r="IGO102" s="53"/>
      <c r="IGP102" s="53"/>
      <c r="IGQ102" s="53"/>
      <c r="IGR102" s="53"/>
      <c r="IGS102" s="53"/>
      <c r="IGT102" s="53"/>
      <c r="IGU102" s="53"/>
      <c r="IGV102" s="53"/>
      <c r="IGW102" s="53"/>
      <c r="IGX102" s="53"/>
      <c r="IGY102" s="53"/>
      <c r="IGZ102" s="53"/>
      <c r="IHA102" s="53"/>
      <c r="IHB102" s="53"/>
      <c r="IHC102" s="53"/>
      <c r="IHD102" s="53"/>
      <c r="IHE102" s="53"/>
      <c r="IHF102" s="53"/>
      <c r="IHG102" s="53"/>
      <c r="IHH102" s="53"/>
      <c r="IHI102" s="53"/>
      <c r="IHJ102" s="53"/>
      <c r="IHK102" s="53"/>
      <c r="IHL102" s="53"/>
      <c r="IHM102" s="53"/>
      <c r="IHN102" s="53"/>
      <c r="IHO102" s="53"/>
      <c r="IHP102" s="53"/>
      <c r="IHQ102" s="53"/>
      <c r="IHR102" s="53"/>
      <c r="IHS102" s="53"/>
      <c r="IHT102" s="53"/>
      <c r="IHU102" s="53"/>
      <c r="IHV102" s="53"/>
      <c r="IHW102" s="53"/>
      <c r="IHX102" s="53"/>
      <c r="IHY102" s="53"/>
      <c r="IHZ102" s="53"/>
      <c r="IIA102" s="53"/>
      <c r="IIB102" s="53"/>
      <c r="IIC102" s="53"/>
      <c r="IID102" s="53"/>
      <c r="IIE102" s="53"/>
      <c r="IIF102" s="53"/>
      <c r="IIG102" s="53"/>
      <c r="IIH102" s="53"/>
      <c r="III102" s="53"/>
      <c r="IIJ102" s="53"/>
      <c r="IIK102" s="53"/>
      <c r="IIL102" s="53"/>
      <c r="IIM102" s="53"/>
      <c r="IIN102" s="53"/>
      <c r="IIO102" s="53"/>
      <c r="IIP102" s="53"/>
      <c r="IIQ102" s="53"/>
      <c r="IIR102" s="53"/>
      <c r="IIS102" s="53"/>
      <c r="IIT102" s="53"/>
      <c r="IIU102" s="53"/>
      <c r="IIV102" s="53"/>
      <c r="IIW102" s="53"/>
      <c r="IIX102" s="53"/>
      <c r="IIY102" s="53"/>
      <c r="IIZ102" s="53"/>
      <c r="IJA102" s="53"/>
      <c r="IJB102" s="53"/>
      <c r="IJC102" s="53"/>
      <c r="IJD102" s="53"/>
      <c r="IJE102" s="53"/>
      <c r="IJF102" s="53"/>
      <c r="IJG102" s="53"/>
      <c r="IJH102" s="53"/>
      <c r="IJI102" s="53"/>
      <c r="IJJ102" s="53"/>
      <c r="IJK102" s="53"/>
      <c r="IJL102" s="53"/>
      <c r="IJM102" s="53"/>
      <c r="IJN102" s="53"/>
      <c r="IJO102" s="53"/>
      <c r="IJP102" s="53"/>
      <c r="IJQ102" s="53"/>
      <c r="IJR102" s="53"/>
      <c r="IJS102" s="53"/>
      <c r="IJT102" s="53"/>
      <c r="IJU102" s="53"/>
      <c r="IJV102" s="53"/>
      <c r="IJW102" s="53"/>
      <c r="IJX102" s="53"/>
      <c r="IJY102" s="53"/>
      <c r="IJZ102" s="53"/>
      <c r="IKA102" s="53"/>
      <c r="IKB102" s="53"/>
      <c r="IKC102" s="53"/>
      <c r="IKD102" s="53"/>
      <c r="IKE102" s="53"/>
      <c r="IKF102" s="53"/>
      <c r="IKG102" s="53"/>
      <c r="IKH102" s="53"/>
      <c r="IKI102" s="53"/>
      <c r="IKJ102" s="53"/>
      <c r="IKK102" s="53"/>
      <c r="IKL102" s="53"/>
      <c r="IKM102" s="53"/>
      <c r="IKN102" s="53"/>
      <c r="IKO102" s="53"/>
      <c r="IKP102" s="53"/>
      <c r="IKQ102" s="53"/>
      <c r="IKR102" s="53"/>
      <c r="IKS102" s="53"/>
      <c r="IKT102" s="53"/>
      <c r="IKU102" s="53"/>
      <c r="IKV102" s="53"/>
      <c r="IKW102" s="53"/>
      <c r="IKX102" s="53"/>
      <c r="IKY102" s="53"/>
      <c r="IKZ102" s="53"/>
      <c r="ILA102" s="53"/>
      <c r="ILB102" s="53"/>
      <c r="ILC102" s="53"/>
      <c r="ILD102" s="53"/>
      <c r="ILE102" s="53"/>
      <c r="ILF102" s="53"/>
      <c r="ILG102" s="53"/>
      <c r="ILH102" s="53"/>
      <c r="ILI102" s="53"/>
      <c r="ILJ102" s="53"/>
      <c r="ILK102" s="53"/>
      <c r="ILL102" s="53"/>
      <c r="ILM102" s="53"/>
      <c r="ILN102" s="53"/>
      <c r="ILO102" s="53"/>
      <c r="ILP102" s="53"/>
      <c r="ILQ102" s="53"/>
      <c r="ILR102" s="53"/>
      <c r="ILS102" s="53"/>
      <c r="ILT102" s="53"/>
      <c r="ILU102" s="53"/>
      <c r="ILV102" s="53"/>
      <c r="ILW102" s="53"/>
      <c r="ILX102" s="53"/>
      <c r="ILY102" s="53"/>
      <c r="ILZ102" s="53"/>
      <c r="IMA102" s="53"/>
      <c r="IMB102" s="53"/>
      <c r="IMC102" s="53"/>
      <c r="IMD102" s="53"/>
      <c r="IME102" s="53"/>
      <c r="IMF102" s="53"/>
      <c r="IMG102" s="53"/>
      <c r="IMH102" s="53"/>
      <c r="IMI102" s="53"/>
      <c r="IMJ102" s="53"/>
      <c r="IMK102" s="53"/>
      <c r="IML102" s="53"/>
      <c r="IMM102" s="53"/>
      <c r="IMN102" s="53"/>
      <c r="IMO102" s="53"/>
      <c r="IMP102" s="53"/>
      <c r="IMQ102" s="53"/>
      <c r="IMR102" s="53"/>
      <c r="IMS102" s="53"/>
      <c r="IMT102" s="53"/>
      <c r="IMU102" s="53"/>
      <c r="IMV102" s="53"/>
      <c r="IMW102" s="53"/>
      <c r="IMX102" s="53"/>
      <c r="IMY102" s="53"/>
      <c r="IMZ102" s="53"/>
      <c r="INA102" s="53"/>
      <c r="INB102" s="53"/>
      <c r="INC102" s="53"/>
      <c r="IND102" s="53"/>
      <c r="INE102" s="53"/>
      <c r="INF102" s="53"/>
      <c r="ING102" s="53"/>
      <c r="INH102" s="53"/>
      <c r="INI102" s="53"/>
      <c r="INJ102" s="53"/>
      <c r="INK102" s="53"/>
      <c r="INL102" s="53"/>
      <c r="INM102" s="53"/>
      <c r="INN102" s="53"/>
      <c r="INO102" s="53"/>
      <c r="INP102" s="53"/>
      <c r="INQ102" s="53"/>
      <c r="INR102" s="53"/>
      <c r="INS102" s="53"/>
      <c r="INT102" s="53"/>
      <c r="INU102" s="53"/>
      <c r="INV102" s="53"/>
      <c r="INW102" s="53"/>
      <c r="INX102" s="53"/>
      <c r="INY102" s="53"/>
      <c r="INZ102" s="53"/>
      <c r="IOA102" s="53"/>
      <c r="IOB102" s="53"/>
      <c r="IOC102" s="53"/>
      <c r="IOD102" s="53"/>
      <c r="IOE102" s="53"/>
      <c r="IOF102" s="53"/>
      <c r="IOG102" s="53"/>
      <c r="IOH102" s="53"/>
      <c r="IOI102" s="53"/>
      <c r="IOJ102" s="53"/>
      <c r="IOK102" s="53"/>
      <c r="IOL102" s="53"/>
      <c r="IOM102" s="53"/>
      <c r="ION102" s="53"/>
      <c r="IOO102" s="53"/>
      <c r="IOP102" s="53"/>
      <c r="IOQ102" s="53"/>
      <c r="IOR102" s="53"/>
      <c r="IOS102" s="53"/>
      <c r="IOT102" s="53"/>
      <c r="IOU102" s="53"/>
      <c r="IOV102" s="53"/>
      <c r="IOW102" s="53"/>
      <c r="IOX102" s="53"/>
      <c r="IOY102" s="53"/>
      <c r="IOZ102" s="53"/>
      <c r="IPA102" s="53"/>
      <c r="IPB102" s="53"/>
      <c r="IPC102" s="53"/>
      <c r="IPD102" s="53"/>
      <c r="IPE102" s="53"/>
      <c r="IPF102" s="53"/>
      <c r="IPG102" s="53"/>
      <c r="IPH102" s="53"/>
      <c r="IPI102" s="53"/>
      <c r="IPJ102" s="53"/>
      <c r="IPK102" s="53"/>
      <c r="IPL102" s="53"/>
      <c r="IPM102" s="53"/>
      <c r="IPN102" s="53"/>
      <c r="IPO102" s="53"/>
      <c r="IPP102" s="53"/>
      <c r="IPQ102" s="53"/>
      <c r="IPR102" s="53"/>
      <c r="IPS102" s="53"/>
      <c r="IPT102" s="53"/>
      <c r="IPU102" s="53"/>
      <c r="IPV102" s="53"/>
      <c r="IPW102" s="53"/>
      <c r="IPX102" s="53"/>
      <c r="IPY102" s="53"/>
      <c r="IPZ102" s="53"/>
      <c r="IQA102" s="53"/>
      <c r="IQB102" s="53"/>
      <c r="IQC102" s="53"/>
      <c r="IQD102" s="53"/>
      <c r="IQE102" s="53"/>
      <c r="IQF102" s="53"/>
      <c r="IQG102" s="53"/>
      <c r="IQH102" s="53"/>
      <c r="IQI102" s="53"/>
      <c r="IQJ102" s="53"/>
      <c r="IQK102" s="53"/>
      <c r="IQL102" s="53"/>
      <c r="IQM102" s="53"/>
      <c r="IQN102" s="53"/>
      <c r="IQO102" s="53"/>
      <c r="IQP102" s="53"/>
      <c r="IQQ102" s="53"/>
      <c r="IQR102" s="53"/>
      <c r="IQS102" s="53"/>
      <c r="IQT102" s="53"/>
      <c r="IQU102" s="53"/>
      <c r="IQV102" s="53"/>
      <c r="IQW102" s="53"/>
      <c r="IQX102" s="53"/>
      <c r="IQY102" s="53"/>
      <c r="IQZ102" s="53"/>
      <c r="IRA102" s="53"/>
      <c r="IRB102" s="53"/>
      <c r="IRC102" s="53"/>
      <c r="IRD102" s="53"/>
      <c r="IRE102" s="53"/>
      <c r="IRF102" s="53"/>
      <c r="IRG102" s="53"/>
      <c r="IRH102" s="53"/>
      <c r="IRI102" s="53"/>
      <c r="IRJ102" s="53"/>
      <c r="IRK102" s="53"/>
      <c r="IRL102" s="53"/>
      <c r="IRM102" s="53"/>
      <c r="IRN102" s="53"/>
      <c r="IRO102" s="53"/>
      <c r="IRP102" s="53"/>
      <c r="IRQ102" s="53"/>
      <c r="IRR102" s="53"/>
      <c r="IRS102" s="53"/>
      <c r="IRT102" s="53"/>
      <c r="IRU102" s="53"/>
      <c r="IRV102" s="53"/>
      <c r="IRW102" s="53"/>
      <c r="IRX102" s="53"/>
      <c r="IRY102" s="53"/>
      <c r="IRZ102" s="53"/>
      <c r="ISA102" s="53"/>
      <c r="ISB102" s="53"/>
      <c r="ISC102" s="53"/>
      <c r="ISD102" s="53"/>
      <c r="ISE102" s="53"/>
      <c r="ISF102" s="53"/>
      <c r="ISG102" s="53"/>
      <c r="ISH102" s="53"/>
      <c r="ISI102" s="53"/>
      <c r="ISJ102" s="53"/>
      <c r="ISK102" s="53"/>
      <c r="ISL102" s="53"/>
      <c r="ISM102" s="53"/>
      <c r="ISN102" s="53"/>
      <c r="ISO102" s="53"/>
      <c r="ISP102" s="53"/>
      <c r="ISQ102" s="53"/>
      <c r="ISR102" s="53"/>
      <c r="ISS102" s="53"/>
      <c r="IST102" s="53"/>
      <c r="ISU102" s="53"/>
      <c r="ISV102" s="53"/>
      <c r="ISW102" s="53"/>
      <c r="ISX102" s="53"/>
      <c r="ISY102" s="53"/>
      <c r="ISZ102" s="53"/>
      <c r="ITA102" s="53"/>
      <c r="ITB102" s="53"/>
      <c r="ITC102" s="53"/>
      <c r="ITD102" s="53"/>
      <c r="ITE102" s="53"/>
      <c r="ITF102" s="53"/>
      <c r="ITG102" s="53"/>
      <c r="ITH102" s="53"/>
      <c r="ITI102" s="53"/>
      <c r="ITJ102" s="53"/>
      <c r="ITK102" s="53"/>
      <c r="ITL102" s="53"/>
      <c r="ITM102" s="53"/>
      <c r="ITN102" s="53"/>
      <c r="ITO102" s="53"/>
      <c r="ITP102" s="53"/>
      <c r="ITQ102" s="53"/>
      <c r="ITR102" s="53"/>
      <c r="ITS102" s="53"/>
      <c r="ITT102" s="53"/>
      <c r="ITU102" s="53"/>
      <c r="ITV102" s="53"/>
      <c r="ITW102" s="53"/>
      <c r="ITX102" s="53"/>
      <c r="ITY102" s="53"/>
      <c r="ITZ102" s="53"/>
      <c r="IUA102" s="53"/>
      <c r="IUB102" s="53"/>
      <c r="IUC102" s="53"/>
      <c r="IUD102" s="53"/>
      <c r="IUE102" s="53"/>
      <c r="IUF102" s="53"/>
      <c r="IUG102" s="53"/>
      <c r="IUH102" s="53"/>
      <c r="IUI102" s="53"/>
      <c r="IUJ102" s="53"/>
      <c r="IUK102" s="53"/>
      <c r="IUL102" s="53"/>
      <c r="IUM102" s="53"/>
      <c r="IUN102" s="53"/>
      <c r="IUO102" s="53"/>
      <c r="IUP102" s="53"/>
      <c r="IUQ102" s="53"/>
      <c r="IUR102" s="53"/>
      <c r="IUS102" s="53"/>
      <c r="IUT102" s="53"/>
      <c r="IUU102" s="53"/>
      <c r="IUV102" s="53"/>
      <c r="IUW102" s="53"/>
      <c r="IUX102" s="53"/>
      <c r="IUY102" s="53"/>
      <c r="IUZ102" s="53"/>
      <c r="IVA102" s="53"/>
      <c r="IVB102" s="53"/>
      <c r="IVC102" s="53"/>
      <c r="IVD102" s="53"/>
      <c r="IVE102" s="53"/>
      <c r="IVF102" s="53"/>
      <c r="IVG102" s="53"/>
      <c r="IVH102" s="53"/>
      <c r="IVI102" s="53"/>
      <c r="IVJ102" s="53"/>
      <c r="IVK102" s="53"/>
      <c r="IVL102" s="53"/>
      <c r="IVM102" s="53"/>
      <c r="IVN102" s="53"/>
      <c r="IVO102" s="53"/>
      <c r="IVP102" s="53"/>
      <c r="IVQ102" s="53"/>
      <c r="IVR102" s="53"/>
      <c r="IVS102" s="53"/>
      <c r="IVT102" s="53"/>
      <c r="IVU102" s="53"/>
      <c r="IVV102" s="53"/>
      <c r="IVW102" s="53"/>
      <c r="IVX102" s="53"/>
      <c r="IVY102" s="53"/>
      <c r="IVZ102" s="53"/>
      <c r="IWA102" s="53"/>
      <c r="IWB102" s="53"/>
      <c r="IWC102" s="53"/>
      <c r="IWD102" s="53"/>
      <c r="IWE102" s="53"/>
      <c r="IWF102" s="53"/>
      <c r="IWG102" s="53"/>
      <c r="IWH102" s="53"/>
      <c r="IWI102" s="53"/>
      <c r="IWJ102" s="53"/>
      <c r="IWK102" s="53"/>
      <c r="IWL102" s="53"/>
      <c r="IWM102" s="53"/>
      <c r="IWN102" s="53"/>
      <c r="IWO102" s="53"/>
      <c r="IWP102" s="53"/>
      <c r="IWQ102" s="53"/>
      <c r="IWR102" s="53"/>
      <c r="IWS102" s="53"/>
      <c r="IWT102" s="53"/>
      <c r="IWU102" s="53"/>
      <c r="IWV102" s="53"/>
      <c r="IWW102" s="53"/>
      <c r="IWX102" s="53"/>
      <c r="IWY102" s="53"/>
      <c r="IWZ102" s="53"/>
      <c r="IXA102" s="53"/>
      <c r="IXB102" s="53"/>
      <c r="IXC102" s="53"/>
      <c r="IXD102" s="53"/>
      <c r="IXE102" s="53"/>
      <c r="IXF102" s="53"/>
      <c r="IXG102" s="53"/>
      <c r="IXH102" s="53"/>
      <c r="IXI102" s="53"/>
      <c r="IXJ102" s="53"/>
      <c r="IXK102" s="53"/>
      <c r="IXL102" s="53"/>
      <c r="IXM102" s="53"/>
      <c r="IXN102" s="53"/>
      <c r="IXO102" s="53"/>
      <c r="IXP102" s="53"/>
      <c r="IXQ102" s="53"/>
      <c r="IXR102" s="53"/>
      <c r="IXS102" s="53"/>
      <c r="IXT102" s="53"/>
      <c r="IXU102" s="53"/>
      <c r="IXV102" s="53"/>
      <c r="IXW102" s="53"/>
      <c r="IXX102" s="53"/>
      <c r="IXY102" s="53"/>
      <c r="IXZ102" s="53"/>
      <c r="IYA102" s="53"/>
      <c r="IYB102" s="53"/>
      <c r="IYC102" s="53"/>
      <c r="IYD102" s="53"/>
      <c r="IYE102" s="53"/>
      <c r="IYF102" s="53"/>
      <c r="IYG102" s="53"/>
      <c r="IYH102" s="53"/>
      <c r="IYI102" s="53"/>
      <c r="IYJ102" s="53"/>
      <c r="IYK102" s="53"/>
      <c r="IYL102" s="53"/>
      <c r="IYM102" s="53"/>
      <c r="IYN102" s="53"/>
      <c r="IYO102" s="53"/>
      <c r="IYP102" s="53"/>
      <c r="IYQ102" s="53"/>
      <c r="IYR102" s="53"/>
      <c r="IYS102" s="53"/>
      <c r="IYT102" s="53"/>
      <c r="IYU102" s="53"/>
      <c r="IYV102" s="53"/>
      <c r="IYW102" s="53"/>
      <c r="IYX102" s="53"/>
      <c r="IYY102" s="53"/>
      <c r="IYZ102" s="53"/>
      <c r="IZA102" s="53"/>
      <c r="IZB102" s="53"/>
      <c r="IZC102" s="53"/>
      <c r="IZD102" s="53"/>
      <c r="IZE102" s="53"/>
      <c r="IZF102" s="53"/>
      <c r="IZG102" s="53"/>
      <c r="IZH102" s="53"/>
      <c r="IZI102" s="53"/>
      <c r="IZJ102" s="53"/>
      <c r="IZK102" s="53"/>
      <c r="IZL102" s="53"/>
      <c r="IZM102" s="53"/>
      <c r="IZN102" s="53"/>
      <c r="IZO102" s="53"/>
      <c r="IZP102" s="53"/>
      <c r="IZQ102" s="53"/>
      <c r="IZR102" s="53"/>
      <c r="IZS102" s="53"/>
      <c r="IZT102" s="53"/>
      <c r="IZU102" s="53"/>
      <c r="IZV102" s="53"/>
      <c r="IZW102" s="53"/>
      <c r="IZX102" s="53"/>
      <c r="IZY102" s="53"/>
      <c r="IZZ102" s="53"/>
      <c r="JAA102" s="53"/>
      <c r="JAB102" s="53"/>
      <c r="JAC102" s="53"/>
      <c r="JAD102" s="53"/>
      <c r="JAE102" s="53"/>
      <c r="JAF102" s="53"/>
      <c r="JAG102" s="53"/>
      <c r="JAH102" s="53"/>
      <c r="JAI102" s="53"/>
      <c r="JAJ102" s="53"/>
      <c r="JAK102" s="53"/>
      <c r="JAL102" s="53"/>
      <c r="JAM102" s="53"/>
      <c r="JAN102" s="53"/>
      <c r="JAO102" s="53"/>
      <c r="JAP102" s="53"/>
      <c r="JAQ102" s="53"/>
      <c r="JAR102" s="53"/>
      <c r="JAS102" s="53"/>
      <c r="JAT102" s="53"/>
      <c r="JAU102" s="53"/>
      <c r="JAV102" s="53"/>
      <c r="JAW102" s="53"/>
      <c r="JAX102" s="53"/>
      <c r="JAY102" s="53"/>
      <c r="JAZ102" s="53"/>
      <c r="JBA102" s="53"/>
      <c r="JBB102" s="53"/>
      <c r="JBC102" s="53"/>
      <c r="JBD102" s="53"/>
      <c r="JBE102" s="53"/>
      <c r="JBF102" s="53"/>
      <c r="JBG102" s="53"/>
      <c r="JBH102" s="53"/>
      <c r="JBI102" s="53"/>
      <c r="JBJ102" s="53"/>
      <c r="JBK102" s="53"/>
      <c r="JBL102" s="53"/>
      <c r="JBM102" s="53"/>
      <c r="JBN102" s="53"/>
      <c r="JBO102" s="53"/>
      <c r="JBP102" s="53"/>
      <c r="JBQ102" s="53"/>
      <c r="JBR102" s="53"/>
      <c r="JBS102" s="53"/>
      <c r="JBT102" s="53"/>
      <c r="JBU102" s="53"/>
      <c r="JBV102" s="53"/>
      <c r="JBW102" s="53"/>
      <c r="JBX102" s="53"/>
      <c r="JBY102" s="53"/>
      <c r="JBZ102" s="53"/>
      <c r="JCA102" s="53"/>
      <c r="JCB102" s="53"/>
      <c r="JCC102" s="53"/>
      <c r="JCD102" s="53"/>
      <c r="JCE102" s="53"/>
      <c r="JCF102" s="53"/>
      <c r="JCG102" s="53"/>
      <c r="JCH102" s="53"/>
      <c r="JCI102" s="53"/>
      <c r="JCJ102" s="53"/>
      <c r="JCK102" s="53"/>
      <c r="JCL102" s="53"/>
      <c r="JCM102" s="53"/>
      <c r="JCN102" s="53"/>
      <c r="JCO102" s="53"/>
      <c r="JCP102" s="53"/>
      <c r="JCQ102" s="53"/>
      <c r="JCR102" s="53"/>
      <c r="JCS102" s="53"/>
      <c r="JCT102" s="53"/>
      <c r="JCU102" s="53"/>
      <c r="JCV102" s="53"/>
      <c r="JCW102" s="53"/>
      <c r="JCX102" s="53"/>
      <c r="JCY102" s="53"/>
      <c r="JCZ102" s="53"/>
      <c r="JDA102" s="53"/>
      <c r="JDB102" s="53"/>
      <c r="JDC102" s="53"/>
      <c r="JDD102" s="53"/>
      <c r="JDE102" s="53"/>
      <c r="JDF102" s="53"/>
      <c r="JDG102" s="53"/>
      <c r="JDH102" s="53"/>
      <c r="JDI102" s="53"/>
      <c r="JDJ102" s="53"/>
      <c r="JDK102" s="53"/>
      <c r="JDL102" s="53"/>
      <c r="JDM102" s="53"/>
      <c r="JDN102" s="53"/>
      <c r="JDO102" s="53"/>
      <c r="JDP102" s="53"/>
      <c r="JDQ102" s="53"/>
      <c r="JDR102" s="53"/>
      <c r="JDS102" s="53"/>
      <c r="JDT102" s="53"/>
      <c r="JDU102" s="53"/>
      <c r="JDV102" s="53"/>
      <c r="JDW102" s="53"/>
      <c r="JDX102" s="53"/>
      <c r="JDY102" s="53"/>
      <c r="JDZ102" s="53"/>
      <c r="JEA102" s="53"/>
      <c r="JEB102" s="53"/>
      <c r="JEC102" s="53"/>
      <c r="JED102" s="53"/>
      <c r="JEE102" s="53"/>
      <c r="JEF102" s="53"/>
      <c r="JEG102" s="53"/>
      <c r="JEH102" s="53"/>
      <c r="JEI102" s="53"/>
      <c r="JEJ102" s="53"/>
      <c r="JEK102" s="53"/>
      <c r="JEL102" s="53"/>
      <c r="JEM102" s="53"/>
      <c r="JEN102" s="53"/>
      <c r="JEO102" s="53"/>
      <c r="JEP102" s="53"/>
      <c r="JEQ102" s="53"/>
      <c r="JER102" s="53"/>
      <c r="JES102" s="53"/>
      <c r="JET102" s="53"/>
      <c r="JEU102" s="53"/>
      <c r="JEV102" s="53"/>
      <c r="JEW102" s="53"/>
      <c r="JEX102" s="53"/>
      <c r="JEY102" s="53"/>
      <c r="JEZ102" s="53"/>
      <c r="JFA102" s="53"/>
      <c r="JFB102" s="53"/>
      <c r="JFC102" s="53"/>
      <c r="JFD102" s="53"/>
      <c r="JFE102" s="53"/>
      <c r="JFF102" s="53"/>
      <c r="JFG102" s="53"/>
      <c r="JFH102" s="53"/>
      <c r="JFI102" s="53"/>
      <c r="JFJ102" s="53"/>
      <c r="JFK102" s="53"/>
      <c r="JFL102" s="53"/>
      <c r="JFM102" s="53"/>
      <c r="JFN102" s="53"/>
      <c r="JFO102" s="53"/>
      <c r="JFP102" s="53"/>
      <c r="JFQ102" s="53"/>
      <c r="JFR102" s="53"/>
      <c r="JFS102" s="53"/>
      <c r="JFT102" s="53"/>
      <c r="JFU102" s="53"/>
      <c r="JFV102" s="53"/>
      <c r="JFW102" s="53"/>
      <c r="JFX102" s="53"/>
      <c r="JFY102" s="53"/>
      <c r="JFZ102" s="53"/>
      <c r="JGA102" s="53"/>
      <c r="JGB102" s="53"/>
      <c r="JGC102" s="53"/>
      <c r="JGD102" s="53"/>
      <c r="JGE102" s="53"/>
      <c r="JGF102" s="53"/>
      <c r="JGG102" s="53"/>
      <c r="JGH102" s="53"/>
      <c r="JGI102" s="53"/>
      <c r="JGJ102" s="53"/>
      <c r="JGK102" s="53"/>
      <c r="JGL102" s="53"/>
      <c r="JGM102" s="53"/>
      <c r="JGN102" s="53"/>
      <c r="JGO102" s="53"/>
      <c r="JGP102" s="53"/>
      <c r="JGQ102" s="53"/>
      <c r="JGR102" s="53"/>
      <c r="JGS102" s="53"/>
      <c r="JGT102" s="53"/>
      <c r="JGU102" s="53"/>
      <c r="JGV102" s="53"/>
      <c r="JGW102" s="53"/>
      <c r="JGX102" s="53"/>
      <c r="JGY102" s="53"/>
      <c r="JGZ102" s="53"/>
      <c r="JHA102" s="53"/>
      <c r="JHB102" s="53"/>
      <c r="JHC102" s="53"/>
      <c r="JHD102" s="53"/>
      <c r="JHE102" s="53"/>
      <c r="JHF102" s="53"/>
      <c r="JHG102" s="53"/>
      <c r="JHH102" s="53"/>
      <c r="JHI102" s="53"/>
      <c r="JHJ102" s="53"/>
      <c r="JHK102" s="53"/>
      <c r="JHL102" s="53"/>
      <c r="JHM102" s="53"/>
      <c r="JHN102" s="53"/>
      <c r="JHO102" s="53"/>
      <c r="JHP102" s="53"/>
      <c r="JHQ102" s="53"/>
      <c r="JHR102" s="53"/>
      <c r="JHS102" s="53"/>
      <c r="JHT102" s="53"/>
      <c r="JHU102" s="53"/>
      <c r="JHV102" s="53"/>
      <c r="JHW102" s="53"/>
      <c r="JHX102" s="53"/>
      <c r="JHY102" s="53"/>
      <c r="JHZ102" s="53"/>
      <c r="JIA102" s="53"/>
      <c r="JIB102" s="53"/>
      <c r="JIC102" s="53"/>
      <c r="JID102" s="53"/>
      <c r="JIE102" s="53"/>
      <c r="JIF102" s="53"/>
      <c r="JIG102" s="53"/>
      <c r="JIH102" s="53"/>
      <c r="JII102" s="53"/>
      <c r="JIJ102" s="53"/>
      <c r="JIK102" s="53"/>
      <c r="JIL102" s="53"/>
      <c r="JIM102" s="53"/>
      <c r="JIN102" s="53"/>
      <c r="JIO102" s="53"/>
      <c r="JIP102" s="53"/>
      <c r="JIQ102" s="53"/>
      <c r="JIR102" s="53"/>
      <c r="JIS102" s="53"/>
      <c r="JIT102" s="53"/>
      <c r="JIU102" s="53"/>
      <c r="JIV102" s="53"/>
      <c r="JIW102" s="53"/>
      <c r="JIX102" s="53"/>
      <c r="JIY102" s="53"/>
      <c r="JIZ102" s="53"/>
      <c r="JJA102" s="53"/>
      <c r="JJB102" s="53"/>
      <c r="JJC102" s="53"/>
      <c r="JJD102" s="53"/>
      <c r="JJE102" s="53"/>
      <c r="JJF102" s="53"/>
      <c r="JJG102" s="53"/>
      <c r="JJH102" s="53"/>
      <c r="JJI102" s="53"/>
      <c r="JJJ102" s="53"/>
      <c r="JJK102" s="53"/>
      <c r="JJL102" s="53"/>
      <c r="JJM102" s="53"/>
      <c r="JJN102" s="53"/>
      <c r="JJO102" s="53"/>
      <c r="JJP102" s="53"/>
      <c r="JJQ102" s="53"/>
      <c r="JJR102" s="53"/>
      <c r="JJS102" s="53"/>
      <c r="JJT102" s="53"/>
      <c r="JJU102" s="53"/>
      <c r="JJV102" s="53"/>
      <c r="JJW102" s="53"/>
      <c r="JJX102" s="53"/>
      <c r="JJY102" s="53"/>
      <c r="JJZ102" s="53"/>
      <c r="JKA102" s="53"/>
      <c r="JKB102" s="53"/>
      <c r="JKC102" s="53"/>
      <c r="JKD102" s="53"/>
      <c r="JKE102" s="53"/>
      <c r="JKF102" s="53"/>
      <c r="JKG102" s="53"/>
      <c r="JKH102" s="53"/>
      <c r="JKI102" s="53"/>
      <c r="JKJ102" s="53"/>
      <c r="JKK102" s="53"/>
      <c r="JKL102" s="53"/>
      <c r="JKM102" s="53"/>
      <c r="JKN102" s="53"/>
      <c r="JKO102" s="53"/>
      <c r="JKP102" s="53"/>
      <c r="JKQ102" s="53"/>
      <c r="JKR102" s="53"/>
      <c r="JKS102" s="53"/>
      <c r="JKT102" s="53"/>
      <c r="JKU102" s="53"/>
      <c r="JKV102" s="53"/>
      <c r="JKW102" s="53"/>
      <c r="JKX102" s="53"/>
      <c r="JKY102" s="53"/>
      <c r="JKZ102" s="53"/>
      <c r="JLA102" s="53"/>
      <c r="JLB102" s="53"/>
      <c r="JLC102" s="53"/>
      <c r="JLD102" s="53"/>
      <c r="JLE102" s="53"/>
      <c r="JLF102" s="53"/>
      <c r="JLG102" s="53"/>
      <c r="JLH102" s="53"/>
      <c r="JLI102" s="53"/>
      <c r="JLJ102" s="53"/>
      <c r="JLK102" s="53"/>
      <c r="JLL102" s="53"/>
      <c r="JLM102" s="53"/>
      <c r="JLN102" s="53"/>
      <c r="JLO102" s="53"/>
      <c r="JLP102" s="53"/>
      <c r="JLQ102" s="53"/>
      <c r="JLR102" s="53"/>
      <c r="JLS102" s="53"/>
      <c r="JLT102" s="53"/>
      <c r="JLU102" s="53"/>
      <c r="JLV102" s="53"/>
      <c r="JLW102" s="53"/>
      <c r="JLX102" s="53"/>
      <c r="JLY102" s="53"/>
      <c r="JLZ102" s="53"/>
      <c r="JMA102" s="53"/>
      <c r="JMB102" s="53"/>
      <c r="JMC102" s="53"/>
      <c r="JMD102" s="53"/>
      <c r="JME102" s="53"/>
      <c r="JMF102" s="53"/>
      <c r="JMG102" s="53"/>
      <c r="JMH102" s="53"/>
      <c r="JMI102" s="53"/>
      <c r="JMJ102" s="53"/>
      <c r="JMK102" s="53"/>
      <c r="JML102" s="53"/>
      <c r="JMM102" s="53"/>
      <c r="JMN102" s="53"/>
      <c r="JMO102" s="53"/>
      <c r="JMP102" s="53"/>
      <c r="JMQ102" s="53"/>
      <c r="JMR102" s="53"/>
      <c r="JMS102" s="53"/>
      <c r="JMT102" s="53"/>
      <c r="JMU102" s="53"/>
      <c r="JMV102" s="53"/>
      <c r="JMW102" s="53"/>
      <c r="JMX102" s="53"/>
      <c r="JMY102" s="53"/>
      <c r="JMZ102" s="53"/>
      <c r="JNA102" s="53"/>
      <c r="JNB102" s="53"/>
      <c r="JNC102" s="53"/>
      <c r="JND102" s="53"/>
      <c r="JNE102" s="53"/>
      <c r="JNF102" s="53"/>
      <c r="JNG102" s="53"/>
      <c r="JNH102" s="53"/>
      <c r="JNI102" s="53"/>
      <c r="JNJ102" s="53"/>
      <c r="JNK102" s="53"/>
      <c r="JNL102" s="53"/>
      <c r="JNM102" s="53"/>
      <c r="JNN102" s="53"/>
      <c r="JNO102" s="53"/>
      <c r="JNP102" s="53"/>
      <c r="JNQ102" s="53"/>
      <c r="JNR102" s="53"/>
      <c r="JNS102" s="53"/>
      <c r="JNT102" s="53"/>
      <c r="JNU102" s="53"/>
      <c r="JNV102" s="53"/>
      <c r="JNW102" s="53"/>
      <c r="JNX102" s="53"/>
      <c r="JNY102" s="53"/>
      <c r="JNZ102" s="53"/>
      <c r="JOA102" s="53"/>
      <c r="JOB102" s="53"/>
      <c r="JOC102" s="53"/>
      <c r="JOD102" s="53"/>
      <c r="JOE102" s="53"/>
      <c r="JOF102" s="53"/>
      <c r="JOG102" s="53"/>
      <c r="JOH102" s="53"/>
      <c r="JOI102" s="53"/>
      <c r="JOJ102" s="53"/>
      <c r="JOK102" s="53"/>
      <c r="JOL102" s="53"/>
      <c r="JOM102" s="53"/>
      <c r="JON102" s="53"/>
      <c r="JOO102" s="53"/>
      <c r="JOP102" s="53"/>
      <c r="JOQ102" s="53"/>
      <c r="JOR102" s="53"/>
      <c r="JOS102" s="53"/>
      <c r="JOT102" s="53"/>
      <c r="JOU102" s="53"/>
      <c r="JOV102" s="53"/>
      <c r="JOW102" s="53"/>
      <c r="JOX102" s="53"/>
      <c r="JOY102" s="53"/>
      <c r="JOZ102" s="53"/>
      <c r="JPA102" s="53"/>
      <c r="JPB102" s="53"/>
      <c r="JPC102" s="53"/>
      <c r="JPD102" s="53"/>
      <c r="JPE102" s="53"/>
      <c r="JPF102" s="53"/>
      <c r="JPG102" s="53"/>
      <c r="JPH102" s="53"/>
      <c r="JPI102" s="53"/>
      <c r="JPJ102" s="53"/>
      <c r="JPK102" s="53"/>
      <c r="JPL102" s="53"/>
      <c r="JPM102" s="53"/>
      <c r="JPN102" s="53"/>
      <c r="JPO102" s="53"/>
      <c r="JPP102" s="53"/>
      <c r="JPQ102" s="53"/>
      <c r="JPR102" s="53"/>
      <c r="JPS102" s="53"/>
      <c r="JPT102" s="53"/>
      <c r="JPU102" s="53"/>
      <c r="JPV102" s="53"/>
      <c r="JPW102" s="53"/>
      <c r="JPX102" s="53"/>
      <c r="JPY102" s="53"/>
      <c r="JPZ102" s="53"/>
      <c r="JQA102" s="53"/>
      <c r="JQB102" s="53"/>
      <c r="JQC102" s="53"/>
      <c r="JQD102" s="53"/>
      <c r="JQE102" s="53"/>
      <c r="JQF102" s="53"/>
      <c r="JQG102" s="53"/>
      <c r="JQH102" s="53"/>
      <c r="JQI102" s="53"/>
      <c r="JQJ102" s="53"/>
      <c r="JQK102" s="53"/>
      <c r="JQL102" s="53"/>
      <c r="JQM102" s="53"/>
      <c r="JQN102" s="53"/>
      <c r="JQO102" s="53"/>
      <c r="JQP102" s="53"/>
      <c r="JQQ102" s="53"/>
      <c r="JQR102" s="53"/>
      <c r="JQS102" s="53"/>
      <c r="JQT102" s="53"/>
      <c r="JQU102" s="53"/>
      <c r="JQV102" s="53"/>
      <c r="JQW102" s="53"/>
      <c r="JQX102" s="53"/>
      <c r="JQY102" s="53"/>
      <c r="JQZ102" s="53"/>
      <c r="JRA102" s="53"/>
      <c r="JRB102" s="53"/>
      <c r="JRC102" s="53"/>
      <c r="JRD102" s="53"/>
      <c r="JRE102" s="53"/>
      <c r="JRF102" s="53"/>
      <c r="JRG102" s="53"/>
      <c r="JRH102" s="53"/>
      <c r="JRI102" s="53"/>
      <c r="JRJ102" s="53"/>
      <c r="JRK102" s="53"/>
      <c r="JRL102" s="53"/>
      <c r="JRM102" s="53"/>
      <c r="JRN102" s="53"/>
      <c r="JRO102" s="53"/>
      <c r="JRP102" s="53"/>
      <c r="JRQ102" s="53"/>
      <c r="JRR102" s="53"/>
      <c r="JRS102" s="53"/>
      <c r="JRT102" s="53"/>
      <c r="JRU102" s="53"/>
      <c r="JRV102" s="53"/>
      <c r="JRW102" s="53"/>
      <c r="JRX102" s="53"/>
      <c r="JRY102" s="53"/>
      <c r="JRZ102" s="53"/>
      <c r="JSA102" s="53"/>
      <c r="JSB102" s="53"/>
      <c r="JSC102" s="53"/>
      <c r="JSD102" s="53"/>
      <c r="JSE102" s="53"/>
      <c r="JSF102" s="53"/>
      <c r="JSG102" s="53"/>
      <c r="JSH102" s="53"/>
      <c r="JSI102" s="53"/>
      <c r="JSJ102" s="53"/>
      <c r="JSK102" s="53"/>
      <c r="JSL102" s="53"/>
      <c r="JSM102" s="53"/>
      <c r="JSN102" s="53"/>
      <c r="JSO102" s="53"/>
      <c r="JSP102" s="53"/>
      <c r="JSQ102" s="53"/>
      <c r="JSR102" s="53"/>
      <c r="JSS102" s="53"/>
      <c r="JST102" s="53"/>
      <c r="JSU102" s="53"/>
      <c r="JSV102" s="53"/>
      <c r="JSW102" s="53"/>
      <c r="JSX102" s="53"/>
      <c r="JSY102" s="53"/>
      <c r="JSZ102" s="53"/>
      <c r="JTA102" s="53"/>
      <c r="JTB102" s="53"/>
      <c r="JTC102" s="53"/>
      <c r="JTD102" s="53"/>
      <c r="JTE102" s="53"/>
      <c r="JTF102" s="53"/>
      <c r="JTG102" s="53"/>
      <c r="JTH102" s="53"/>
      <c r="JTI102" s="53"/>
      <c r="JTJ102" s="53"/>
      <c r="JTK102" s="53"/>
      <c r="JTL102" s="53"/>
      <c r="JTM102" s="53"/>
      <c r="JTN102" s="53"/>
      <c r="JTO102" s="53"/>
      <c r="JTP102" s="53"/>
      <c r="JTQ102" s="53"/>
      <c r="JTR102" s="53"/>
      <c r="JTS102" s="53"/>
      <c r="JTT102" s="53"/>
      <c r="JTU102" s="53"/>
      <c r="JTV102" s="53"/>
      <c r="JTW102" s="53"/>
      <c r="JTX102" s="53"/>
      <c r="JTY102" s="53"/>
      <c r="JTZ102" s="53"/>
      <c r="JUA102" s="53"/>
      <c r="JUB102" s="53"/>
      <c r="JUC102" s="53"/>
      <c r="JUD102" s="53"/>
      <c r="JUE102" s="53"/>
      <c r="JUF102" s="53"/>
      <c r="JUG102" s="53"/>
      <c r="JUH102" s="53"/>
      <c r="JUI102" s="53"/>
      <c r="JUJ102" s="53"/>
      <c r="JUK102" s="53"/>
      <c r="JUL102" s="53"/>
      <c r="JUM102" s="53"/>
      <c r="JUN102" s="53"/>
      <c r="JUO102" s="53"/>
      <c r="JUP102" s="53"/>
      <c r="JUQ102" s="53"/>
      <c r="JUR102" s="53"/>
      <c r="JUS102" s="53"/>
      <c r="JUT102" s="53"/>
      <c r="JUU102" s="53"/>
      <c r="JUV102" s="53"/>
      <c r="JUW102" s="53"/>
      <c r="JUX102" s="53"/>
      <c r="JUY102" s="53"/>
      <c r="JUZ102" s="53"/>
      <c r="JVA102" s="53"/>
      <c r="JVB102" s="53"/>
      <c r="JVC102" s="53"/>
      <c r="JVD102" s="53"/>
      <c r="JVE102" s="53"/>
      <c r="JVF102" s="53"/>
      <c r="JVG102" s="53"/>
      <c r="JVH102" s="53"/>
      <c r="JVI102" s="53"/>
      <c r="JVJ102" s="53"/>
      <c r="JVK102" s="53"/>
      <c r="JVL102" s="53"/>
      <c r="JVM102" s="53"/>
      <c r="JVN102" s="53"/>
      <c r="JVO102" s="53"/>
      <c r="JVP102" s="53"/>
      <c r="JVQ102" s="53"/>
      <c r="JVR102" s="53"/>
      <c r="JVS102" s="53"/>
      <c r="JVT102" s="53"/>
      <c r="JVU102" s="53"/>
      <c r="JVV102" s="53"/>
      <c r="JVW102" s="53"/>
      <c r="JVX102" s="53"/>
      <c r="JVY102" s="53"/>
      <c r="JVZ102" s="53"/>
      <c r="JWA102" s="53"/>
      <c r="JWB102" s="53"/>
      <c r="JWC102" s="53"/>
      <c r="JWD102" s="53"/>
      <c r="JWE102" s="53"/>
      <c r="JWF102" s="53"/>
      <c r="JWG102" s="53"/>
      <c r="JWH102" s="53"/>
      <c r="JWI102" s="53"/>
      <c r="JWJ102" s="53"/>
      <c r="JWK102" s="53"/>
      <c r="JWL102" s="53"/>
      <c r="JWM102" s="53"/>
      <c r="JWN102" s="53"/>
      <c r="JWO102" s="53"/>
      <c r="JWP102" s="53"/>
      <c r="JWQ102" s="53"/>
      <c r="JWR102" s="53"/>
      <c r="JWS102" s="53"/>
      <c r="JWT102" s="53"/>
      <c r="JWU102" s="53"/>
      <c r="JWV102" s="53"/>
      <c r="JWW102" s="53"/>
      <c r="JWX102" s="53"/>
      <c r="JWY102" s="53"/>
      <c r="JWZ102" s="53"/>
      <c r="JXA102" s="53"/>
      <c r="JXB102" s="53"/>
      <c r="JXC102" s="53"/>
      <c r="JXD102" s="53"/>
      <c r="JXE102" s="53"/>
      <c r="JXF102" s="53"/>
      <c r="JXG102" s="53"/>
      <c r="JXH102" s="53"/>
      <c r="JXI102" s="53"/>
      <c r="JXJ102" s="53"/>
      <c r="JXK102" s="53"/>
      <c r="JXL102" s="53"/>
      <c r="JXM102" s="53"/>
      <c r="JXN102" s="53"/>
      <c r="JXO102" s="53"/>
      <c r="JXP102" s="53"/>
      <c r="JXQ102" s="53"/>
      <c r="JXR102" s="53"/>
      <c r="JXS102" s="53"/>
      <c r="JXT102" s="53"/>
      <c r="JXU102" s="53"/>
      <c r="JXV102" s="53"/>
      <c r="JXW102" s="53"/>
      <c r="JXX102" s="53"/>
      <c r="JXY102" s="53"/>
      <c r="JXZ102" s="53"/>
      <c r="JYA102" s="53"/>
      <c r="JYB102" s="53"/>
      <c r="JYC102" s="53"/>
      <c r="JYD102" s="53"/>
      <c r="JYE102" s="53"/>
      <c r="JYF102" s="53"/>
      <c r="JYG102" s="53"/>
      <c r="JYH102" s="53"/>
      <c r="JYI102" s="53"/>
      <c r="JYJ102" s="53"/>
      <c r="JYK102" s="53"/>
      <c r="JYL102" s="53"/>
      <c r="JYM102" s="53"/>
      <c r="JYN102" s="53"/>
      <c r="JYO102" s="53"/>
      <c r="JYP102" s="53"/>
      <c r="JYQ102" s="53"/>
      <c r="JYR102" s="53"/>
      <c r="JYS102" s="53"/>
      <c r="JYT102" s="53"/>
      <c r="JYU102" s="53"/>
      <c r="JYV102" s="53"/>
      <c r="JYW102" s="53"/>
      <c r="JYX102" s="53"/>
      <c r="JYY102" s="53"/>
      <c r="JYZ102" s="53"/>
      <c r="JZA102" s="53"/>
      <c r="JZB102" s="53"/>
      <c r="JZC102" s="53"/>
      <c r="JZD102" s="53"/>
      <c r="JZE102" s="53"/>
      <c r="JZF102" s="53"/>
      <c r="JZG102" s="53"/>
      <c r="JZH102" s="53"/>
      <c r="JZI102" s="53"/>
      <c r="JZJ102" s="53"/>
      <c r="JZK102" s="53"/>
      <c r="JZL102" s="53"/>
      <c r="JZM102" s="53"/>
      <c r="JZN102" s="53"/>
      <c r="JZO102" s="53"/>
      <c r="JZP102" s="53"/>
      <c r="JZQ102" s="53"/>
      <c r="JZR102" s="53"/>
      <c r="JZS102" s="53"/>
      <c r="JZT102" s="53"/>
      <c r="JZU102" s="53"/>
      <c r="JZV102" s="53"/>
      <c r="JZW102" s="53"/>
      <c r="JZX102" s="53"/>
      <c r="JZY102" s="53"/>
      <c r="JZZ102" s="53"/>
      <c r="KAA102" s="53"/>
      <c r="KAB102" s="53"/>
      <c r="KAC102" s="53"/>
      <c r="KAD102" s="53"/>
      <c r="KAE102" s="53"/>
      <c r="KAF102" s="53"/>
      <c r="KAG102" s="53"/>
      <c r="KAH102" s="53"/>
      <c r="KAI102" s="53"/>
      <c r="KAJ102" s="53"/>
      <c r="KAK102" s="53"/>
      <c r="KAL102" s="53"/>
      <c r="KAM102" s="53"/>
      <c r="KAN102" s="53"/>
      <c r="KAO102" s="53"/>
      <c r="KAP102" s="53"/>
      <c r="KAQ102" s="53"/>
      <c r="KAR102" s="53"/>
      <c r="KAS102" s="53"/>
      <c r="KAT102" s="53"/>
      <c r="KAU102" s="53"/>
      <c r="KAV102" s="53"/>
      <c r="KAW102" s="53"/>
      <c r="KAX102" s="53"/>
      <c r="KAY102" s="53"/>
      <c r="KAZ102" s="53"/>
      <c r="KBA102" s="53"/>
      <c r="KBB102" s="53"/>
      <c r="KBC102" s="53"/>
      <c r="KBD102" s="53"/>
      <c r="KBE102" s="53"/>
      <c r="KBF102" s="53"/>
      <c r="KBG102" s="53"/>
      <c r="KBH102" s="53"/>
      <c r="KBI102" s="53"/>
      <c r="KBJ102" s="53"/>
      <c r="KBK102" s="53"/>
      <c r="KBL102" s="53"/>
      <c r="KBM102" s="53"/>
      <c r="KBN102" s="53"/>
      <c r="KBO102" s="53"/>
      <c r="KBP102" s="53"/>
      <c r="KBQ102" s="53"/>
      <c r="KBR102" s="53"/>
      <c r="KBS102" s="53"/>
      <c r="KBT102" s="53"/>
      <c r="KBU102" s="53"/>
      <c r="KBV102" s="53"/>
      <c r="KBW102" s="53"/>
      <c r="KBX102" s="53"/>
      <c r="KBY102" s="53"/>
      <c r="KBZ102" s="53"/>
      <c r="KCA102" s="53"/>
      <c r="KCB102" s="53"/>
      <c r="KCC102" s="53"/>
      <c r="KCD102" s="53"/>
      <c r="KCE102" s="53"/>
      <c r="KCF102" s="53"/>
      <c r="KCG102" s="53"/>
      <c r="KCH102" s="53"/>
      <c r="KCI102" s="53"/>
      <c r="KCJ102" s="53"/>
      <c r="KCK102" s="53"/>
      <c r="KCL102" s="53"/>
      <c r="KCM102" s="53"/>
      <c r="KCN102" s="53"/>
      <c r="KCO102" s="53"/>
      <c r="KCP102" s="53"/>
      <c r="KCQ102" s="53"/>
      <c r="KCR102" s="53"/>
      <c r="KCS102" s="53"/>
      <c r="KCT102" s="53"/>
      <c r="KCU102" s="53"/>
      <c r="KCV102" s="53"/>
      <c r="KCW102" s="53"/>
      <c r="KCX102" s="53"/>
      <c r="KCY102" s="53"/>
      <c r="KCZ102" s="53"/>
      <c r="KDA102" s="53"/>
      <c r="KDB102" s="53"/>
      <c r="KDC102" s="53"/>
      <c r="KDD102" s="53"/>
      <c r="KDE102" s="53"/>
      <c r="KDF102" s="53"/>
      <c r="KDG102" s="53"/>
      <c r="KDH102" s="53"/>
      <c r="KDI102" s="53"/>
      <c r="KDJ102" s="53"/>
      <c r="KDK102" s="53"/>
      <c r="KDL102" s="53"/>
      <c r="KDM102" s="53"/>
      <c r="KDN102" s="53"/>
      <c r="KDO102" s="53"/>
      <c r="KDP102" s="53"/>
      <c r="KDQ102" s="53"/>
      <c r="KDR102" s="53"/>
      <c r="KDS102" s="53"/>
      <c r="KDT102" s="53"/>
      <c r="KDU102" s="53"/>
      <c r="KDV102" s="53"/>
      <c r="KDW102" s="53"/>
      <c r="KDX102" s="53"/>
      <c r="KDY102" s="53"/>
      <c r="KDZ102" s="53"/>
      <c r="KEA102" s="53"/>
      <c r="KEB102" s="53"/>
      <c r="KEC102" s="53"/>
      <c r="KED102" s="53"/>
      <c r="KEE102" s="53"/>
      <c r="KEF102" s="53"/>
      <c r="KEG102" s="53"/>
      <c r="KEH102" s="53"/>
      <c r="KEI102" s="53"/>
      <c r="KEJ102" s="53"/>
      <c r="KEK102" s="53"/>
      <c r="KEL102" s="53"/>
      <c r="KEM102" s="53"/>
      <c r="KEN102" s="53"/>
      <c r="KEO102" s="53"/>
      <c r="KEP102" s="53"/>
      <c r="KEQ102" s="53"/>
      <c r="KER102" s="53"/>
      <c r="KES102" s="53"/>
      <c r="KET102" s="53"/>
      <c r="KEU102" s="53"/>
      <c r="KEV102" s="53"/>
      <c r="KEW102" s="53"/>
      <c r="KEX102" s="53"/>
      <c r="KEY102" s="53"/>
      <c r="KEZ102" s="53"/>
      <c r="KFA102" s="53"/>
      <c r="KFB102" s="53"/>
      <c r="KFC102" s="53"/>
      <c r="KFD102" s="53"/>
      <c r="KFE102" s="53"/>
      <c r="KFF102" s="53"/>
      <c r="KFG102" s="53"/>
      <c r="KFH102" s="53"/>
      <c r="KFI102" s="53"/>
      <c r="KFJ102" s="53"/>
      <c r="KFK102" s="53"/>
      <c r="KFL102" s="53"/>
      <c r="KFM102" s="53"/>
      <c r="KFN102" s="53"/>
      <c r="KFO102" s="53"/>
      <c r="KFP102" s="53"/>
      <c r="KFQ102" s="53"/>
      <c r="KFR102" s="53"/>
      <c r="KFS102" s="53"/>
      <c r="KFT102" s="53"/>
      <c r="KFU102" s="53"/>
      <c r="KFV102" s="53"/>
      <c r="KFW102" s="53"/>
      <c r="KFX102" s="53"/>
      <c r="KFY102" s="53"/>
      <c r="KFZ102" s="53"/>
      <c r="KGA102" s="53"/>
      <c r="KGB102" s="53"/>
      <c r="KGC102" s="53"/>
      <c r="KGD102" s="53"/>
      <c r="KGE102" s="53"/>
      <c r="KGF102" s="53"/>
      <c r="KGG102" s="53"/>
      <c r="KGH102" s="53"/>
      <c r="KGI102" s="53"/>
      <c r="KGJ102" s="53"/>
      <c r="KGK102" s="53"/>
      <c r="KGL102" s="53"/>
      <c r="KGM102" s="53"/>
      <c r="KGN102" s="53"/>
      <c r="KGO102" s="53"/>
      <c r="KGP102" s="53"/>
      <c r="KGQ102" s="53"/>
      <c r="KGR102" s="53"/>
      <c r="KGS102" s="53"/>
      <c r="KGT102" s="53"/>
      <c r="KGU102" s="53"/>
      <c r="KGV102" s="53"/>
      <c r="KGW102" s="53"/>
      <c r="KGX102" s="53"/>
      <c r="KGY102" s="53"/>
      <c r="KGZ102" s="53"/>
      <c r="KHA102" s="53"/>
      <c r="KHB102" s="53"/>
      <c r="KHC102" s="53"/>
      <c r="KHD102" s="53"/>
      <c r="KHE102" s="53"/>
      <c r="KHF102" s="53"/>
      <c r="KHG102" s="53"/>
      <c r="KHH102" s="53"/>
      <c r="KHI102" s="53"/>
      <c r="KHJ102" s="53"/>
      <c r="KHK102" s="53"/>
      <c r="KHL102" s="53"/>
      <c r="KHM102" s="53"/>
      <c r="KHN102" s="53"/>
      <c r="KHO102" s="53"/>
      <c r="KHP102" s="53"/>
      <c r="KHQ102" s="53"/>
      <c r="KHR102" s="53"/>
      <c r="KHS102" s="53"/>
      <c r="KHT102" s="53"/>
      <c r="KHU102" s="53"/>
      <c r="KHV102" s="53"/>
      <c r="KHW102" s="53"/>
      <c r="KHX102" s="53"/>
      <c r="KHY102" s="53"/>
      <c r="KHZ102" s="53"/>
      <c r="KIA102" s="53"/>
      <c r="KIB102" s="53"/>
      <c r="KIC102" s="53"/>
      <c r="KID102" s="53"/>
      <c r="KIE102" s="53"/>
      <c r="KIF102" s="53"/>
      <c r="KIG102" s="53"/>
      <c r="KIH102" s="53"/>
      <c r="KII102" s="53"/>
      <c r="KIJ102" s="53"/>
      <c r="KIK102" s="53"/>
      <c r="KIL102" s="53"/>
      <c r="KIM102" s="53"/>
      <c r="KIN102" s="53"/>
      <c r="KIO102" s="53"/>
      <c r="KIP102" s="53"/>
      <c r="KIQ102" s="53"/>
      <c r="KIR102" s="53"/>
      <c r="KIS102" s="53"/>
      <c r="KIT102" s="53"/>
      <c r="KIU102" s="53"/>
      <c r="KIV102" s="53"/>
      <c r="KIW102" s="53"/>
      <c r="KIX102" s="53"/>
      <c r="KIY102" s="53"/>
      <c r="KIZ102" s="53"/>
      <c r="KJA102" s="53"/>
      <c r="KJB102" s="53"/>
      <c r="KJC102" s="53"/>
      <c r="KJD102" s="53"/>
      <c r="KJE102" s="53"/>
      <c r="KJF102" s="53"/>
      <c r="KJG102" s="53"/>
      <c r="KJH102" s="53"/>
      <c r="KJI102" s="53"/>
      <c r="KJJ102" s="53"/>
      <c r="KJK102" s="53"/>
      <c r="KJL102" s="53"/>
      <c r="KJM102" s="53"/>
      <c r="KJN102" s="53"/>
      <c r="KJO102" s="53"/>
      <c r="KJP102" s="53"/>
      <c r="KJQ102" s="53"/>
      <c r="KJR102" s="53"/>
      <c r="KJS102" s="53"/>
      <c r="KJT102" s="53"/>
      <c r="KJU102" s="53"/>
      <c r="KJV102" s="53"/>
      <c r="KJW102" s="53"/>
      <c r="KJX102" s="53"/>
      <c r="KJY102" s="53"/>
      <c r="KJZ102" s="53"/>
      <c r="KKA102" s="53"/>
      <c r="KKB102" s="53"/>
      <c r="KKC102" s="53"/>
      <c r="KKD102" s="53"/>
      <c r="KKE102" s="53"/>
      <c r="KKF102" s="53"/>
      <c r="KKG102" s="53"/>
      <c r="KKH102" s="53"/>
      <c r="KKI102" s="53"/>
      <c r="KKJ102" s="53"/>
      <c r="KKK102" s="53"/>
      <c r="KKL102" s="53"/>
      <c r="KKM102" s="53"/>
      <c r="KKN102" s="53"/>
      <c r="KKO102" s="53"/>
      <c r="KKP102" s="53"/>
      <c r="KKQ102" s="53"/>
      <c r="KKR102" s="53"/>
      <c r="KKS102" s="53"/>
      <c r="KKT102" s="53"/>
      <c r="KKU102" s="53"/>
      <c r="KKV102" s="53"/>
      <c r="KKW102" s="53"/>
      <c r="KKX102" s="53"/>
      <c r="KKY102" s="53"/>
      <c r="KKZ102" s="53"/>
      <c r="KLA102" s="53"/>
      <c r="KLB102" s="53"/>
      <c r="KLC102" s="53"/>
      <c r="KLD102" s="53"/>
      <c r="KLE102" s="53"/>
      <c r="KLF102" s="53"/>
      <c r="KLG102" s="53"/>
      <c r="KLH102" s="53"/>
      <c r="KLI102" s="53"/>
      <c r="KLJ102" s="53"/>
      <c r="KLK102" s="53"/>
      <c r="KLL102" s="53"/>
      <c r="KLM102" s="53"/>
      <c r="KLN102" s="53"/>
      <c r="KLO102" s="53"/>
      <c r="KLP102" s="53"/>
      <c r="KLQ102" s="53"/>
      <c r="KLR102" s="53"/>
      <c r="KLS102" s="53"/>
      <c r="KLT102" s="53"/>
      <c r="KLU102" s="53"/>
      <c r="KLV102" s="53"/>
      <c r="KLW102" s="53"/>
      <c r="KLX102" s="53"/>
      <c r="KLY102" s="53"/>
      <c r="KLZ102" s="53"/>
      <c r="KMA102" s="53"/>
      <c r="KMB102" s="53"/>
      <c r="KMC102" s="53"/>
      <c r="KMD102" s="53"/>
      <c r="KME102" s="53"/>
      <c r="KMF102" s="53"/>
      <c r="KMG102" s="53"/>
      <c r="KMH102" s="53"/>
      <c r="KMI102" s="53"/>
      <c r="KMJ102" s="53"/>
      <c r="KMK102" s="53"/>
      <c r="KML102" s="53"/>
      <c r="KMM102" s="53"/>
      <c r="KMN102" s="53"/>
      <c r="KMO102" s="53"/>
      <c r="KMP102" s="53"/>
      <c r="KMQ102" s="53"/>
      <c r="KMR102" s="53"/>
      <c r="KMS102" s="53"/>
      <c r="KMT102" s="53"/>
      <c r="KMU102" s="53"/>
      <c r="KMV102" s="53"/>
      <c r="KMW102" s="53"/>
      <c r="KMX102" s="53"/>
      <c r="KMY102" s="53"/>
      <c r="KMZ102" s="53"/>
      <c r="KNA102" s="53"/>
      <c r="KNB102" s="53"/>
      <c r="KNC102" s="53"/>
      <c r="KND102" s="53"/>
      <c r="KNE102" s="53"/>
      <c r="KNF102" s="53"/>
      <c r="KNG102" s="53"/>
      <c r="KNH102" s="53"/>
      <c r="KNI102" s="53"/>
      <c r="KNJ102" s="53"/>
      <c r="KNK102" s="53"/>
      <c r="KNL102" s="53"/>
      <c r="KNM102" s="53"/>
      <c r="KNN102" s="53"/>
      <c r="KNO102" s="53"/>
      <c r="KNP102" s="53"/>
      <c r="KNQ102" s="53"/>
      <c r="KNR102" s="53"/>
      <c r="KNS102" s="53"/>
      <c r="KNT102" s="53"/>
      <c r="KNU102" s="53"/>
      <c r="KNV102" s="53"/>
      <c r="KNW102" s="53"/>
      <c r="KNX102" s="53"/>
      <c r="KNY102" s="53"/>
      <c r="KNZ102" s="53"/>
      <c r="KOA102" s="53"/>
      <c r="KOB102" s="53"/>
      <c r="KOC102" s="53"/>
      <c r="KOD102" s="53"/>
      <c r="KOE102" s="53"/>
      <c r="KOF102" s="53"/>
      <c r="KOG102" s="53"/>
      <c r="KOH102" s="53"/>
      <c r="KOI102" s="53"/>
      <c r="KOJ102" s="53"/>
      <c r="KOK102" s="53"/>
      <c r="KOL102" s="53"/>
      <c r="KOM102" s="53"/>
      <c r="KON102" s="53"/>
      <c r="KOO102" s="53"/>
      <c r="KOP102" s="53"/>
      <c r="KOQ102" s="53"/>
      <c r="KOR102" s="53"/>
      <c r="KOS102" s="53"/>
      <c r="KOT102" s="53"/>
      <c r="KOU102" s="53"/>
      <c r="KOV102" s="53"/>
      <c r="KOW102" s="53"/>
      <c r="KOX102" s="53"/>
      <c r="KOY102" s="53"/>
      <c r="KOZ102" s="53"/>
      <c r="KPA102" s="53"/>
      <c r="KPB102" s="53"/>
      <c r="KPC102" s="53"/>
      <c r="KPD102" s="53"/>
      <c r="KPE102" s="53"/>
      <c r="KPF102" s="53"/>
      <c r="KPG102" s="53"/>
      <c r="KPH102" s="53"/>
      <c r="KPI102" s="53"/>
      <c r="KPJ102" s="53"/>
      <c r="KPK102" s="53"/>
      <c r="KPL102" s="53"/>
      <c r="KPM102" s="53"/>
      <c r="KPN102" s="53"/>
      <c r="KPO102" s="53"/>
      <c r="KPP102" s="53"/>
      <c r="KPQ102" s="53"/>
      <c r="KPR102" s="53"/>
      <c r="KPS102" s="53"/>
      <c r="KPT102" s="53"/>
      <c r="KPU102" s="53"/>
      <c r="KPV102" s="53"/>
      <c r="KPW102" s="53"/>
      <c r="KPX102" s="53"/>
      <c r="KPY102" s="53"/>
      <c r="KPZ102" s="53"/>
      <c r="KQA102" s="53"/>
      <c r="KQB102" s="53"/>
      <c r="KQC102" s="53"/>
      <c r="KQD102" s="53"/>
      <c r="KQE102" s="53"/>
      <c r="KQF102" s="53"/>
      <c r="KQG102" s="53"/>
      <c r="KQH102" s="53"/>
      <c r="KQI102" s="53"/>
      <c r="KQJ102" s="53"/>
      <c r="KQK102" s="53"/>
      <c r="KQL102" s="53"/>
      <c r="KQM102" s="53"/>
      <c r="KQN102" s="53"/>
      <c r="KQO102" s="53"/>
      <c r="KQP102" s="53"/>
      <c r="KQQ102" s="53"/>
      <c r="KQR102" s="53"/>
      <c r="KQS102" s="53"/>
      <c r="KQT102" s="53"/>
      <c r="KQU102" s="53"/>
      <c r="KQV102" s="53"/>
      <c r="KQW102" s="53"/>
      <c r="KQX102" s="53"/>
      <c r="KQY102" s="53"/>
      <c r="KQZ102" s="53"/>
      <c r="KRA102" s="53"/>
      <c r="KRB102" s="53"/>
      <c r="KRC102" s="53"/>
      <c r="KRD102" s="53"/>
      <c r="KRE102" s="53"/>
      <c r="KRF102" s="53"/>
      <c r="KRG102" s="53"/>
      <c r="KRH102" s="53"/>
      <c r="KRI102" s="53"/>
      <c r="KRJ102" s="53"/>
      <c r="KRK102" s="53"/>
      <c r="KRL102" s="53"/>
      <c r="KRM102" s="53"/>
      <c r="KRN102" s="53"/>
      <c r="KRO102" s="53"/>
      <c r="KRP102" s="53"/>
      <c r="KRQ102" s="53"/>
      <c r="KRR102" s="53"/>
      <c r="KRS102" s="53"/>
      <c r="KRT102" s="53"/>
      <c r="KRU102" s="53"/>
      <c r="KRV102" s="53"/>
      <c r="KRW102" s="53"/>
      <c r="KRX102" s="53"/>
      <c r="KRY102" s="53"/>
      <c r="KRZ102" s="53"/>
      <c r="KSA102" s="53"/>
      <c r="KSB102" s="53"/>
      <c r="KSC102" s="53"/>
      <c r="KSD102" s="53"/>
      <c r="KSE102" s="53"/>
      <c r="KSF102" s="53"/>
      <c r="KSG102" s="53"/>
      <c r="KSH102" s="53"/>
      <c r="KSI102" s="53"/>
      <c r="KSJ102" s="53"/>
      <c r="KSK102" s="53"/>
      <c r="KSL102" s="53"/>
      <c r="KSM102" s="53"/>
      <c r="KSN102" s="53"/>
      <c r="KSO102" s="53"/>
      <c r="KSP102" s="53"/>
      <c r="KSQ102" s="53"/>
      <c r="KSR102" s="53"/>
      <c r="KSS102" s="53"/>
      <c r="KST102" s="53"/>
      <c r="KSU102" s="53"/>
      <c r="KSV102" s="53"/>
      <c r="KSW102" s="53"/>
      <c r="KSX102" s="53"/>
      <c r="KSY102" s="53"/>
      <c r="KSZ102" s="53"/>
      <c r="KTA102" s="53"/>
      <c r="KTB102" s="53"/>
      <c r="KTC102" s="53"/>
      <c r="KTD102" s="53"/>
      <c r="KTE102" s="53"/>
      <c r="KTF102" s="53"/>
      <c r="KTG102" s="53"/>
      <c r="KTH102" s="53"/>
      <c r="KTI102" s="53"/>
      <c r="KTJ102" s="53"/>
      <c r="KTK102" s="53"/>
      <c r="KTL102" s="53"/>
      <c r="KTM102" s="53"/>
      <c r="KTN102" s="53"/>
      <c r="KTO102" s="53"/>
      <c r="KTP102" s="53"/>
      <c r="KTQ102" s="53"/>
      <c r="KTR102" s="53"/>
      <c r="KTS102" s="53"/>
      <c r="KTT102" s="53"/>
      <c r="KTU102" s="53"/>
      <c r="KTV102" s="53"/>
      <c r="KTW102" s="53"/>
      <c r="KTX102" s="53"/>
      <c r="KTY102" s="53"/>
      <c r="KTZ102" s="53"/>
      <c r="KUA102" s="53"/>
      <c r="KUB102" s="53"/>
      <c r="KUC102" s="53"/>
      <c r="KUD102" s="53"/>
      <c r="KUE102" s="53"/>
      <c r="KUF102" s="53"/>
      <c r="KUG102" s="53"/>
      <c r="KUH102" s="53"/>
      <c r="KUI102" s="53"/>
      <c r="KUJ102" s="53"/>
      <c r="KUK102" s="53"/>
      <c r="KUL102" s="53"/>
      <c r="KUM102" s="53"/>
      <c r="KUN102" s="53"/>
      <c r="KUO102" s="53"/>
      <c r="KUP102" s="53"/>
      <c r="KUQ102" s="53"/>
      <c r="KUR102" s="53"/>
      <c r="KUS102" s="53"/>
      <c r="KUT102" s="53"/>
      <c r="KUU102" s="53"/>
      <c r="KUV102" s="53"/>
      <c r="KUW102" s="53"/>
      <c r="KUX102" s="53"/>
      <c r="KUY102" s="53"/>
      <c r="KUZ102" s="53"/>
      <c r="KVA102" s="53"/>
      <c r="KVB102" s="53"/>
      <c r="KVC102" s="53"/>
      <c r="KVD102" s="53"/>
      <c r="KVE102" s="53"/>
      <c r="KVF102" s="53"/>
      <c r="KVG102" s="53"/>
      <c r="KVH102" s="53"/>
      <c r="KVI102" s="53"/>
      <c r="KVJ102" s="53"/>
      <c r="KVK102" s="53"/>
      <c r="KVL102" s="53"/>
      <c r="KVM102" s="53"/>
      <c r="KVN102" s="53"/>
      <c r="KVO102" s="53"/>
      <c r="KVP102" s="53"/>
      <c r="KVQ102" s="53"/>
      <c r="KVR102" s="53"/>
      <c r="KVS102" s="53"/>
      <c r="KVT102" s="53"/>
      <c r="KVU102" s="53"/>
      <c r="KVV102" s="53"/>
      <c r="KVW102" s="53"/>
      <c r="KVX102" s="53"/>
      <c r="KVY102" s="53"/>
      <c r="KVZ102" s="53"/>
      <c r="KWA102" s="53"/>
      <c r="KWB102" s="53"/>
      <c r="KWC102" s="53"/>
      <c r="KWD102" s="53"/>
      <c r="KWE102" s="53"/>
      <c r="KWF102" s="53"/>
      <c r="KWG102" s="53"/>
      <c r="KWH102" s="53"/>
      <c r="KWI102" s="53"/>
      <c r="KWJ102" s="53"/>
      <c r="KWK102" s="53"/>
      <c r="KWL102" s="53"/>
      <c r="KWM102" s="53"/>
      <c r="KWN102" s="53"/>
      <c r="KWO102" s="53"/>
      <c r="KWP102" s="53"/>
      <c r="KWQ102" s="53"/>
      <c r="KWR102" s="53"/>
      <c r="KWS102" s="53"/>
      <c r="KWT102" s="53"/>
      <c r="KWU102" s="53"/>
      <c r="KWV102" s="53"/>
      <c r="KWW102" s="53"/>
      <c r="KWX102" s="53"/>
      <c r="KWY102" s="53"/>
      <c r="KWZ102" s="53"/>
      <c r="KXA102" s="53"/>
      <c r="KXB102" s="53"/>
      <c r="KXC102" s="53"/>
      <c r="KXD102" s="53"/>
      <c r="KXE102" s="53"/>
      <c r="KXF102" s="53"/>
      <c r="KXG102" s="53"/>
      <c r="KXH102" s="53"/>
      <c r="KXI102" s="53"/>
      <c r="KXJ102" s="53"/>
      <c r="KXK102" s="53"/>
      <c r="KXL102" s="53"/>
      <c r="KXM102" s="53"/>
      <c r="KXN102" s="53"/>
      <c r="KXO102" s="53"/>
      <c r="KXP102" s="53"/>
      <c r="KXQ102" s="53"/>
      <c r="KXR102" s="53"/>
      <c r="KXS102" s="53"/>
      <c r="KXT102" s="53"/>
      <c r="KXU102" s="53"/>
      <c r="KXV102" s="53"/>
      <c r="KXW102" s="53"/>
      <c r="KXX102" s="53"/>
      <c r="KXY102" s="53"/>
      <c r="KXZ102" s="53"/>
      <c r="KYA102" s="53"/>
      <c r="KYB102" s="53"/>
      <c r="KYC102" s="53"/>
      <c r="KYD102" s="53"/>
      <c r="KYE102" s="53"/>
      <c r="KYF102" s="53"/>
      <c r="KYG102" s="53"/>
      <c r="KYH102" s="53"/>
      <c r="KYI102" s="53"/>
      <c r="KYJ102" s="53"/>
      <c r="KYK102" s="53"/>
      <c r="KYL102" s="53"/>
      <c r="KYM102" s="53"/>
      <c r="KYN102" s="53"/>
      <c r="KYO102" s="53"/>
      <c r="KYP102" s="53"/>
      <c r="KYQ102" s="53"/>
      <c r="KYR102" s="53"/>
      <c r="KYS102" s="53"/>
      <c r="KYT102" s="53"/>
      <c r="KYU102" s="53"/>
      <c r="KYV102" s="53"/>
      <c r="KYW102" s="53"/>
      <c r="KYX102" s="53"/>
      <c r="KYY102" s="53"/>
      <c r="KYZ102" s="53"/>
      <c r="KZA102" s="53"/>
      <c r="KZB102" s="53"/>
      <c r="KZC102" s="53"/>
      <c r="KZD102" s="53"/>
      <c r="KZE102" s="53"/>
      <c r="KZF102" s="53"/>
      <c r="KZG102" s="53"/>
      <c r="KZH102" s="53"/>
      <c r="KZI102" s="53"/>
      <c r="KZJ102" s="53"/>
      <c r="KZK102" s="53"/>
      <c r="KZL102" s="53"/>
      <c r="KZM102" s="53"/>
      <c r="KZN102" s="53"/>
      <c r="KZO102" s="53"/>
      <c r="KZP102" s="53"/>
      <c r="KZQ102" s="53"/>
      <c r="KZR102" s="53"/>
      <c r="KZS102" s="53"/>
      <c r="KZT102" s="53"/>
      <c r="KZU102" s="53"/>
      <c r="KZV102" s="53"/>
      <c r="KZW102" s="53"/>
      <c r="KZX102" s="53"/>
      <c r="KZY102" s="53"/>
      <c r="KZZ102" s="53"/>
      <c r="LAA102" s="53"/>
      <c r="LAB102" s="53"/>
      <c r="LAC102" s="53"/>
      <c r="LAD102" s="53"/>
      <c r="LAE102" s="53"/>
      <c r="LAF102" s="53"/>
      <c r="LAG102" s="53"/>
      <c r="LAH102" s="53"/>
      <c r="LAI102" s="53"/>
      <c r="LAJ102" s="53"/>
      <c r="LAK102" s="53"/>
      <c r="LAL102" s="53"/>
      <c r="LAM102" s="53"/>
      <c r="LAN102" s="53"/>
      <c r="LAO102" s="53"/>
      <c r="LAP102" s="53"/>
      <c r="LAQ102" s="53"/>
      <c r="LAR102" s="53"/>
      <c r="LAS102" s="53"/>
      <c r="LAT102" s="53"/>
      <c r="LAU102" s="53"/>
      <c r="LAV102" s="53"/>
      <c r="LAW102" s="53"/>
      <c r="LAX102" s="53"/>
      <c r="LAY102" s="53"/>
      <c r="LAZ102" s="53"/>
      <c r="LBA102" s="53"/>
      <c r="LBB102" s="53"/>
      <c r="LBC102" s="53"/>
      <c r="LBD102" s="53"/>
      <c r="LBE102" s="53"/>
      <c r="LBF102" s="53"/>
      <c r="LBG102" s="53"/>
      <c r="LBH102" s="53"/>
      <c r="LBI102" s="53"/>
      <c r="LBJ102" s="53"/>
      <c r="LBK102" s="53"/>
      <c r="LBL102" s="53"/>
      <c r="LBM102" s="53"/>
      <c r="LBN102" s="53"/>
      <c r="LBO102" s="53"/>
      <c r="LBP102" s="53"/>
      <c r="LBQ102" s="53"/>
      <c r="LBR102" s="53"/>
      <c r="LBS102" s="53"/>
      <c r="LBT102" s="53"/>
      <c r="LBU102" s="53"/>
      <c r="LBV102" s="53"/>
      <c r="LBW102" s="53"/>
      <c r="LBX102" s="53"/>
      <c r="LBY102" s="53"/>
      <c r="LBZ102" s="53"/>
      <c r="LCA102" s="53"/>
      <c r="LCB102" s="53"/>
      <c r="LCC102" s="53"/>
      <c r="LCD102" s="53"/>
      <c r="LCE102" s="53"/>
      <c r="LCF102" s="53"/>
      <c r="LCG102" s="53"/>
      <c r="LCH102" s="53"/>
      <c r="LCI102" s="53"/>
      <c r="LCJ102" s="53"/>
      <c r="LCK102" s="53"/>
      <c r="LCL102" s="53"/>
      <c r="LCM102" s="53"/>
      <c r="LCN102" s="53"/>
      <c r="LCO102" s="53"/>
      <c r="LCP102" s="53"/>
      <c r="LCQ102" s="53"/>
      <c r="LCR102" s="53"/>
      <c r="LCS102" s="53"/>
      <c r="LCT102" s="53"/>
      <c r="LCU102" s="53"/>
      <c r="LCV102" s="53"/>
      <c r="LCW102" s="53"/>
      <c r="LCX102" s="53"/>
      <c r="LCY102" s="53"/>
      <c r="LCZ102" s="53"/>
      <c r="LDA102" s="53"/>
      <c r="LDB102" s="53"/>
      <c r="LDC102" s="53"/>
      <c r="LDD102" s="53"/>
      <c r="LDE102" s="53"/>
      <c r="LDF102" s="53"/>
      <c r="LDG102" s="53"/>
      <c r="LDH102" s="53"/>
      <c r="LDI102" s="53"/>
      <c r="LDJ102" s="53"/>
      <c r="LDK102" s="53"/>
      <c r="LDL102" s="53"/>
      <c r="LDM102" s="53"/>
      <c r="LDN102" s="53"/>
      <c r="LDO102" s="53"/>
      <c r="LDP102" s="53"/>
      <c r="LDQ102" s="53"/>
      <c r="LDR102" s="53"/>
      <c r="LDS102" s="53"/>
      <c r="LDT102" s="53"/>
      <c r="LDU102" s="53"/>
      <c r="LDV102" s="53"/>
      <c r="LDW102" s="53"/>
      <c r="LDX102" s="53"/>
      <c r="LDY102" s="53"/>
      <c r="LDZ102" s="53"/>
      <c r="LEA102" s="53"/>
      <c r="LEB102" s="53"/>
      <c r="LEC102" s="53"/>
      <c r="LED102" s="53"/>
      <c r="LEE102" s="53"/>
      <c r="LEF102" s="53"/>
      <c r="LEG102" s="53"/>
      <c r="LEH102" s="53"/>
      <c r="LEI102" s="53"/>
      <c r="LEJ102" s="53"/>
      <c r="LEK102" s="53"/>
      <c r="LEL102" s="53"/>
      <c r="LEM102" s="53"/>
      <c r="LEN102" s="53"/>
      <c r="LEO102" s="53"/>
      <c r="LEP102" s="53"/>
      <c r="LEQ102" s="53"/>
      <c r="LER102" s="53"/>
      <c r="LES102" s="53"/>
      <c r="LET102" s="53"/>
      <c r="LEU102" s="53"/>
      <c r="LEV102" s="53"/>
      <c r="LEW102" s="53"/>
      <c r="LEX102" s="53"/>
      <c r="LEY102" s="53"/>
      <c r="LEZ102" s="53"/>
      <c r="LFA102" s="53"/>
      <c r="LFB102" s="53"/>
      <c r="LFC102" s="53"/>
      <c r="LFD102" s="53"/>
      <c r="LFE102" s="53"/>
      <c r="LFF102" s="53"/>
      <c r="LFG102" s="53"/>
      <c r="LFH102" s="53"/>
      <c r="LFI102" s="53"/>
      <c r="LFJ102" s="53"/>
      <c r="LFK102" s="53"/>
      <c r="LFL102" s="53"/>
      <c r="LFM102" s="53"/>
      <c r="LFN102" s="53"/>
      <c r="LFO102" s="53"/>
      <c r="LFP102" s="53"/>
      <c r="LFQ102" s="53"/>
      <c r="LFR102" s="53"/>
      <c r="LFS102" s="53"/>
      <c r="LFT102" s="53"/>
      <c r="LFU102" s="53"/>
      <c r="LFV102" s="53"/>
      <c r="LFW102" s="53"/>
      <c r="LFX102" s="53"/>
      <c r="LFY102" s="53"/>
      <c r="LFZ102" s="53"/>
      <c r="LGA102" s="53"/>
      <c r="LGB102" s="53"/>
      <c r="LGC102" s="53"/>
      <c r="LGD102" s="53"/>
      <c r="LGE102" s="53"/>
      <c r="LGF102" s="53"/>
      <c r="LGG102" s="53"/>
      <c r="LGH102" s="53"/>
      <c r="LGI102" s="53"/>
      <c r="LGJ102" s="53"/>
      <c r="LGK102" s="53"/>
      <c r="LGL102" s="53"/>
      <c r="LGM102" s="53"/>
      <c r="LGN102" s="53"/>
      <c r="LGO102" s="53"/>
      <c r="LGP102" s="53"/>
      <c r="LGQ102" s="53"/>
      <c r="LGR102" s="53"/>
      <c r="LGS102" s="53"/>
      <c r="LGT102" s="53"/>
      <c r="LGU102" s="53"/>
      <c r="LGV102" s="53"/>
      <c r="LGW102" s="53"/>
      <c r="LGX102" s="53"/>
      <c r="LGY102" s="53"/>
      <c r="LGZ102" s="53"/>
      <c r="LHA102" s="53"/>
      <c r="LHB102" s="53"/>
      <c r="LHC102" s="53"/>
      <c r="LHD102" s="53"/>
      <c r="LHE102" s="53"/>
      <c r="LHF102" s="53"/>
      <c r="LHG102" s="53"/>
      <c r="LHH102" s="53"/>
      <c r="LHI102" s="53"/>
      <c r="LHJ102" s="53"/>
      <c r="LHK102" s="53"/>
      <c r="LHL102" s="53"/>
      <c r="LHM102" s="53"/>
      <c r="LHN102" s="53"/>
      <c r="LHO102" s="53"/>
      <c r="LHP102" s="53"/>
      <c r="LHQ102" s="53"/>
      <c r="LHR102" s="53"/>
      <c r="LHS102" s="53"/>
      <c r="LHT102" s="53"/>
      <c r="LHU102" s="53"/>
      <c r="LHV102" s="53"/>
      <c r="LHW102" s="53"/>
      <c r="LHX102" s="53"/>
      <c r="LHY102" s="53"/>
      <c r="LHZ102" s="53"/>
      <c r="LIA102" s="53"/>
      <c r="LIB102" s="53"/>
      <c r="LIC102" s="53"/>
      <c r="LID102" s="53"/>
      <c r="LIE102" s="53"/>
      <c r="LIF102" s="53"/>
      <c r="LIG102" s="53"/>
      <c r="LIH102" s="53"/>
      <c r="LII102" s="53"/>
      <c r="LIJ102" s="53"/>
      <c r="LIK102" s="53"/>
      <c r="LIL102" s="53"/>
      <c r="LIM102" s="53"/>
      <c r="LIN102" s="53"/>
      <c r="LIO102" s="53"/>
      <c r="LIP102" s="53"/>
      <c r="LIQ102" s="53"/>
      <c r="LIR102" s="53"/>
      <c r="LIS102" s="53"/>
      <c r="LIT102" s="53"/>
      <c r="LIU102" s="53"/>
      <c r="LIV102" s="53"/>
      <c r="LIW102" s="53"/>
      <c r="LIX102" s="53"/>
      <c r="LIY102" s="53"/>
      <c r="LIZ102" s="53"/>
      <c r="LJA102" s="53"/>
      <c r="LJB102" s="53"/>
      <c r="LJC102" s="53"/>
      <c r="LJD102" s="53"/>
      <c r="LJE102" s="53"/>
      <c r="LJF102" s="53"/>
      <c r="LJG102" s="53"/>
      <c r="LJH102" s="53"/>
      <c r="LJI102" s="53"/>
      <c r="LJJ102" s="53"/>
      <c r="LJK102" s="53"/>
      <c r="LJL102" s="53"/>
      <c r="LJM102" s="53"/>
      <c r="LJN102" s="53"/>
      <c r="LJO102" s="53"/>
      <c r="LJP102" s="53"/>
      <c r="LJQ102" s="53"/>
      <c r="LJR102" s="53"/>
      <c r="LJS102" s="53"/>
      <c r="LJT102" s="53"/>
      <c r="LJU102" s="53"/>
      <c r="LJV102" s="53"/>
      <c r="LJW102" s="53"/>
      <c r="LJX102" s="53"/>
      <c r="LJY102" s="53"/>
      <c r="LJZ102" s="53"/>
      <c r="LKA102" s="53"/>
      <c r="LKB102" s="53"/>
      <c r="LKC102" s="53"/>
      <c r="LKD102" s="53"/>
      <c r="LKE102" s="53"/>
      <c r="LKF102" s="53"/>
      <c r="LKG102" s="53"/>
      <c r="LKH102" s="53"/>
      <c r="LKI102" s="53"/>
      <c r="LKJ102" s="53"/>
      <c r="LKK102" s="53"/>
      <c r="LKL102" s="53"/>
      <c r="LKM102" s="53"/>
      <c r="LKN102" s="53"/>
      <c r="LKO102" s="53"/>
      <c r="LKP102" s="53"/>
      <c r="LKQ102" s="53"/>
      <c r="LKR102" s="53"/>
      <c r="LKS102" s="53"/>
      <c r="LKT102" s="53"/>
      <c r="LKU102" s="53"/>
      <c r="LKV102" s="53"/>
      <c r="LKW102" s="53"/>
      <c r="LKX102" s="53"/>
      <c r="LKY102" s="53"/>
      <c r="LKZ102" s="53"/>
      <c r="LLA102" s="53"/>
      <c r="LLB102" s="53"/>
      <c r="LLC102" s="53"/>
      <c r="LLD102" s="53"/>
      <c r="LLE102" s="53"/>
      <c r="LLF102" s="53"/>
      <c r="LLG102" s="53"/>
      <c r="LLH102" s="53"/>
      <c r="LLI102" s="53"/>
      <c r="LLJ102" s="53"/>
      <c r="LLK102" s="53"/>
      <c r="LLL102" s="53"/>
      <c r="LLM102" s="53"/>
      <c r="LLN102" s="53"/>
      <c r="LLO102" s="53"/>
      <c r="LLP102" s="53"/>
      <c r="LLQ102" s="53"/>
      <c r="LLR102" s="53"/>
      <c r="LLS102" s="53"/>
      <c r="LLT102" s="53"/>
      <c r="LLU102" s="53"/>
      <c r="LLV102" s="53"/>
      <c r="LLW102" s="53"/>
      <c r="LLX102" s="53"/>
      <c r="LLY102" s="53"/>
      <c r="LLZ102" s="53"/>
      <c r="LMA102" s="53"/>
      <c r="LMB102" s="53"/>
      <c r="LMC102" s="53"/>
      <c r="LMD102" s="53"/>
      <c r="LME102" s="53"/>
      <c r="LMF102" s="53"/>
      <c r="LMG102" s="53"/>
      <c r="LMH102" s="53"/>
      <c r="LMI102" s="53"/>
      <c r="LMJ102" s="53"/>
      <c r="LMK102" s="53"/>
      <c r="LML102" s="53"/>
      <c r="LMM102" s="53"/>
      <c r="LMN102" s="53"/>
      <c r="LMO102" s="53"/>
      <c r="LMP102" s="53"/>
      <c r="LMQ102" s="53"/>
      <c r="LMR102" s="53"/>
      <c r="LMS102" s="53"/>
      <c r="LMT102" s="53"/>
      <c r="LMU102" s="53"/>
      <c r="LMV102" s="53"/>
      <c r="LMW102" s="53"/>
      <c r="LMX102" s="53"/>
      <c r="LMY102" s="53"/>
      <c r="LMZ102" s="53"/>
      <c r="LNA102" s="53"/>
      <c r="LNB102" s="53"/>
      <c r="LNC102" s="53"/>
      <c r="LND102" s="53"/>
      <c r="LNE102" s="53"/>
      <c r="LNF102" s="53"/>
      <c r="LNG102" s="53"/>
      <c r="LNH102" s="53"/>
      <c r="LNI102" s="53"/>
      <c r="LNJ102" s="53"/>
      <c r="LNK102" s="53"/>
      <c r="LNL102" s="53"/>
      <c r="LNM102" s="53"/>
      <c r="LNN102" s="53"/>
      <c r="LNO102" s="53"/>
      <c r="LNP102" s="53"/>
      <c r="LNQ102" s="53"/>
      <c r="LNR102" s="53"/>
      <c r="LNS102" s="53"/>
      <c r="LNT102" s="53"/>
      <c r="LNU102" s="53"/>
      <c r="LNV102" s="53"/>
      <c r="LNW102" s="53"/>
      <c r="LNX102" s="53"/>
      <c r="LNY102" s="53"/>
      <c r="LNZ102" s="53"/>
      <c r="LOA102" s="53"/>
      <c r="LOB102" s="53"/>
      <c r="LOC102" s="53"/>
      <c r="LOD102" s="53"/>
      <c r="LOE102" s="53"/>
      <c r="LOF102" s="53"/>
      <c r="LOG102" s="53"/>
      <c r="LOH102" s="53"/>
      <c r="LOI102" s="53"/>
      <c r="LOJ102" s="53"/>
      <c r="LOK102" s="53"/>
      <c r="LOL102" s="53"/>
      <c r="LOM102" s="53"/>
      <c r="LON102" s="53"/>
      <c r="LOO102" s="53"/>
      <c r="LOP102" s="53"/>
      <c r="LOQ102" s="53"/>
      <c r="LOR102" s="53"/>
      <c r="LOS102" s="53"/>
      <c r="LOT102" s="53"/>
      <c r="LOU102" s="53"/>
      <c r="LOV102" s="53"/>
      <c r="LOW102" s="53"/>
      <c r="LOX102" s="53"/>
      <c r="LOY102" s="53"/>
      <c r="LOZ102" s="53"/>
      <c r="LPA102" s="53"/>
      <c r="LPB102" s="53"/>
      <c r="LPC102" s="53"/>
      <c r="LPD102" s="53"/>
      <c r="LPE102" s="53"/>
      <c r="LPF102" s="53"/>
      <c r="LPG102" s="53"/>
      <c r="LPH102" s="53"/>
      <c r="LPI102" s="53"/>
      <c r="LPJ102" s="53"/>
      <c r="LPK102" s="53"/>
      <c r="LPL102" s="53"/>
      <c r="LPM102" s="53"/>
      <c r="LPN102" s="53"/>
      <c r="LPO102" s="53"/>
      <c r="LPP102" s="53"/>
      <c r="LPQ102" s="53"/>
      <c r="LPR102" s="53"/>
      <c r="LPS102" s="53"/>
      <c r="LPT102" s="53"/>
      <c r="LPU102" s="53"/>
      <c r="LPV102" s="53"/>
      <c r="LPW102" s="53"/>
      <c r="LPX102" s="53"/>
      <c r="LPY102" s="53"/>
      <c r="LPZ102" s="53"/>
      <c r="LQA102" s="53"/>
      <c r="LQB102" s="53"/>
      <c r="LQC102" s="53"/>
      <c r="LQD102" s="53"/>
      <c r="LQE102" s="53"/>
      <c r="LQF102" s="53"/>
      <c r="LQG102" s="53"/>
      <c r="LQH102" s="53"/>
      <c r="LQI102" s="53"/>
      <c r="LQJ102" s="53"/>
      <c r="LQK102" s="53"/>
      <c r="LQL102" s="53"/>
      <c r="LQM102" s="53"/>
      <c r="LQN102" s="53"/>
      <c r="LQO102" s="53"/>
      <c r="LQP102" s="53"/>
      <c r="LQQ102" s="53"/>
      <c r="LQR102" s="53"/>
      <c r="LQS102" s="53"/>
      <c r="LQT102" s="53"/>
      <c r="LQU102" s="53"/>
      <c r="LQV102" s="53"/>
      <c r="LQW102" s="53"/>
      <c r="LQX102" s="53"/>
      <c r="LQY102" s="53"/>
      <c r="LQZ102" s="53"/>
      <c r="LRA102" s="53"/>
      <c r="LRB102" s="53"/>
      <c r="LRC102" s="53"/>
      <c r="LRD102" s="53"/>
      <c r="LRE102" s="53"/>
      <c r="LRF102" s="53"/>
      <c r="LRG102" s="53"/>
      <c r="LRH102" s="53"/>
      <c r="LRI102" s="53"/>
      <c r="LRJ102" s="53"/>
      <c r="LRK102" s="53"/>
      <c r="LRL102" s="53"/>
      <c r="LRM102" s="53"/>
      <c r="LRN102" s="53"/>
      <c r="LRO102" s="53"/>
      <c r="LRP102" s="53"/>
      <c r="LRQ102" s="53"/>
      <c r="LRR102" s="53"/>
      <c r="LRS102" s="53"/>
      <c r="LRT102" s="53"/>
      <c r="LRU102" s="53"/>
      <c r="LRV102" s="53"/>
      <c r="LRW102" s="53"/>
      <c r="LRX102" s="53"/>
      <c r="LRY102" s="53"/>
      <c r="LRZ102" s="53"/>
      <c r="LSA102" s="53"/>
      <c r="LSB102" s="53"/>
      <c r="LSC102" s="53"/>
      <c r="LSD102" s="53"/>
      <c r="LSE102" s="53"/>
      <c r="LSF102" s="53"/>
      <c r="LSG102" s="53"/>
      <c r="LSH102" s="53"/>
      <c r="LSI102" s="53"/>
      <c r="LSJ102" s="53"/>
      <c r="LSK102" s="53"/>
      <c r="LSL102" s="53"/>
      <c r="LSM102" s="53"/>
      <c r="LSN102" s="53"/>
      <c r="LSO102" s="53"/>
      <c r="LSP102" s="53"/>
      <c r="LSQ102" s="53"/>
      <c r="LSR102" s="53"/>
      <c r="LSS102" s="53"/>
      <c r="LST102" s="53"/>
      <c r="LSU102" s="53"/>
      <c r="LSV102" s="53"/>
      <c r="LSW102" s="53"/>
      <c r="LSX102" s="53"/>
      <c r="LSY102" s="53"/>
      <c r="LSZ102" s="53"/>
      <c r="LTA102" s="53"/>
      <c r="LTB102" s="53"/>
      <c r="LTC102" s="53"/>
      <c r="LTD102" s="53"/>
      <c r="LTE102" s="53"/>
      <c r="LTF102" s="53"/>
      <c r="LTG102" s="53"/>
      <c r="LTH102" s="53"/>
      <c r="LTI102" s="53"/>
      <c r="LTJ102" s="53"/>
      <c r="LTK102" s="53"/>
      <c r="LTL102" s="53"/>
      <c r="LTM102" s="53"/>
      <c r="LTN102" s="53"/>
      <c r="LTO102" s="53"/>
      <c r="LTP102" s="53"/>
      <c r="LTQ102" s="53"/>
      <c r="LTR102" s="53"/>
      <c r="LTS102" s="53"/>
      <c r="LTT102" s="53"/>
      <c r="LTU102" s="53"/>
      <c r="LTV102" s="53"/>
      <c r="LTW102" s="53"/>
      <c r="LTX102" s="53"/>
      <c r="LTY102" s="53"/>
      <c r="LTZ102" s="53"/>
      <c r="LUA102" s="53"/>
      <c r="LUB102" s="53"/>
      <c r="LUC102" s="53"/>
      <c r="LUD102" s="53"/>
      <c r="LUE102" s="53"/>
      <c r="LUF102" s="53"/>
      <c r="LUG102" s="53"/>
      <c r="LUH102" s="53"/>
      <c r="LUI102" s="53"/>
      <c r="LUJ102" s="53"/>
      <c r="LUK102" s="53"/>
      <c r="LUL102" s="53"/>
      <c r="LUM102" s="53"/>
      <c r="LUN102" s="53"/>
      <c r="LUO102" s="53"/>
      <c r="LUP102" s="53"/>
      <c r="LUQ102" s="53"/>
      <c r="LUR102" s="53"/>
      <c r="LUS102" s="53"/>
      <c r="LUT102" s="53"/>
      <c r="LUU102" s="53"/>
      <c r="LUV102" s="53"/>
      <c r="LUW102" s="53"/>
      <c r="LUX102" s="53"/>
      <c r="LUY102" s="53"/>
      <c r="LUZ102" s="53"/>
      <c r="LVA102" s="53"/>
      <c r="LVB102" s="53"/>
      <c r="LVC102" s="53"/>
      <c r="LVD102" s="53"/>
      <c r="LVE102" s="53"/>
      <c r="LVF102" s="53"/>
      <c r="LVG102" s="53"/>
      <c r="LVH102" s="53"/>
      <c r="LVI102" s="53"/>
      <c r="LVJ102" s="53"/>
      <c r="LVK102" s="53"/>
      <c r="LVL102" s="53"/>
      <c r="LVM102" s="53"/>
      <c r="LVN102" s="53"/>
      <c r="LVO102" s="53"/>
      <c r="LVP102" s="53"/>
      <c r="LVQ102" s="53"/>
      <c r="LVR102" s="53"/>
      <c r="LVS102" s="53"/>
      <c r="LVT102" s="53"/>
      <c r="LVU102" s="53"/>
      <c r="LVV102" s="53"/>
      <c r="LVW102" s="53"/>
      <c r="LVX102" s="53"/>
      <c r="LVY102" s="53"/>
      <c r="LVZ102" s="53"/>
      <c r="LWA102" s="53"/>
      <c r="LWB102" s="53"/>
      <c r="LWC102" s="53"/>
      <c r="LWD102" s="53"/>
      <c r="LWE102" s="53"/>
      <c r="LWF102" s="53"/>
      <c r="LWG102" s="53"/>
      <c r="LWH102" s="53"/>
      <c r="LWI102" s="53"/>
      <c r="LWJ102" s="53"/>
      <c r="LWK102" s="53"/>
      <c r="LWL102" s="53"/>
      <c r="LWM102" s="53"/>
      <c r="LWN102" s="53"/>
      <c r="LWO102" s="53"/>
      <c r="LWP102" s="53"/>
      <c r="LWQ102" s="53"/>
      <c r="LWR102" s="53"/>
      <c r="LWS102" s="53"/>
      <c r="LWT102" s="53"/>
      <c r="LWU102" s="53"/>
      <c r="LWV102" s="53"/>
      <c r="LWW102" s="53"/>
      <c r="LWX102" s="53"/>
      <c r="LWY102" s="53"/>
      <c r="LWZ102" s="53"/>
      <c r="LXA102" s="53"/>
      <c r="LXB102" s="53"/>
      <c r="LXC102" s="53"/>
      <c r="LXD102" s="53"/>
      <c r="LXE102" s="53"/>
      <c r="LXF102" s="53"/>
      <c r="LXG102" s="53"/>
      <c r="LXH102" s="53"/>
      <c r="LXI102" s="53"/>
      <c r="LXJ102" s="53"/>
      <c r="LXK102" s="53"/>
      <c r="LXL102" s="53"/>
      <c r="LXM102" s="53"/>
      <c r="LXN102" s="53"/>
      <c r="LXO102" s="53"/>
      <c r="LXP102" s="53"/>
      <c r="LXQ102" s="53"/>
      <c r="LXR102" s="53"/>
      <c r="LXS102" s="53"/>
      <c r="LXT102" s="53"/>
      <c r="LXU102" s="53"/>
      <c r="LXV102" s="53"/>
      <c r="LXW102" s="53"/>
      <c r="LXX102" s="53"/>
      <c r="LXY102" s="53"/>
      <c r="LXZ102" s="53"/>
      <c r="LYA102" s="53"/>
      <c r="LYB102" s="53"/>
      <c r="LYC102" s="53"/>
      <c r="LYD102" s="53"/>
      <c r="LYE102" s="53"/>
      <c r="LYF102" s="53"/>
      <c r="LYG102" s="53"/>
      <c r="LYH102" s="53"/>
      <c r="LYI102" s="53"/>
      <c r="LYJ102" s="53"/>
      <c r="LYK102" s="53"/>
      <c r="LYL102" s="53"/>
      <c r="LYM102" s="53"/>
      <c r="LYN102" s="53"/>
      <c r="LYO102" s="53"/>
      <c r="LYP102" s="53"/>
      <c r="LYQ102" s="53"/>
      <c r="LYR102" s="53"/>
      <c r="LYS102" s="53"/>
      <c r="LYT102" s="53"/>
      <c r="LYU102" s="53"/>
      <c r="LYV102" s="53"/>
      <c r="LYW102" s="53"/>
      <c r="LYX102" s="53"/>
      <c r="LYY102" s="53"/>
      <c r="LYZ102" s="53"/>
      <c r="LZA102" s="53"/>
      <c r="LZB102" s="53"/>
      <c r="LZC102" s="53"/>
      <c r="LZD102" s="53"/>
      <c r="LZE102" s="53"/>
      <c r="LZF102" s="53"/>
      <c r="LZG102" s="53"/>
      <c r="LZH102" s="53"/>
      <c r="LZI102" s="53"/>
      <c r="LZJ102" s="53"/>
      <c r="LZK102" s="53"/>
      <c r="LZL102" s="53"/>
      <c r="LZM102" s="53"/>
      <c r="LZN102" s="53"/>
      <c r="LZO102" s="53"/>
      <c r="LZP102" s="53"/>
      <c r="LZQ102" s="53"/>
      <c r="LZR102" s="53"/>
      <c r="LZS102" s="53"/>
      <c r="LZT102" s="53"/>
      <c r="LZU102" s="53"/>
      <c r="LZV102" s="53"/>
      <c r="LZW102" s="53"/>
      <c r="LZX102" s="53"/>
      <c r="LZY102" s="53"/>
      <c r="LZZ102" s="53"/>
      <c r="MAA102" s="53"/>
      <c r="MAB102" s="53"/>
      <c r="MAC102" s="53"/>
      <c r="MAD102" s="53"/>
      <c r="MAE102" s="53"/>
      <c r="MAF102" s="53"/>
      <c r="MAG102" s="53"/>
      <c r="MAH102" s="53"/>
      <c r="MAI102" s="53"/>
      <c r="MAJ102" s="53"/>
      <c r="MAK102" s="53"/>
      <c r="MAL102" s="53"/>
      <c r="MAM102" s="53"/>
      <c r="MAN102" s="53"/>
      <c r="MAO102" s="53"/>
      <c r="MAP102" s="53"/>
      <c r="MAQ102" s="53"/>
      <c r="MAR102" s="53"/>
      <c r="MAS102" s="53"/>
      <c r="MAT102" s="53"/>
      <c r="MAU102" s="53"/>
      <c r="MAV102" s="53"/>
      <c r="MAW102" s="53"/>
      <c r="MAX102" s="53"/>
      <c r="MAY102" s="53"/>
      <c r="MAZ102" s="53"/>
      <c r="MBA102" s="53"/>
      <c r="MBB102" s="53"/>
      <c r="MBC102" s="53"/>
      <c r="MBD102" s="53"/>
      <c r="MBE102" s="53"/>
      <c r="MBF102" s="53"/>
      <c r="MBG102" s="53"/>
      <c r="MBH102" s="53"/>
      <c r="MBI102" s="53"/>
      <c r="MBJ102" s="53"/>
      <c r="MBK102" s="53"/>
      <c r="MBL102" s="53"/>
      <c r="MBM102" s="53"/>
      <c r="MBN102" s="53"/>
      <c r="MBO102" s="53"/>
      <c r="MBP102" s="53"/>
      <c r="MBQ102" s="53"/>
      <c r="MBR102" s="53"/>
      <c r="MBS102" s="53"/>
      <c r="MBT102" s="53"/>
      <c r="MBU102" s="53"/>
      <c r="MBV102" s="53"/>
      <c r="MBW102" s="53"/>
      <c r="MBX102" s="53"/>
      <c r="MBY102" s="53"/>
      <c r="MBZ102" s="53"/>
      <c r="MCA102" s="53"/>
      <c r="MCB102" s="53"/>
      <c r="MCC102" s="53"/>
      <c r="MCD102" s="53"/>
      <c r="MCE102" s="53"/>
      <c r="MCF102" s="53"/>
      <c r="MCG102" s="53"/>
      <c r="MCH102" s="53"/>
      <c r="MCI102" s="53"/>
      <c r="MCJ102" s="53"/>
      <c r="MCK102" s="53"/>
      <c r="MCL102" s="53"/>
      <c r="MCM102" s="53"/>
      <c r="MCN102" s="53"/>
      <c r="MCO102" s="53"/>
      <c r="MCP102" s="53"/>
      <c r="MCQ102" s="53"/>
      <c r="MCR102" s="53"/>
      <c r="MCS102" s="53"/>
      <c r="MCT102" s="53"/>
      <c r="MCU102" s="53"/>
      <c r="MCV102" s="53"/>
      <c r="MCW102" s="53"/>
      <c r="MCX102" s="53"/>
      <c r="MCY102" s="53"/>
      <c r="MCZ102" s="53"/>
      <c r="MDA102" s="53"/>
      <c r="MDB102" s="53"/>
      <c r="MDC102" s="53"/>
      <c r="MDD102" s="53"/>
      <c r="MDE102" s="53"/>
      <c r="MDF102" s="53"/>
      <c r="MDG102" s="53"/>
      <c r="MDH102" s="53"/>
      <c r="MDI102" s="53"/>
      <c r="MDJ102" s="53"/>
      <c r="MDK102" s="53"/>
      <c r="MDL102" s="53"/>
      <c r="MDM102" s="53"/>
      <c r="MDN102" s="53"/>
      <c r="MDO102" s="53"/>
      <c r="MDP102" s="53"/>
      <c r="MDQ102" s="53"/>
      <c r="MDR102" s="53"/>
      <c r="MDS102" s="53"/>
      <c r="MDT102" s="53"/>
      <c r="MDU102" s="53"/>
      <c r="MDV102" s="53"/>
      <c r="MDW102" s="53"/>
      <c r="MDX102" s="53"/>
      <c r="MDY102" s="53"/>
      <c r="MDZ102" s="53"/>
      <c r="MEA102" s="53"/>
      <c r="MEB102" s="53"/>
      <c r="MEC102" s="53"/>
      <c r="MED102" s="53"/>
      <c r="MEE102" s="53"/>
      <c r="MEF102" s="53"/>
      <c r="MEG102" s="53"/>
      <c r="MEH102" s="53"/>
      <c r="MEI102" s="53"/>
      <c r="MEJ102" s="53"/>
      <c r="MEK102" s="53"/>
      <c r="MEL102" s="53"/>
      <c r="MEM102" s="53"/>
      <c r="MEN102" s="53"/>
      <c r="MEO102" s="53"/>
      <c r="MEP102" s="53"/>
      <c r="MEQ102" s="53"/>
      <c r="MER102" s="53"/>
      <c r="MES102" s="53"/>
      <c r="MET102" s="53"/>
      <c r="MEU102" s="53"/>
      <c r="MEV102" s="53"/>
      <c r="MEW102" s="53"/>
      <c r="MEX102" s="53"/>
      <c r="MEY102" s="53"/>
      <c r="MEZ102" s="53"/>
      <c r="MFA102" s="53"/>
      <c r="MFB102" s="53"/>
      <c r="MFC102" s="53"/>
      <c r="MFD102" s="53"/>
      <c r="MFE102" s="53"/>
      <c r="MFF102" s="53"/>
      <c r="MFG102" s="53"/>
      <c r="MFH102" s="53"/>
      <c r="MFI102" s="53"/>
      <c r="MFJ102" s="53"/>
      <c r="MFK102" s="53"/>
      <c r="MFL102" s="53"/>
      <c r="MFM102" s="53"/>
      <c r="MFN102" s="53"/>
      <c r="MFO102" s="53"/>
      <c r="MFP102" s="53"/>
      <c r="MFQ102" s="53"/>
      <c r="MFR102" s="53"/>
      <c r="MFS102" s="53"/>
      <c r="MFT102" s="53"/>
      <c r="MFU102" s="53"/>
      <c r="MFV102" s="53"/>
      <c r="MFW102" s="53"/>
      <c r="MFX102" s="53"/>
      <c r="MFY102" s="53"/>
      <c r="MFZ102" s="53"/>
      <c r="MGA102" s="53"/>
      <c r="MGB102" s="53"/>
      <c r="MGC102" s="53"/>
      <c r="MGD102" s="53"/>
      <c r="MGE102" s="53"/>
      <c r="MGF102" s="53"/>
      <c r="MGG102" s="53"/>
      <c r="MGH102" s="53"/>
      <c r="MGI102" s="53"/>
      <c r="MGJ102" s="53"/>
      <c r="MGK102" s="53"/>
      <c r="MGL102" s="53"/>
      <c r="MGM102" s="53"/>
      <c r="MGN102" s="53"/>
      <c r="MGO102" s="53"/>
      <c r="MGP102" s="53"/>
      <c r="MGQ102" s="53"/>
      <c r="MGR102" s="53"/>
      <c r="MGS102" s="53"/>
      <c r="MGT102" s="53"/>
      <c r="MGU102" s="53"/>
      <c r="MGV102" s="53"/>
      <c r="MGW102" s="53"/>
      <c r="MGX102" s="53"/>
      <c r="MGY102" s="53"/>
      <c r="MGZ102" s="53"/>
      <c r="MHA102" s="53"/>
      <c r="MHB102" s="53"/>
      <c r="MHC102" s="53"/>
      <c r="MHD102" s="53"/>
      <c r="MHE102" s="53"/>
      <c r="MHF102" s="53"/>
      <c r="MHG102" s="53"/>
      <c r="MHH102" s="53"/>
      <c r="MHI102" s="53"/>
      <c r="MHJ102" s="53"/>
      <c r="MHK102" s="53"/>
      <c r="MHL102" s="53"/>
      <c r="MHM102" s="53"/>
      <c r="MHN102" s="53"/>
      <c r="MHO102" s="53"/>
      <c r="MHP102" s="53"/>
      <c r="MHQ102" s="53"/>
      <c r="MHR102" s="53"/>
      <c r="MHS102" s="53"/>
      <c r="MHT102" s="53"/>
      <c r="MHU102" s="53"/>
      <c r="MHV102" s="53"/>
      <c r="MHW102" s="53"/>
      <c r="MHX102" s="53"/>
      <c r="MHY102" s="53"/>
      <c r="MHZ102" s="53"/>
      <c r="MIA102" s="53"/>
      <c r="MIB102" s="53"/>
      <c r="MIC102" s="53"/>
      <c r="MID102" s="53"/>
      <c r="MIE102" s="53"/>
      <c r="MIF102" s="53"/>
      <c r="MIG102" s="53"/>
      <c r="MIH102" s="53"/>
      <c r="MII102" s="53"/>
      <c r="MIJ102" s="53"/>
      <c r="MIK102" s="53"/>
      <c r="MIL102" s="53"/>
      <c r="MIM102" s="53"/>
      <c r="MIN102" s="53"/>
      <c r="MIO102" s="53"/>
      <c r="MIP102" s="53"/>
      <c r="MIQ102" s="53"/>
      <c r="MIR102" s="53"/>
      <c r="MIS102" s="53"/>
      <c r="MIT102" s="53"/>
      <c r="MIU102" s="53"/>
      <c r="MIV102" s="53"/>
      <c r="MIW102" s="53"/>
      <c r="MIX102" s="53"/>
      <c r="MIY102" s="53"/>
      <c r="MIZ102" s="53"/>
      <c r="MJA102" s="53"/>
      <c r="MJB102" s="53"/>
      <c r="MJC102" s="53"/>
      <c r="MJD102" s="53"/>
      <c r="MJE102" s="53"/>
      <c r="MJF102" s="53"/>
      <c r="MJG102" s="53"/>
      <c r="MJH102" s="53"/>
      <c r="MJI102" s="53"/>
      <c r="MJJ102" s="53"/>
      <c r="MJK102" s="53"/>
      <c r="MJL102" s="53"/>
      <c r="MJM102" s="53"/>
      <c r="MJN102" s="53"/>
      <c r="MJO102" s="53"/>
      <c r="MJP102" s="53"/>
      <c r="MJQ102" s="53"/>
      <c r="MJR102" s="53"/>
      <c r="MJS102" s="53"/>
      <c r="MJT102" s="53"/>
      <c r="MJU102" s="53"/>
      <c r="MJV102" s="53"/>
      <c r="MJW102" s="53"/>
      <c r="MJX102" s="53"/>
      <c r="MJY102" s="53"/>
      <c r="MJZ102" s="53"/>
      <c r="MKA102" s="53"/>
      <c r="MKB102" s="53"/>
      <c r="MKC102" s="53"/>
      <c r="MKD102" s="53"/>
      <c r="MKE102" s="53"/>
      <c r="MKF102" s="53"/>
      <c r="MKG102" s="53"/>
      <c r="MKH102" s="53"/>
      <c r="MKI102" s="53"/>
      <c r="MKJ102" s="53"/>
      <c r="MKK102" s="53"/>
      <c r="MKL102" s="53"/>
      <c r="MKM102" s="53"/>
      <c r="MKN102" s="53"/>
      <c r="MKO102" s="53"/>
      <c r="MKP102" s="53"/>
      <c r="MKQ102" s="53"/>
      <c r="MKR102" s="53"/>
      <c r="MKS102" s="53"/>
      <c r="MKT102" s="53"/>
      <c r="MKU102" s="53"/>
      <c r="MKV102" s="53"/>
      <c r="MKW102" s="53"/>
      <c r="MKX102" s="53"/>
      <c r="MKY102" s="53"/>
      <c r="MKZ102" s="53"/>
      <c r="MLA102" s="53"/>
      <c r="MLB102" s="53"/>
      <c r="MLC102" s="53"/>
      <c r="MLD102" s="53"/>
      <c r="MLE102" s="53"/>
      <c r="MLF102" s="53"/>
      <c r="MLG102" s="53"/>
      <c r="MLH102" s="53"/>
      <c r="MLI102" s="53"/>
      <c r="MLJ102" s="53"/>
      <c r="MLK102" s="53"/>
      <c r="MLL102" s="53"/>
      <c r="MLM102" s="53"/>
      <c r="MLN102" s="53"/>
      <c r="MLO102" s="53"/>
      <c r="MLP102" s="53"/>
      <c r="MLQ102" s="53"/>
      <c r="MLR102" s="53"/>
      <c r="MLS102" s="53"/>
      <c r="MLT102" s="53"/>
      <c r="MLU102" s="53"/>
      <c r="MLV102" s="53"/>
      <c r="MLW102" s="53"/>
      <c r="MLX102" s="53"/>
      <c r="MLY102" s="53"/>
      <c r="MLZ102" s="53"/>
      <c r="MMA102" s="53"/>
      <c r="MMB102" s="53"/>
      <c r="MMC102" s="53"/>
      <c r="MMD102" s="53"/>
      <c r="MME102" s="53"/>
      <c r="MMF102" s="53"/>
      <c r="MMG102" s="53"/>
      <c r="MMH102" s="53"/>
      <c r="MMI102" s="53"/>
      <c r="MMJ102" s="53"/>
      <c r="MMK102" s="53"/>
      <c r="MML102" s="53"/>
      <c r="MMM102" s="53"/>
      <c r="MMN102" s="53"/>
      <c r="MMO102" s="53"/>
      <c r="MMP102" s="53"/>
      <c r="MMQ102" s="53"/>
      <c r="MMR102" s="53"/>
      <c r="MMS102" s="53"/>
      <c r="MMT102" s="53"/>
      <c r="MMU102" s="53"/>
      <c r="MMV102" s="53"/>
      <c r="MMW102" s="53"/>
      <c r="MMX102" s="53"/>
      <c r="MMY102" s="53"/>
      <c r="MMZ102" s="53"/>
      <c r="MNA102" s="53"/>
      <c r="MNB102" s="53"/>
      <c r="MNC102" s="53"/>
      <c r="MND102" s="53"/>
      <c r="MNE102" s="53"/>
      <c r="MNF102" s="53"/>
      <c r="MNG102" s="53"/>
      <c r="MNH102" s="53"/>
      <c r="MNI102" s="53"/>
      <c r="MNJ102" s="53"/>
      <c r="MNK102" s="53"/>
      <c r="MNL102" s="53"/>
      <c r="MNM102" s="53"/>
      <c r="MNN102" s="53"/>
      <c r="MNO102" s="53"/>
      <c r="MNP102" s="53"/>
      <c r="MNQ102" s="53"/>
      <c r="MNR102" s="53"/>
      <c r="MNS102" s="53"/>
      <c r="MNT102" s="53"/>
      <c r="MNU102" s="53"/>
      <c r="MNV102" s="53"/>
      <c r="MNW102" s="53"/>
      <c r="MNX102" s="53"/>
      <c r="MNY102" s="53"/>
      <c r="MNZ102" s="53"/>
      <c r="MOA102" s="53"/>
      <c r="MOB102" s="53"/>
      <c r="MOC102" s="53"/>
      <c r="MOD102" s="53"/>
      <c r="MOE102" s="53"/>
      <c r="MOF102" s="53"/>
      <c r="MOG102" s="53"/>
      <c r="MOH102" s="53"/>
      <c r="MOI102" s="53"/>
      <c r="MOJ102" s="53"/>
      <c r="MOK102" s="53"/>
      <c r="MOL102" s="53"/>
      <c r="MOM102" s="53"/>
      <c r="MON102" s="53"/>
      <c r="MOO102" s="53"/>
      <c r="MOP102" s="53"/>
      <c r="MOQ102" s="53"/>
      <c r="MOR102" s="53"/>
      <c r="MOS102" s="53"/>
      <c r="MOT102" s="53"/>
      <c r="MOU102" s="53"/>
      <c r="MOV102" s="53"/>
      <c r="MOW102" s="53"/>
      <c r="MOX102" s="53"/>
      <c r="MOY102" s="53"/>
      <c r="MOZ102" s="53"/>
      <c r="MPA102" s="53"/>
      <c r="MPB102" s="53"/>
      <c r="MPC102" s="53"/>
      <c r="MPD102" s="53"/>
      <c r="MPE102" s="53"/>
      <c r="MPF102" s="53"/>
      <c r="MPG102" s="53"/>
      <c r="MPH102" s="53"/>
      <c r="MPI102" s="53"/>
      <c r="MPJ102" s="53"/>
      <c r="MPK102" s="53"/>
      <c r="MPL102" s="53"/>
      <c r="MPM102" s="53"/>
      <c r="MPN102" s="53"/>
      <c r="MPO102" s="53"/>
      <c r="MPP102" s="53"/>
      <c r="MPQ102" s="53"/>
      <c r="MPR102" s="53"/>
      <c r="MPS102" s="53"/>
      <c r="MPT102" s="53"/>
      <c r="MPU102" s="53"/>
      <c r="MPV102" s="53"/>
      <c r="MPW102" s="53"/>
      <c r="MPX102" s="53"/>
      <c r="MPY102" s="53"/>
      <c r="MPZ102" s="53"/>
      <c r="MQA102" s="53"/>
      <c r="MQB102" s="53"/>
      <c r="MQC102" s="53"/>
      <c r="MQD102" s="53"/>
      <c r="MQE102" s="53"/>
      <c r="MQF102" s="53"/>
      <c r="MQG102" s="53"/>
      <c r="MQH102" s="53"/>
      <c r="MQI102" s="53"/>
      <c r="MQJ102" s="53"/>
      <c r="MQK102" s="53"/>
      <c r="MQL102" s="53"/>
      <c r="MQM102" s="53"/>
      <c r="MQN102" s="53"/>
      <c r="MQO102" s="53"/>
      <c r="MQP102" s="53"/>
      <c r="MQQ102" s="53"/>
      <c r="MQR102" s="53"/>
      <c r="MQS102" s="53"/>
      <c r="MQT102" s="53"/>
      <c r="MQU102" s="53"/>
      <c r="MQV102" s="53"/>
      <c r="MQW102" s="53"/>
      <c r="MQX102" s="53"/>
      <c r="MQY102" s="53"/>
      <c r="MQZ102" s="53"/>
      <c r="MRA102" s="53"/>
      <c r="MRB102" s="53"/>
      <c r="MRC102" s="53"/>
      <c r="MRD102" s="53"/>
      <c r="MRE102" s="53"/>
      <c r="MRF102" s="53"/>
      <c r="MRG102" s="53"/>
      <c r="MRH102" s="53"/>
      <c r="MRI102" s="53"/>
      <c r="MRJ102" s="53"/>
      <c r="MRK102" s="53"/>
      <c r="MRL102" s="53"/>
      <c r="MRM102" s="53"/>
      <c r="MRN102" s="53"/>
      <c r="MRO102" s="53"/>
      <c r="MRP102" s="53"/>
      <c r="MRQ102" s="53"/>
      <c r="MRR102" s="53"/>
      <c r="MRS102" s="53"/>
      <c r="MRT102" s="53"/>
      <c r="MRU102" s="53"/>
      <c r="MRV102" s="53"/>
      <c r="MRW102" s="53"/>
      <c r="MRX102" s="53"/>
      <c r="MRY102" s="53"/>
      <c r="MRZ102" s="53"/>
      <c r="MSA102" s="53"/>
      <c r="MSB102" s="53"/>
      <c r="MSC102" s="53"/>
      <c r="MSD102" s="53"/>
      <c r="MSE102" s="53"/>
      <c r="MSF102" s="53"/>
      <c r="MSG102" s="53"/>
      <c r="MSH102" s="53"/>
      <c r="MSI102" s="53"/>
      <c r="MSJ102" s="53"/>
      <c r="MSK102" s="53"/>
      <c r="MSL102" s="53"/>
      <c r="MSM102" s="53"/>
      <c r="MSN102" s="53"/>
      <c r="MSO102" s="53"/>
      <c r="MSP102" s="53"/>
      <c r="MSQ102" s="53"/>
      <c r="MSR102" s="53"/>
      <c r="MSS102" s="53"/>
      <c r="MST102" s="53"/>
      <c r="MSU102" s="53"/>
      <c r="MSV102" s="53"/>
      <c r="MSW102" s="53"/>
      <c r="MSX102" s="53"/>
      <c r="MSY102" s="53"/>
      <c r="MSZ102" s="53"/>
      <c r="MTA102" s="53"/>
      <c r="MTB102" s="53"/>
      <c r="MTC102" s="53"/>
      <c r="MTD102" s="53"/>
      <c r="MTE102" s="53"/>
      <c r="MTF102" s="53"/>
      <c r="MTG102" s="53"/>
      <c r="MTH102" s="53"/>
      <c r="MTI102" s="53"/>
      <c r="MTJ102" s="53"/>
      <c r="MTK102" s="53"/>
      <c r="MTL102" s="53"/>
      <c r="MTM102" s="53"/>
      <c r="MTN102" s="53"/>
      <c r="MTO102" s="53"/>
      <c r="MTP102" s="53"/>
      <c r="MTQ102" s="53"/>
      <c r="MTR102" s="53"/>
      <c r="MTS102" s="53"/>
      <c r="MTT102" s="53"/>
      <c r="MTU102" s="53"/>
      <c r="MTV102" s="53"/>
      <c r="MTW102" s="53"/>
      <c r="MTX102" s="53"/>
      <c r="MTY102" s="53"/>
      <c r="MTZ102" s="53"/>
      <c r="MUA102" s="53"/>
      <c r="MUB102" s="53"/>
      <c r="MUC102" s="53"/>
      <c r="MUD102" s="53"/>
      <c r="MUE102" s="53"/>
      <c r="MUF102" s="53"/>
      <c r="MUG102" s="53"/>
      <c r="MUH102" s="53"/>
      <c r="MUI102" s="53"/>
      <c r="MUJ102" s="53"/>
      <c r="MUK102" s="53"/>
      <c r="MUL102" s="53"/>
      <c r="MUM102" s="53"/>
      <c r="MUN102" s="53"/>
      <c r="MUO102" s="53"/>
      <c r="MUP102" s="53"/>
      <c r="MUQ102" s="53"/>
      <c r="MUR102" s="53"/>
      <c r="MUS102" s="53"/>
      <c r="MUT102" s="53"/>
      <c r="MUU102" s="53"/>
      <c r="MUV102" s="53"/>
      <c r="MUW102" s="53"/>
      <c r="MUX102" s="53"/>
      <c r="MUY102" s="53"/>
      <c r="MUZ102" s="53"/>
      <c r="MVA102" s="53"/>
      <c r="MVB102" s="53"/>
      <c r="MVC102" s="53"/>
      <c r="MVD102" s="53"/>
      <c r="MVE102" s="53"/>
      <c r="MVF102" s="53"/>
      <c r="MVG102" s="53"/>
      <c r="MVH102" s="53"/>
      <c r="MVI102" s="53"/>
      <c r="MVJ102" s="53"/>
      <c r="MVK102" s="53"/>
      <c r="MVL102" s="53"/>
      <c r="MVM102" s="53"/>
      <c r="MVN102" s="53"/>
      <c r="MVO102" s="53"/>
      <c r="MVP102" s="53"/>
      <c r="MVQ102" s="53"/>
      <c r="MVR102" s="53"/>
      <c r="MVS102" s="53"/>
      <c r="MVT102" s="53"/>
      <c r="MVU102" s="53"/>
      <c r="MVV102" s="53"/>
      <c r="MVW102" s="53"/>
      <c r="MVX102" s="53"/>
      <c r="MVY102" s="53"/>
      <c r="MVZ102" s="53"/>
      <c r="MWA102" s="53"/>
      <c r="MWB102" s="53"/>
      <c r="MWC102" s="53"/>
      <c r="MWD102" s="53"/>
      <c r="MWE102" s="53"/>
      <c r="MWF102" s="53"/>
      <c r="MWG102" s="53"/>
      <c r="MWH102" s="53"/>
      <c r="MWI102" s="53"/>
      <c r="MWJ102" s="53"/>
      <c r="MWK102" s="53"/>
      <c r="MWL102" s="53"/>
      <c r="MWM102" s="53"/>
      <c r="MWN102" s="53"/>
      <c r="MWO102" s="53"/>
      <c r="MWP102" s="53"/>
      <c r="MWQ102" s="53"/>
      <c r="MWR102" s="53"/>
      <c r="MWS102" s="53"/>
      <c r="MWT102" s="53"/>
      <c r="MWU102" s="53"/>
      <c r="MWV102" s="53"/>
      <c r="MWW102" s="53"/>
      <c r="MWX102" s="53"/>
      <c r="MWY102" s="53"/>
      <c r="MWZ102" s="53"/>
      <c r="MXA102" s="53"/>
      <c r="MXB102" s="53"/>
      <c r="MXC102" s="53"/>
      <c r="MXD102" s="53"/>
      <c r="MXE102" s="53"/>
      <c r="MXF102" s="53"/>
      <c r="MXG102" s="53"/>
      <c r="MXH102" s="53"/>
      <c r="MXI102" s="53"/>
      <c r="MXJ102" s="53"/>
      <c r="MXK102" s="53"/>
      <c r="MXL102" s="53"/>
      <c r="MXM102" s="53"/>
      <c r="MXN102" s="53"/>
      <c r="MXO102" s="53"/>
      <c r="MXP102" s="53"/>
      <c r="MXQ102" s="53"/>
      <c r="MXR102" s="53"/>
      <c r="MXS102" s="53"/>
      <c r="MXT102" s="53"/>
      <c r="MXU102" s="53"/>
      <c r="MXV102" s="53"/>
      <c r="MXW102" s="53"/>
      <c r="MXX102" s="53"/>
      <c r="MXY102" s="53"/>
      <c r="MXZ102" s="53"/>
      <c r="MYA102" s="53"/>
      <c r="MYB102" s="53"/>
      <c r="MYC102" s="53"/>
      <c r="MYD102" s="53"/>
      <c r="MYE102" s="53"/>
      <c r="MYF102" s="53"/>
      <c r="MYG102" s="53"/>
      <c r="MYH102" s="53"/>
      <c r="MYI102" s="53"/>
      <c r="MYJ102" s="53"/>
      <c r="MYK102" s="53"/>
      <c r="MYL102" s="53"/>
      <c r="MYM102" s="53"/>
      <c r="MYN102" s="53"/>
      <c r="MYO102" s="53"/>
      <c r="MYP102" s="53"/>
      <c r="MYQ102" s="53"/>
      <c r="MYR102" s="53"/>
      <c r="MYS102" s="53"/>
      <c r="MYT102" s="53"/>
      <c r="MYU102" s="53"/>
      <c r="MYV102" s="53"/>
      <c r="MYW102" s="53"/>
      <c r="MYX102" s="53"/>
      <c r="MYY102" s="53"/>
      <c r="MYZ102" s="53"/>
      <c r="MZA102" s="53"/>
      <c r="MZB102" s="53"/>
      <c r="MZC102" s="53"/>
      <c r="MZD102" s="53"/>
      <c r="MZE102" s="53"/>
      <c r="MZF102" s="53"/>
      <c r="MZG102" s="53"/>
      <c r="MZH102" s="53"/>
      <c r="MZI102" s="53"/>
      <c r="MZJ102" s="53"/>
      <c r="MZK102" s="53"/>
      <c r="MZL102" s="53"/>
      <c r="MZM102" s="53"/>
      <c r="MZN102" s="53"/>
      <c r="MZO102" s="53"/>
      <c r="MZP102" s="53"/>
      <c r="MZQ102" s="53"/>
      <c r="MZR102" s="53"/>
      <c r="MZS102" s="53"/>
      <c r="MZT102" s="53"/>
      <c r="MZU102" s="53"/>
      <c r="MZV102" s="53"/>
      <c r="MZW102" s="53"/>
      <c r="MZX102" s="53"/>
      <c r="MZY102" s="53"/>
      <c r="MZZ102" s="53"/>
      <c r="NAA102" s="53"/>
      <c r="NAB102" s="53"/>
      <c r="NAC102" s="53"/>
      <c r="NAD102" s="53"/>
      <c r="NAE102" s="53"/>
      <c r="NAF102" s="53"/>
      <c r="NAG102" s="53"/>
      <c r="NAH102" s="53"/>
      <c r="NAI102" s="53"/>
      <c r="NAJ102" s="53"/>
      <c r="NAK102" s="53"/>
      <c r="NAL102" s="53"/>
      <c r="NAM102" s="53"/>
      <c r="NAN102" s="53"/>
      <c r="NAO102" s="53"/>
      <c r="NAP102" s="53"/>
      <c r="NAQ102" s="53"/>
      <c r="NAR102" s="53"/>
      <c r="NAS102" s="53"/>
      <c r="NAT102" s="53"/>
      <c r="NAU102" s="53"/>
      <c r="NAV102" s="53"/>
      <c r="NAW102" s="53"/>
      <c r="NAX102" s="53"/>
      <c r="NAY102" s="53"/>
      <c r="NAZ102" s="53"/>
      <c r="NBA102" s="53"/>
      <c r="NBB102" s="53"/>
      <c r="NBC102" s="53"/>
      <c r="NBD102" s="53"/>
      <c r="NBE102" s="53"/>
      <c r="NBF102" s="53"/>
      <c r="NBG102" s="53"/>
      <c r="NBH102" s="53"/>
      <c r="NBI102" s="53"/>
      <c r="NBJ102" s="53"/>
      <c r="NBK102" s="53"/>
      <c r="NBL102" s="53"/>
      <c r="NBM102" s="53"/>
      <c r="NBN102" s="53"/>
      <c r="NBO102" s="53"/>
      <c r="NBP102" s="53"/>
      <c r="NBQ102" s="53"/>
      <c r="NBR102" s="53"/>
      <c r="NBS102" s="53"/>
      <c r="NBT102" s="53"/>
      <c r="NBU102" s="53"/>
      <c r="NBV102" s="53"/>
      <c r="NBW102" s="53"/>
      <c r="NBX102" s="53"/>
      <c r="NBY102" s="53"/>
      <c r="NBZ102" s="53"/>
      <c r="NCA102" s="53"/>
      <c r="NCB102" s="53"/>
      <c r="NCC102" s="53"/>
      <c r="NCD102" s="53"/>
      <c r="NCE102" s="53"/>
      <c r="NCF102" s="53"/>
      <c r="NCG102" s="53"/>
      <c r="NCH102" s="53"/>
      <c r="NCI102" s="53"/>
      <c r="NCJ102" s="53"/>
      <c r="NCK102" s="53"/>
      <c r="NCL102" s="53"/>
      <c r="NCM102" s="53"/>
      <c r="NCN102" s="53"/>
      <c r="NCO102" s="53"/>
      <c r="NCP102" s="53"/>
      <c r="NCQ102" s="53"/>
      <c r="NCR102" s="53"/>
      <c r="NCS102" s="53"/>
      <c r="NCT102" s="53"/>
      <c r="NCU102" s="53"/>
      <c r="NCV102" s="53"/>
      <c r="NCW102" s="53"/>
      <c r="NCX102" s="53"/>
      <c r="NCY102" s="53"/>
      <c r="NCZ102" s="53"/>
      <c r="NDA102" s="53"/>
      <c r="NDB102" s="53"/>
      <c r="NDC102" s="53"/>
      <c r="NDD102" s="53"/>
      <c r="NDE102" s="53"/>
      <c r="NDF102" s="53"/>
      <c r="NDG102" s="53"/>
      <c r="NDH102" s="53"/>
      <c r="NDI102" s="53"/>
      <c r="NDJ102" s="53"/>
      <c r="NDK102" s="53"/>
      <c r="NDL102" s="53"/>
      <c r="NDM102" s="53"/>
      <c r="NDN102" s="53"/>
      <c r="NDO102" s="53"/>
      <c r="NDP102" s="53"/>
      <c r="NDQ102" s="53"/>
      <c r="NDR102" s="53"/>
      <c r="NDS102" s="53"/>
      <c r="NDT102" s="53"/>
      <c r="NDU102" s="53"/>
      <c r="NDV102" s="53"/>
      <c r="NDW102" s="53"/>
      <c r="NDX102" s="53"/>
      <c r="NDY102" s="53"/>
      <c r="NDZ102" s="53"/>
      <c r="NEA102" s="53"/>
      <c r="NEB102" s="53"/>
      <c r="NEC102" s="53"/>
      <c r="NED102" s="53"/>
      <c r="NEE102" s="53"/>
      <c r="NEF102" s="53"/>
      <c r="NEG102" s="53"/>
      <c r="NEH102" s="53"/>
      <c r="NEI102" s="53"/>
      <c r="NEJ102" s="53"/>
      <c r="NEK102" s="53"/>
      <c r="NEL102" s="53"/>
      <c r="NEM102" s="53"/>
      <c r="NEN102" s="53"/>
      <c r="NEO102" s="53"/>
      <c r="NEP102" s="53"/>
      <c r="NEQ102" s="53"/>
      <c r="NER102" s="53"/>
      <c r="NES102" s="53"/>
      <c r="NET102" s="53"/>
      <c r="NEU102" s="53"/>
      <c r="NEV102" s="53"/>
      <c r="NEW102" s="53"/>
      <c r="NEX102" s="53"/>
      <c r="NEY102" s="53"/>
      <c r="NEZ102" s="53"/>
      <c r="NFA102" s="53"/>
      <c r="NFB102" s="53"/>
      <c r="NFC102" s="53"/>
      <c r="NFD102" s="53"/>
      <c r="NFE102" s="53"/>
      <c r="NFF102" s="53"/>
      <c r="NFG102" s="53"/>
      <c r="NFH102" s="53"/>
      <c r="NFI102" s="53"/>
      <c r="NFJ102" s="53"/>
      <c r="NFK102" s="53"/>
      <c r="NFL102" s="53"/>
      <c r="NFM102" s="53"/>
      <c r="NFN102" s="53"/>
      <c r="NFO102" s="53"/>
      <c r="NFP102" s="53"/>
      <c r="NFQ102" s="53"/>
      <c r="NFR102" s="53"/>
      <c r="NFS102" s="53"/>
      <c r="NFT102" s="53"/>
      <c r="NFU102" s="53"/>
      <c r="NFV102" s="53"/>
      <c r="NFW102" s="53"/>
      <c r="NFX102" s="53"/>
      <c r="NFY102" s="53"/>
      <c r="NFZ102" s="53"/>
      <c r="NGA102" s="53"/>
      <c r="NGB102" s="53"/>
      <c r="NGC102" s="53"/>
      <c r="NGD102" s="53"/>
      <c r="NGE102" s="53"/>
      <c r="NGF102" s="53"/>
      <c r="NGG102" s="53"/>
      <c r="NGH102" s="53"/>
      <c r="NGI102" s="53"/>
      <c r="NGJ102" s="53"/>
      <c r="NGK102" s="53"/>
      <c r="NGL102" s="53"/>
      <c r="NGM102" s="53"/>
      <c r="NGN102" s="53"/>
      <c r="NGO102" s="53"/>
      <c r="NGP102" s="53"/>
      <c r="NGQ102" s="53"/>
      <c r="NGR102" s="53"/>
      <c r="NGS102" s="53"/>
      <c r="NGT102" s="53"/>
      <c r="NGU102" s="53"/>
      <c r="NGV102" s="53"/>
      <c r="NGW102" s="53"/>
      <c r="NGX102" s="53"/>
      <c r="NGY102" s="53"/>
      <c r="NGZ102" s="53"/>
      <c r="NHA102" s="53"/>
      <c r="NHB102" s="53"/>
      <c r="NHC102" s="53"/>
      <c r="NHD102" s="53"/>
      <c r="NHE102" s="53"/>
      <c r="NHF102" s="53"/>
      <c r="NHG102" s="53"/>
      <c r="NHH102" s="53"/>
      <c r="NHI102" s="53"/>
      <c r="NHJ102" s="53"/>
      <c r="NHK102" s="53"/>
      <c r="NHL102" s="53"/>
      <c r="NHM102" s="53"/>
      <c r="NHN102" s="53"/>
      <c r="NHO102" s="53"/>
      <c r="NHP102" s="53"/>
      <c r="NHQ102" s="53"/>
      <c r="NHR102" s="53"/>
      <c r="NHS102" s="53"/>
      <c r="NHT102" s="53"/>
      <c r="NHU102" s="53"/>
      <c r="NHV102" s="53"/>
      <c r="NHW102" s="53"/>
      <c r="NHX102" s="53"/>
      <c r="NHY102" s="53"/>
      <c r="NHZ102" s="53"/>
      <c r="NIA102" s="53"/>
      <c r="NIB102" s="53"/>
      <c r="NIC102" s="53"/>
      <c r="NID102" s="53"/>
      <c r="NIE102" s="53"/>
      <c r="NIF102" s="53"/>
      <c r="NIG102" s="53"/>
      <c r="NIH102" s="53"/>
      <c r="NII102" s="53"/>
      <c r="NIJ102" s="53"/>
      <c r="NIK102" s="53"/>
      <c r="NIL102" s="53"/>
      <c r="NIM102" s="53"/>
      <c r="NIN102" s="53"/>
      <c r="NIO102" s="53"/>
      <c r="NIP102" s="53"/>
      <c r="NIQ102" s="53"/>
      <c r="NIR102" s="53"/>
      <c r="NIS102" s="53"/>
      <c r="NIT102" s="53"/>
      <c r="NIU102" s="53"/>
      <c r="NIV102" s="53"/>
      <c r="NIW102" s="53"/>
      <c r="NIX102" s="53"/>
      <c r="NIY102" s="53"/>
      <c r="NIZ102" s="53"/>
      <c r="NJA102" s="53"/>
      <c r="NJB102" s="53"/>
      <c r="NJC102" s="53"/>
      <c r="NJD102" s="53"/>
      <c r="NJE102" s="53"/>
      <c r="NJF102" s="53"/>
      <c r="NJG102" s="53"/>
      <c r="NJH102" s="53"/>
      <c r="NJI102" s="53"/>
      <c r="NJJ102" s="53"/>
      <c r="NJK102" s="53"/>
      <c r="NJL102" s="53"/>
      <c r="NJM102" s="53"/>
      <c r="NJN102" s="53"/>
      <c r="NJO102" s="53"/>
      <c r="NJP102" s="53"/>
      <c r="NJQ102" s="53"/>
      <c r="NJR102" s="53"/>
      <c r="NJS102" s="53"/>
      <c r="NJT102" s="53"/>
      <c r="NJU102" s="53"/>
      <c r="NJV102" s="53"/>
      <c r="NJW102" s="53"/>
      <c r="NJX102" s="53"/>
      <c r="NJY102" s="53"/>
      <c r="NJZ102" s="53"/>
      <c r="NKA102" s="53"/>
      <c r="NKB102" s="53"/>
      <c r="NKC102" s="53"/>
      <c r="NKD102" s="53"/>
      <c r="NKE102" s="53"/>
      <c r="NKF102" s="53"/>
      <c r="NKG102" s="53"/>
      <c r="NKH102" s="53"/>
      <c r="NKI102" s="53"/>
      <c r="NKJ102" s="53"/>
      <c r="NKK102" s="53"/>
      <c r="NKL102" s="53"/>
      <c r="NKM102" s="53"/>
      <c r="NKN102" s="53"/>
      <c r="NKO102" s="53"/>
      <c r="NKP102" s="53"/>
      <c r="NKQ102" s="53"/>
      <c r="NKR102" s="53"/>
      <c r="NKS102" s="53"/>
      <c r="NKT102" s="53"/>
      <c r="NKU102" s="53"/>
      <c r="NKV102" s="53"/>
      <c r="NKW102" s="53"/>
      <c r="NKX102" s="53"/>
      <c r="NKY102" s="53"/>
      <c r="NKZ102" s="53"/>
      <c r="NLA102" s="53"/>
      <c r="NLB102" s="53"/>
      <c r="NLC102" s="53"/>
      <c r="NLD102" s="53"/>
      <c r="NLE102" s="53"/>
      <c r="NLF102" s="53"/>
      <c r="NLG102" s="53"/>
      <c r="NLH102" s="53"/>
      <c r="NLI102" s="53"/>
      <c r="NLJ102" s="53"/>
      <c r="NLK102" s="53"/>
      <c r="NLL102" s="53"/>
      <c r="NLM102" s="53"/>
      <c r="NLN102" s="53"/>
      <c r="NLO102" s="53"/>
      <c r="NLP102" s="53"/>
      <c r="NLQ102" s="53"/>
      <c r="NLR102" s="53"/>
      <c r="NLS102" s="53"/>
      <c r="NLT102" s="53"/>
      <c r="NLU102" s="53"/>
      <c r="NLV102" s="53"/>
      <c r="NLW102" s="53"/>
      <c r="NLX102" s="53"/>
      <c r="NLY102" s="53"/>
      <c r="NLZ102" s="53"/>
      <c r="NMA102" s="53"/>
      <c r="NMB102" s="53"/>
      <c r="NMC102" s="53"/>
      <c r="NMD102" s="53"/>
      <c r="NME102" s="53"/>
      <c r="NMF102" s="53"/>
      <c r="NMG102" s="53"/>
      <c r="NMH102" s="53"/>
      <c r="NMI102" s="53"/>
      <c r="NMJ102" s="53"/>
      <c r="NMK102" s="53"/>
      <c r="NML102" s="53"/>
      <c r="NMM102" s="53"/>
      <c r="NMN102" s="53"/>
      <c r="NMO102" s="53"/>
      <c r="NMP102" s="53"/>
      <c r="NMQ102" s="53"/>
      <c r="NMR102" s="53"/>
      <c r="NMS102" s="53"/>
      <c r="NMT102" s="53"/>
      <c r="NMU102" s="53"/>
      <c r="NMV102" s="53"/>
      <c r="NMW102" s="53"/>
      <c r="NMX102" s="53"/>
      <c r="NMY102" s="53"/>
      <c r="NMZ102" s="53"/>
      <c r="NNA102" s="53"/>
      <c r="NNB102" s="53"/>
      <c r="NNC102" s="53"/>
      <c r="NND102" s="53"/>
      <c r="NNE102" s="53"/>
      <c r="NNF102" s="53"/>
      <c r="NNG102" s="53"/>
      <c r="NNH102" s="53"/>
      <c r="NNI102" s="53"/>
      <c r="NNJ102" s="53"/>
      <c r="NNK102" s="53"/>
      <c r="NNL102" s="53"/>
      <c r="NNM102" s="53"/>
      <c r="NNN102" s="53"/>
      <c r="NNO102" s="53"/>
      <c r="NNP102" s="53"/>
      <c r="NNQ102" s="53"/>
      <c r="NNR102" s="53"/>
      <c r="NNS102" s="53"/>
      <c r="NNT102" s="53"/>
      <c r="NNU102" s="53"/>
      <c r="NNV102" s="53"/>
      <c r="NNW102" s="53"/>
      <c r="NNX102" s="53"/>
      <c r="NNY102" s="53"/>
      <c r="NNZ102" s="53"/>
      <c r="NOA102" s="53"/>
      <c r="NOB102" s="53"/>
      <c r="NOC102" s="53"/>
      <c r="NOD102" s="53"/>
      <c r="NOE102" s="53"/>
      <c r="NOF102" s="53"/>
      <c r="NOG102" s="53"/>
      <c r="NOH102" s="53"/>
      <c r="NOI102" s="53"/>
      <c r="NOJ102" s="53"/>
      <c r="NOK102" s="53"/>
      <c r="NOL102" s="53"/>
      <c r="NOM102" s="53"/>
      <c r="NON102" s="53"/>
      <c r="NOO102" s="53"/>
      <c r="NOP102" s="53"/>
      <c r="NOQ102" s="53"/>
      <c r="NOR102" s="53"/>
      <c r="NOS102" s="53"/>
      <c r="NOT102" s="53"/>
      <c r="NOU102" s="53"/>
      <c r="NOV102" s="53"/>
      <c r="NOW102" s="53"/>
      <c r="NOX102" s="53"/>
      <c r="NOY102" s="53"/>
      <c r="NOZ102" s="53"/>
      <c r="NPA102" s="53"/>
      <c r="NPB102" s="53"/>
      <c r="NPC102" s="53"/>
      <c r="NPD102" s="53"/>
      <c r="NPE102" s="53"/>
      <c r="NPF102" s="53"/>
      <c r="NPG102" s="53"/>
      <c r="NPH102" s="53"/>
      <c r="NPI102" s="53"/>
      <c r="NPJ102" s="53"/>
      <c r="NPK102" s="53"/>
      <c r="NPL102" s="53"/>
      <c r="NPM102" s="53"/>
      <c r="NPN102" s="53"/>
      <c r="NPO102" s="53"/>
      <c r="NPP102" s="53"/>
      <c r="NPQ102" s="53"/>
      <c r="NPR102" s="53"/>
      <c r="NPS102" s="53"/>
      <c r="NPT102" s="53"/>
      <c r="NPU102" s="53"/>
      <c r="NPV102" s="53"/>
      <c r="NPW102" s="53"/>
      <c r="NPX102" s="53"/>
      <c r="NPY102" s="53"/>
      <c r="NPZ102" s="53"/>
      <c r="NQA102" s="53"/>
      <c r="NQB102" s="53"/>
      <c r="NQC102" s="53"/>
      <c r="NQD102" s="53"/>
      <c r="NQE102" s="53"/>
      <c r="NQF102" s="53"/>
      <c r="NQG102" s="53"/>
      <c r="NQH102" s="53"/>
      <c r="NQI102" s="53"/>
      <c r="NQJ102" s="53"/>
      <c r="NQK102" s="53"/>
      <c r="NQL102" s="53"/>
      <c r="NQM102" s="53"/>
      <c r="NQN102" s="53"/>
      <c r="NQO102" s="53"/>
      <c r="NQP102" s="53"/>
      <c r="NQQ102" s="53"/>
      <c r="NQR102" s="53"/>
      <c r="NQS102" s="53"/>
      <c r="NQT102" s="53"/>
      <c r="NQU102" s="53"/>
      <c r="NQV102" s="53"/>
      <c r="NQW102" s="53"/>
      <c r="NQX102" s="53"/>
      <c r="NQY102" s="53"/>
      <c r="NQZ102" s="53"/>
      <c r="NRA102" s="53"/>
      <c r="NRB102" s="53"/>
      <c r="NRC102" s="53"/>
      <c r="NRD102" s="53"/>
      <c r="NRE102" s="53"/>
      <c r="NRF102" s="53"/>
      <c r="NRG102" s="53"/>
      <c r="NRH102" s="53"/>
      <c r="NRI102" s="53"/>
      <c r="NRJ102" s="53"/>
      <c r="NRK102" s="53"/>
      <c r="NRL102" s="53"/>
      <c r="NRM102" s="53"/>
      <c r="NRN102" s="53"/>
      <c r="NRO102" s="53"/>
      <c r="NRP102" s="53"/>
      <c r="NRQ102" s="53"/>
      <c r="NRR102" s="53"/>
      <c r="NRS102" s="53"/>
      <c r="NRT102" s="53"/>
      <c r="NRU102" s="53"/>
      <c r="NRV102" s="53"/>
      <c r="NRW102" s="53"/>
      <c r="NRX102" s="53"/>
      <c r="NRY102" s="53"/>
      <c r="NRZ102" s="53"/>
      <c r="NSA102" s="53"/>
      <c r="NSB102" s="53"/>
      <c r="NSC102" s="53"/>
      <c r="NSD102" s="53"/>
      <c r="NSE102" s="53"/>
      <c r="NSF102" s="53"/>
      <c r="NSG102" s="53"/>
      <c r="NSH102" s="53"/>
      <c r="NSI102" s="53"/>
      <c r="NSJ102" s="53"/>
      <c r="NSK102" s="53"/>
      <c r="NSL102" s="53"/>
      <c r="NSM102" s="53"/>
      <c r="NSN102" s="53"/>
      <c r="NSO102" s="53"/>
      <c r="NSP102" s="53"/>
      <c r="NSQ102" s="53"/>
      <c r="NSR102" s="53"/>
      <c r="NSS102" s="53"/>
      <c r="NST102" s="53"/>
      <c r="NSU102" s="53"/>
      <c r="NSV102" s="53"/>
      <c r="NSW102" s="53"/>
      <c r="NSX102" s="53"/>
      <c r="NSY102" s="53"/>
      <c r="NSZ102" s="53"/>
      <c r="NTA102" s="53"/>
      <c r="NTB102" s="53"/>
      <c r="NTC102" s="53"/>
      <c r="NTD102" s="53"/>
      <c r="NTE102" s="53"/>
      <c r="NTF102" s="53"/>
      <c r="NTG102" s="53"/>
      <c r="NTH102" s="53"/>
      <c r="NTI102" s="53"/>
      <c r="NTJ102" s="53"/>
      <c r="NTK102" s="53"/>
      <c r="NTL102" s="53"/>
      <c r="NTM102" s="53"/>
      <c r="NTN102" s="53"/>
      <c r="NTO102" s="53"/>
      <c r="NTP102" s="53"/>
      <c r="NTQ102" s="53"/>
      <c r="NTR102" s="53"/>
      <c r="NTS102" s="53"/>
      <c r="NTT102" s="53"/>
      <c r="NTU102" s="53"/>
      <c r="NTV102" s="53"/>
      <c r="NTW102" s="53"/>
      <c r="NTX102" s="53"/>
      <c r="NTY102" s="53"/>
      <c r="NTZ102" s="53"/>
      <c r="NUA102" s="53"/>
      <c r="NUB102" s="53"/>
      <c r="NUC102" s="53"/>
      <c r="NUD102" s="53"/>
      <c r="NUE102" s="53"/>
      <c r="NUF102" s="53"/>
      <c r="NUG102" s="53"/>
      <c r="NUH102" s="53"/>
      <c r="NUI102" s="53"/>
      <c r="NUJ102" s="53"/>
      <c r="NUK102" s="53"/>
      <c r="NUL102" s="53"/>
      <c r="NUM102" s="53"/>
      <c r="NUN102" s="53"/>
      <c r="NUO102" s="53"/>
      <c r="NUP102" s="53"/>
      <c r="NUQ102" s="53"/>
      <c r="NUR102" s="53"/>
      <c r="NUS102" s="53"/>
      <c r="NUT102" s="53"/>
      <c r="NUU102" s="53"/>
      <c r="NUV102" s="53"/>
      <c r="NUW102" s="53"/>
      <c r="NUX102" s="53"/>
      <c r="NUY102" s="53"/>
      <c r="NUZ102" s="53"/>
      <c r="NVA102" s="53"/>
      <c r="NVB102" s="53"/>
      <c r="NVC102" s="53"/>
      <c r="NVD102" s="53"/>
      <c r="NVE102" s="53"/>
      <c r="NVF102" s="53"/>
      <c r="NVG102" s="53"/>
      <c r="NVH102" s="53"/>
      <c r="NVI102" s="53"/>
      <c r="NVJ102" s="53"/>
      <c r="NVK102" s="53"/>
      <c r="NVL102" s="53"/>
      <c r="NVM102" s="53"/>
      <c r="NVN102" s="53"/>
      <c r="NVO102" s="53"/>
      <c r="NVP102" s="53"/>
      <c r="NVQ102" s="53"/>
      <c r="NVR102" s="53"/>
      <c r="NVS102" s="53"/>
      <c r="NVT102" s="53"/>
      <c r="NVU102" s="53"/>
      <c r="NVV102" s="53"/>
      <c r="NVW102" s="53"/>
      <c r="NVX102" s="53"/>
      <c r="NVY102" s="53"/>
      <c r="NVZ102" s="53"/>
      <c r="NWA102" s="53"/>
      <c r="NWB102" s="53"/>
      <c r="NWC102" s="53"/>
      <c r="NWD102" s="53"/>
      <c r="NWE102" s="53"/>
      <c r="NWF102" s="53"/>
      <c r="NWG102" s="53"/>
      <c r="NWH102" s="53"/>
      <c r="NWI102" s="53"/>
      <c r="NWJ102" s="53"/>
      <c r="NWK102" s="53"/>
      <c r="NWL102" s="53"/>
      <c r="NWM102" s="53"/>
      <c r="NWN102" s="53"/>
      <c r="NWO102" s="53"/>
      <c r="NWP102" s="53"/>
      <c r="NWQ102" s="53"/>
      <c r="NWR102" s="53"/>
      <c r="NWS102" s="53"/>
      <c r="NWT102" s="53"/>
      <c r="NWU102" s="53"/>
      <c r="NWV102" s="53"/>
      <c r="NWW102" s="53"/>
      <c r="NWX102" s="53"/>
      <c r="NWY102" s="53"/>
      <c r="NWZ102" s="53"/>
      <c r="NXA102" s="53"/>
      <c r="NXB102" s="53"/>
      <c r="NXC102" s="53"/>
      <c r="NXD102" s="53"/>
      <c r="NXE102" s="53"/>
      <c r="NXF102" s="53"/>
      <c r="NXG102" s="53"/>
      <c r="NXH102" s="53"/>
      <c r="NXI102" s="53"/>
      <c r="NXJ102" s="53"/>
      <c r="NXK102" s="53"/>
      <c r="NXL102" s="53"/>
      <c r="NXM102" s="53"/>
      <c r="NXN102" s="53"/>
      <c r="NXO102" s="53"/>
      <c r="NXP102" s="53"/>
      <c r="NXQ102" s="53"/>
      <c r="NXR102" s="53"/>
      <c r="NXS102" s="53"/>
      <c r="NXT102" s="53"/>
      <c r="NXU102" s="53"/>
      <c r="NXV102" s="53"/>
      <c r="NXW102" s="53"/>
      <c r="NXX102" s="53"/>
      <c r="NXY102" s="53"/>
      <c r="NXZ102" s="53"/>
      <c r="NYA102" s="53"/>
      <c r="NYB102" s="53"/>
      <c r="NYC102" s="53"/>
      <c r="NYD102" s="53"/>
      <c r="NYE102" s="53"/>
      <c r="NYF102" s="53"/>
      <c r="NYG102" s="53"/>
      <c r="NYH102" s="53"/>
      <c r="NYI102" s="53"/>
      <c r="NYJ102" s="53"/>
      <c r="NYK102" s="53"/>
      <c r="NYL102" s="53"/>
      <c r="NYM102" s="53"/>
      <c r="NYN102" s="53"/>
      <c r="NYO102" s="53"/>
      <c r="NYP102" s="53"/>
      <c r="NYQ102" s="53"/>
      <c r="NYR102" s="53"/>
      <c r="NYS102" s="53"/>
      <c r="NYT102" s="53"/>
      <c r="NYU102" s="53"/>
      <c r="NYV102" s="53"/>
      <c r="NYW102" s="53"/>
      <c r="NYX102" s="53"/>
      <c r="NYY102" s="53"/>
      <c r="NYZ102" s="53"/>
      <c r="NZA102" s="53"/>
      <c r="NZB102" s="53"/>
      <c r="NZC102" s="53"/>
      <c r="NZD102" s="53"/>
      <c r="NZE102" s="53"/>
      <c r="NZF102" s="53"/>
      <c r="NZG102" s="53"/>
      <c r="NZH102" s="53"/>
      <c r="NZI102" s="53"/>
      <c r="NZJ102" s="53"/>
      <c r="NZK102" s="53"/>
      <c r="NZL102" s="53"/>
      <c r="NZM102" s="53"/>
      <c r="NZN102" s="53"/>
      <c r="NZO102" s="53"/>
      <c r="NZP102" s="53"/>
      <c r="NZQ102" s="53"/>
      <c r="NZR102" s="53"/>
      <c r="NZS102" s="53"/>
      <c r="NZT102" s="53"/>
      <c r="NZU102" s="53"/>
      <c r="NZV102" s="53"/>
      <c r="NZW102" s="53"/>
      <c r="NZX102" s="53"/>
      <c r="NZY102" s="53"/>
      <c r="NZZ102" s="53"/>
      <c r="OAA102" s="53"/>
      <c r="OAB102" s="53"/>
      <c r="OAC102" s="53"/>
      <c r="OAD102" s="53"/>
      <c r="OAE102" s="53"/>
      <c r="OAF102" s="53"/>
      <c r="OAG102" s="53"/>
      <c r="OAH102" s="53"/>
      <c r="OAI102" s="53"/>
      <c r="OAJ102" s="53"/>
      <c r="OAK102" s="53"/>
      <c r="OAL102" s="53"/>
      <c r="OAM102" s="53"/>
      <c r="OAN102" s="53"/>
      <c r="OAO102" s="53"/>
      <c r="OAP102" s="53"/>
      <c r="OAQ102" s="53"/>
      <c r="OAR102" s="53"/>
      <c r="OAS102" s="53"/>
      <c r="OAT102" s="53"/>
      <c r="OAU102" s="53"/>
      <c r="OAV102" s="53"/>
      <c r="OAW102" s="53"/>
      <c r="OAX102" s="53"/>
      <c r="OAY102" s="53"/>
      <c r="OAZ102" s="53"/>
      <c r="OBA102" s="53"/>
      <c r="OBB102" s="53"/>
      <c r="OBC102" s="53"/>
      <c r="OBD102" s="53"/>
      <c r="OBE102" s="53"/>
      <c r="OBF102" s="53"/>
      <c r="OBG102" s="53"/>
      <c r="OBH102" s="53"/>
      <c r="OBI102" s="53"/>
      <c r="OBJ102" s="53"/>
      <c r="OBK102" s="53"/>
      <c r="OBL102" s="53"/>
      <c r="OBM102" s="53"/>
      <c r="OBN102" s="53"/>
      <c r="OBO102" s="53"/>
      <c r="OBP102" s="53"/>
      <c r="OBQ102" s="53"/>
      <c r="OBR102" s="53"/>
      <c r="OBS102" s="53"/>
      <c r="OBT102" s="53"/>
      <c r="OBU102" s="53"/>
      <c r="OBV102" s="53"/>
      <c r="OBW102" s="53"/>
      <c r="OBX102" s="53"/>
      <c r="OBY102" s="53"/>
      <c r="OBZ102" s="53"/>
      <c r="OCA102" s="53"/>
      <c r="OCB102" s="53"/>
      <c r="OCC102" s="53"/>
      <c r="OCD102" s="53"/>
      <c r="OCE102" s="53"/>
      <c r="OCF102" s="53"/>
      <c r="OCG102" s="53"/>
      <c r="OCH102" s="53"/>
      <c r="OCI102" s="53"/>
      <c r="OCJ102" s="53"/>
      <c r="OCK102" s="53"/>
      <c r="OCL102" s="53"/>
      <c r="OCM102" s="53"/>
      <c r="OCN102" s="53"/>
      <c r="OCO102" s="53"/>
      <c r="OCP102" s="53"/>
      <c r="OCQ102" s="53"/>
      <c r="OCR102" s="53"/>
      <c r="OCS102" s="53"/>
      <c r="OCT102" s="53"/>
      <c r="OCU102" s="53"/>
      <c r="OCV102" s="53"/>
      <c r="OCW102" s="53"/>
      <c r="OCX102" s="53"/>
      <c r="OCY102" s="53"/>
      <c r="OCZ102" s="53"/>
      <c r="ODA102" s="53"/>
      <c r="ODB102" s="53"/>
      <c r="ODC102" s="53"/>
      <c r="ODD102" s="53"/>
      <c r="ODE102" s="53"/>
      <c r="ODF102" s="53"/>
      <c r="ODG102" s="53"/>
      <c r="ODH102" s="53"/>
      <c r="ODI102" s="53"/>
      <c r="ODJ102" s="53"/>
      <c r="ODK102" s="53"/>
      <c r="ODL102" s="53"/>
      <c r="ODM102" s="53"/>
      <c r="ODN102" s="53"/>
      <c r="ODO102" s="53"/>
      <c r="ODP102" s="53"/>
      <c r="ODQ102" s="53"/>
      <c r="ODR102" s="53"/>
      <c r="ODS102" s="53"/>
      <c r="ODT102" s="53"/>
      <c r="ODU102" s="53"/>
      <c r="ODV102" s="53"/>
      <c r="ODW102" s="53"/>
      <c r="ODX102" s="53"/>
      <c r="ODY102" s="53"/>
      <c r="ODZ102" s="53"/>
      <c r="OEA102" s="53"/>
      <c r="OEB102" s="53"/>
      <c r="OEC102" s="53"/>
      <c r="OED102" s="53"/>
      <c r="OEE102" s="53"/>
      <c r="OEF102" s="53"/>
      <c r="OEG102" s="53"/>
      <c r="OEH102" s="53"/>
      <c r="OEI102" s="53"/>
      <c r="OEJ102" s="53"/>
      <c r="OEK102" s="53"/>
      <c r="OEL102" s="53"/>
      <c r="OEM102" s="53"/>
      <c r="OEN102" s="53"/>
      <c r="OEO102" s="53"/>
      <c r="OEP102" s="53"/>
      <c r="OEQ102" s="53"/>
      <c r="OER102" s="53"/>
      <c r="OES102" s="53"/>
      <c r="OET102" s="53"/>
      <c r="OEU102" s="53"/>
      <c r="OEV102" s="53"/>
      <c r="OEW102" s="53"/>
      <c r="OEX102" s="53"/>
      <c r="OEY102" s="53"/>
      <c r="OEZ102" s="53"/>
      <c r="OFA102" s="53"/>
      <c r="OFB102" s="53"/>
      <c r="OFC102" s="53"/>
      <c r="OFD102" s="53"/>
      <c r="OFE102" s="53"/>
      <c r="OFF102" s="53"/>
      <c r="OFG102" s="53"/>
      <c r="OFH102" s="53"/>
      <c r="OFI102" s="53"/>
      <c r="OFJ102" s="53"/>
      <c r="OFK102" s="53"/>
      <c r="OFL102" s="53"/>
      <c r="OFM102" s="53"/>
      <c r="OFN102" s="53"/>
      <c r="OFO102" s="53"/>
      <c r="OFP102" s="53"/>
      <c r="OFQ102" s="53"/>
      <c r="OFR102" s="53"/>
      <c r="OFS102" s="53"/>
      <c r="OFT102" s="53"/>
      <c r="OFU102" s="53"/>
      <c r="OFV102" s="53"/>
      <c r="OFW102" s="53"/>
      <c r="OFX102" s="53"/>
      <c r="OFY102" s="53"/>
      <c r="OFZ102" s="53"/>
      <c r="OGA102" s="53"/>
      <c r="OGB102" s="53"/>
      <c r="OGC102" s="53"/>
      <c r="OGD102" s="53"/>
      <c r="OGE102" s="53"/>
      <c r="OGF102" s="53"/>
      <c r="OGG102" s="53"/>
      <c r="OGH102" s="53"/>
      <c r="OGI102" s="53"/>
      <c r="OGJ102" s="53"/>
      <c r="OGK102" s="53"/>
      <c r="OGL102" s="53"/>
      <c r="OGM102" s="53"/>
      <c r="OGN102" s="53"/>
      <c r="OGO102" s="53"/>
      <c r="OGP102" s="53"/>
      <c r="OGQ102" s="53"/>
      <c r="OGR102" s="53"/>
      <c r="OGS102" s="53"/>
      <c r="OGT102" s="53"/>
      <c r="OGU102" s="53"/>
      <c r="OGV102" s="53"/>
      <c r="OGW102" s="53"/>
      <c r="OGX102" s="53"/>
      <c r="OGY102" s="53"/>
      <c r="OGZ102" s="53"/>
      <c r="OHA102" s="53"/>
      <c r="OHB102" s="53"/>
      <c r="OHC102" s="53"/>
      <c r="OHD102" s="53"/>
      <c r="OHE102" s="53"/>
      <c r="OHF102" s="53"/>
      <c r="OHG102" s="53"/>
      <c r="OHH102" s="53"/>
      <c r="OHI102" s="53"/>
      <c r="OHJ102" s="53"/>
      <c r="OHK102" s="53"/>
      <c r="OHL102" s="53"/>
      <c r="OHM102" s="53"/>
      <c r="OHN102" s="53"/>
      <c r="OHO102" s="53"/>
      <c r="OHP102" s="53"/>
      <c r="OHQ102" s="53"/>
      <c r="OHR102" s="53"/>
      <c r="OHS102" s="53"/>
      <c r="OHT102" s="53"/>
      <c r="OHU102" s="53"/>
      <c r="OHV102" s="53"/>
      <c r="OHW102" s="53"/>
      <c r="OHX102" s="53"/>
      <c r="OHY102" s="53"/>
      <c r="OHZ102" s="53"/>
      <c r="OIA102" s="53"/>
      <c r="OIB102" s="53"/>
      <c r="OIC102" s="53"/>
      <c r="OID102" s="53"/>
      <c r="OIE102" s="53"/>
      <c r="OIF102" s="53"/>
      <c r="OIG102" s="53"/>
      <c r="OIH102" s="53"/>
      <c r="OII102" s="53"/>
      <c r="OIJ102" s="53"/>
      <c r="OIK102" s="53"/>
      <c r="OIL102" s="53"/>
      <c r="OIM102" s="53"/>
      <c r="OIN102" s="53"/>
      <c r="OIO102" s="53"/>
      <c r="OIP102" s="53"/>
      <c r="OIQ102" s="53"/>
      <c r="OIR102" s="53"/>
      <c r="OIS102" s="53"/>
      <c r="OIT102" s="53"/>
      <c r="OIU102" s="53"/>
      <c r="OIV102" s="53"/>
      <c r="OIW102" s="53"/>
      <c r="OIX102" s="53"/>
      <c r="OIY102" s="53"/>
      <c r="OIZ102" s="53"/>
      <c r="OJA102" s="53"/>
      <c r="OJB102" s="53"/>
      <c r="OJC102" s="53"/>
      <c r="OJD102" s="53"/>
      <c r="OJE102" s="53"/>
      <c r="OJF102" s="53"/>
      <c r="OJG102" s="53"/>
      <c r="OJH102" s="53"/>
      <c r="OJI102" s="53"/>
      <c r="OJJ102" s="53"/>
      <c r="OJK102" s="53"/>
      <c r="OJL102" s="53"/>
      <c r="OJM102" s="53"/>
      <c r="OJN102" s="53"/>
      <c r="OJO102" s="53"/>
      <c r="OJP102" s="53"/>
      <c r="OJQ102" s="53"/>
      <c r="OJR102" s="53"/>
      <c r="OJS102" s="53"/>
      <c r="OJT102" s="53"/>
      <c r="OJU102" s="53"/>
      <c r="OJV102" s="53"/>
      <c r="OJW102" s="53"/>
      <c r="OJX102" s="53"/>
      <c r="OJY102" s="53"/>
      <c r="OJZ102" s="53"/>
      <c r="OKA102" s="53"/>
      <c r="OKB102" s="53"/>
      <c r="OKC102" s="53"/>
      <c r="OKD102" s="53"/>
      <c r="OKE102" s="53"/>
      <c r="OKF102" s="53"/>
      <c r="OKG102" s="53"/>
      <c r="OKH102" s="53"/>
      <c r="OKI102" s="53"/>
      <c r="OKJ102" s="53"/>
      <c r="OKK102" s="53"/>
      <c r="OKL102" s="53"/>
      <c r="OKM102" s="53"/>
      <c r="OKN102" s="53"/>
      <c r="OKO102" s="53"/>
      <c r="OKP102" s="53"/>
      <c r="OKQ102" s="53"/>
      <c r="OKR102" s="53"/>
      <c r="OKS102" s="53"/>
      <c r="OKT102" s="53"/>
      <c r="OKU102" s="53"/>
      <c r="OKV102" s="53"/>
      <c r="OKW102" s="53"/>
      <c r="OKX102" s="53"/>
      <c r="OKY102" s="53"/>
      <c r="OKZ102" s="53"/>
      <c r="OLA102" s="53"/>
      <c r="OLB102" s="53"/>
      <c r="OLC102" s="53"/>
      <c r="OLD102" s="53"/>
      <c r="OLE102" s="53"/>
      <c r="OLF102" s="53"/>
      <c r="OLG102" s="53"/>
      <c r="OLH102" s="53"/>
      <c r="OLI102" s="53"/>
      <c r="OLJ102" s="53"/>
      <c r="OLK102" s="53"/>
      <c r="OLL102" s="53"/>
      <c r="OLM102" s="53"/>
      <c r="OLN102" s="53"/>
      <c r="OLO102" s="53"/>
      <c r="OLP102" s="53"/>
      <c r="OLQ102" s="53"/>
      <c r="OLR102" s="53"/>
      <c r="OLS102" s="53"/>
      <c r="OLT102" s="53"/>
      <c r="OLU102" s="53"/>
      <c r="OLV102" s="53"/>
      <c r="OLW102" s="53"/>
      <c r="OLX102" s="53"/>
      <c r="OLY102" s="53"/>
      <c r="OLZ102" s="53"/>
      <c r="OMA102" s="53"/>
      <c r="OMB102" s="53"/>
      <c r="OMC102" s="53"/>
      <c r="OMD102" s="53"/>
      <c r="OME102" s="53"/>
      <c r="OMF102" s="53"/>
      <c r="OMG102" s="53"/>
      <c r="OMH102" s="53"/>
      <c r="OMI102" s="53"/>
      <c r="OMJ102" s="53"/>
      <c r="OMK102" s="53"/>
      <c r="OML102" s="53"/>
      <c r="OMM102" s="53"/>
      <c r="OMN102" s="53"/>
      <c r="OMO102" s="53"/>
      <c r="OMP102" s="53"/>
      <c r="OMQ102" s="53"/>
      <c r="OMR102" s="53"/>
      <c r="OMS102" s="53"/>
      <c r="OMT102" s="53"/>
      <c r="OMU102" s="53"/>
      <c r="OMV102" s="53"/>
      <c r="OMW102" s="53"/>
      <c r="OMX102" s="53"/>
      <c r="OMY102" s="53"/>
      <c r="OMZ102" s="53"/>
      <c r="ONA102" s="53"/>
      <c r="ONB102" s="53"/>
      <c r="ONC102" s="53"/>
      <c r="OND102" s="53"/>
      <c r="ONE102" s="53"/>
      <c r="ONF102" s="53"/>
      <c r="ONG102" s="53"/>
      <c r="ONH102" s="53"/>
      <c r="ONI102" s="53"/>
      <c r="ONJ102" s="53"/>
      <c r="ONK102" s="53"/>
      <c r="ONL102" s="53"/>
      <c r="ONM102" s="53"/>
      <c r="ONN102" s="53"/>
      <c r="ONO102" s="53"/>
      <c r="ONP102" s="53"/>
      <c r="ONQ102" s="53"/>
      <c r="ONR102" s="53"/>
      <c r="ONS102" s="53"/>
      <c r="ONT102" s="53"/>
      <c r="ONU102" s="53"/>
      <c r="ONV102" s="53"/>
      <c r="ONW102" s="53"/>
      <c r="ONX102" s="53"/>
      <c r="ONY102" s="53"/>
      <c r="ONZ102" s="53"/>
      <c r="OOA102" s="53"/>
      <c r="OOB102" s="53"/>
      <c r="OOC102" s="53"/>
      <c r="OOD102" s="53"/>
      <c r="OOE102" s="53"/>
      <c r="OOF102" s="53"/>
      <c r="OOG102" s="53"/>
      <c r="OOH102" s="53"/>
      <c r="OOI102" s="53"/>
      <c r="OOJ102" s="53"/>
      <c r="OOK102" s="53"/>
      <c r="OOL102" s="53"/>
      <c r="OOM102" s="53"/>
      <c r="OON102" s="53"/>
      <c r="OOO102" s="53"/>
      <c r="OOP102" s="53"/>
      <c r="OOQ102" s="53"/>
      <c r="OOR102" s="53"/>
      <c r="OOS102" s="53"/>
      <c r="OOT102" s="53"/>
      <c r="OOU102" s="53"/>
      <c r="OOV102" s="53"/>
      <c r="OOW102" s="53"/>
      <c r="OOX102" s="53"/>
      <c r="OOY102" s="53"/>
      <c r="OOZ102" s="53"/>
      <c r="OPA102" s="53"/>
      <c r="OPB102" s="53"/>
      <c r="OPC102" s="53"/>
      <c r="OPD102" s="53"/>
      <c r="OPE102" s="53"/>
      <c r="OPF102" s="53"/>
      <c r="OPG102" s="53"/>
      <c r="OPH102" s="53"/>
      <c r="OPI102" s="53"/>
      <c r="OPJ102" s="53"/>
      <c r="OPK102" s="53"/>
      <c r="OPL102" s="53"/>
      <c r="OPM102" s="53"/>
      <c r="OPN102" s="53"/>
      <c r="OPO102" s="53"/>
      <c r="OPP102" s="53"/>
      <c r="OPQ102" s="53"/>
      <c r="OPR102" s="53"/>
      <c r="OPS102" s="53"/>
      <c r="OPT102" s="53"/>
      <c r="OPU102" s="53"/>
      <c r="OPV102" s="53"/>
      <c r="OPW102" s="53"/>
      <c r="OPX102" s="53"/>
      <c r="OPY102" s="53"/>
      <c r="OPZ102" s="53"/>
      <c r="OQA102" s="53"/>
      <c r="OQB102" s="53"/>
      <c r="OQC102" s="53"/>
      <c r="OQD102" s="53"/>
      <c r="OQE102" s="53"/>
      <c r="OQF102" s="53"/>
      <c r="OQG102" s="53"/>
      <c r="OQH102" s="53"/>
      <c r="OQI102" s="53"/>
      <c r="OQJ102" s="53"/>
      <c r="OQK102" s="53"/>
      <c r="OQL102" s="53"/>
      <c r="OQM102" s="53"/>
      <c r="OQN102" s="53"/>
      <c r="OQO102" s="53"/>
      <c r="OQP102" s="53"/>
      <c r="OQQ102" s="53"/>
      <c r="OQR102" s="53"/>
      <c r="OQS102" s="53"/>
      <c r="OQT102" s="53"/>
      <c r="OQU102" s="53"/>
      <c r="OQV102" s="53"/>
      <c r="OQW102" s="53"/>
      <c r="OQX102" s="53"/>
      <c r="OQY102" s="53"/>
      <c r="OQZ102" s="53"/>
      <c r="ORA102" s="53"/>
      <c r="ORB102" s="53"/>
      <c r="ORC102" s="53"/>
      <c r="ORD102" s="53"/>
      <c r="ORE102" s="53"/>
      <c r="ORF102" s="53"/>
      <c r="ORG102" s="53"/>
      <c r="ORH102" s="53"/>
      <c r="ORI102" s="53"/>
      <c r="ORJ102" s="53"/>
      <c r="ORK102" s="53"/>
      <c r="ORL102" s="53"/>
      <c r="ORM102" s="53"/>
      <c r="ORN102" s="53"/>
      <c r="ORO102" s="53"/>
      <c r="ORP102" s="53"/>
      <c r="ORQ102" s="53"/>
      <c r="ORR102" s="53"/>
      <c r="ORS102" s="53"/>
      <c r="ORT102" s="53"/>
      <c r="ORU102" s="53"/>
      <c r="ORV102" s="53"/>
      <c r="ORW102" s="53"/>
      <c r="ORX102" s="53"/>
      <c r="ORY102" s="53"/>
      <c r="ORZ102" s="53"/>
      <c r="OSA102" s="53"/>
      <c r="OSB102" s="53"/>
      <c r="OSC102" s="53"/>
      <c r="OSD102" s="53"/>
      <c r="OSE102" s="53"/>
      <c r="OSF102" s="53"/>
      <c r="OSG102" s="53"/>
      <c r="OSH102" s="53"/>
      <c r="OSI102" s="53"/>
      <c r="OSJ102" s="53"/>
      <c r="OSK102" s="53"/>
      <c r="OSL102" s="53"/>
      <c r="OSM102" s="53"/>
      <c r="OSN102" s="53"/>
      <c r="OSO102" s="53"/>
      <c r="OSP102" s="53"/>
      <c r="OSQ102" s="53"/>
      <c r="OSR102" s="53"/>
      <c r="OSS102" s="53"/>
      <c r="OST102" s="53"/>
      <c r="OSU102" s="53"/>
      <c r="OSV102" s="53"/>
      <c r="OSW102" s="53"/>
      <c r="OSX102" s="53"/>
      <c r="OSY102" s="53"/>
      <c r="OSZ102" s="53"/>
      <c r="OTA102" s="53"/>
      <c r="OTB102" s="53"/>
      <c r="OTC102" s="53"/>
      <c r="OTD102" s="53"/>
      <c r="OTE102" s="53"/>
      <c r="OTF102" s="53"/>
      <c r="OTG102" s="53"/>
      <c r="OTH102" s="53"/>
      <c r="OTI102" s="53"/>
      <c r="OTJ102" s="53"/>
      <c r="OTK102" s="53"/>
      <c r="OTL102" s="53"/>
      <c r="OTM102" s="53"/>
      <c r="OTN102" s="53"/>
      <c r="OTO102" s="53"/>
      <c r="OTP102" s="53"/>
      <c r="OTQ102" s="53"/>
      <c r="OTR102" s="53"/>
      <c r="OTS102" s="53"/>
      <c r="OTT102" s="53"/>
      <c r="OTU102" s="53"/>
      <c r="OTV102" s="53"/>
      <c r="OTW102" s="53"/>
      <c r="OTX102" s="53"/>
      <c r="OTY102" s="53"/>
      <c r="OTZ102" s="53"/>
      <c r="OUA102" s="53"/>
      <c r="OUB102" s="53"/>
      <c r="OUC102" s="53"/>
      <c r="OUD102" s="53"/>
      <c r="OUE102" s="53"/>
      <c r="OUF102" s="53"/>
      <c r="OUG102" s="53"/>
      <c r="OUH102" s="53"/>
      <c r="OUI102" s="53"/>
      <c r="OUJ102" s="53"/>
      <c r="OUK102" s="53"/>
      <c r="OUL102" s="53"/>
      <c r="OUM102" s="53"/>
      <c r="OUN102" s="53"/>
      <c r="OUO102" s="53"/>
      <c r="OUP102" s="53"/>
      <c r="OUQ102" s="53"/>
      <c r="OUR102" s="53"/>
      <c r="OUS102" s="53"/>
      <c r="OUT102" s="53"/>
      <c r="OUU102" s="53"/>
      <c r="OUV102" s="53"/>
      <c r="OUW102" s="53"/>
      <c r="OUX102" s="53"/>
      <c r="OUY102" s="53"/>
      <c r="OUZ102" s="53"/>
      <c r="OVA102" s="53"/>
      <c r="OVB102" s="53"/>
      <c r="OVC102" s="53"/>
      <c r="OVD102" s="53"/>
      <c r="OVE102" s="53"/>
      <c r="OVF102" s="53"/>
      <c r="OVG102" s="53"/>
      <c r="OVH102" s="53"/>
      <c r="OVI102" s="53"/>
      <c r="OVJ102" s="53"/>
      <c r="OVK102" s="53"/>
      <c r="OVL102" s="53"/>
      <c r="OVM102" s="53"/>
      <c r="OVN102" s="53"/>
      <c r="OVO102" s="53"/>
      <c r="OVP102" s="53"/>
      <c r="OVQ102" s="53"/>
      <c r="OVR102" s="53"/>
      <c r="OVS102" s="53"/>
      <c r="OVT102" s="53"/>
      <c r="OVU102" s="53"/>
      <c r="OVV102" s="53"/>
      <c r="OVW102" s="53"/>
      <c r="OVX102" s="53"/>
      <c r="OVY102" s="53"/>
      <c r="OVZ102" s="53"/>
      <c r="OWA102" s="53"/>
      <c r="OWB102" s="53"/>
      <c r="OWC102" s="53"/>
      <c r="OWD102" s="53"/>
      <c r="OWE102" s="53"/>
      <c r="OWF102" s="53"/>
      <c r="OWG102" s="53"/>
      <c r="OWH102" s="53"/>
      <c r="OWI102" s="53"/>
      <c r="OWJ102" s="53"/>
      <c r="OWK102" s="53"/>
      <c r="OWL102" s="53"/>
      <c r="OWM102" s="53"/>
      <c r="OWN102" s="53"/>
      <c r="OWO102" s="53"/>
      <c r="OWP102" s="53"/>
      <c r="OWQ102" s="53"/>
      <c r="OWR102" s="53"/>
      <c r="OWS102" s="53"/>
      <c r="OWT102" s="53"/>
      <c r="OWU102" s="53"/>
      <c r="OWV102" s="53"/>
      <c r="OWW102" s="53"/>
      <c r="OWX102" s="53"/>
      <c r="OWY102" s="53"/>
      <c r="OWZ102" s="53"/>
      <c r="OXA102" s="53"/>
      <c r="OXB102" s="53"/>
      <c r="OXC102" s="53"/>
      <c r="OXD102" s="53"/>
      <c r="OXE102" s="53"/>
      <c r="OXF102" s="53"/>
      <c r="OXG102" s="53"/>
      <c r="OXH102" s="53"/>
      <c r="OXI102" s="53"/>
      <c r="OXJ102" s="53"/>
      <c r="OXK102" s="53"/>
      <c r="OXL102" s="53"/>
      <c r="OXM102" s="53"/>
      <c r="OXN102" s="53"/>
      <c r="OXO102" s="53"/>
      <c r="OXP102" s="53"/>
      <c r="OXQ102" s="53"/>
      <c r="OXR102" s="53"/>
      <c r="OXS102" s="53"/>
      <c r="OXT102" s="53"/>
      <c r="OXU102" s="53"/>
      <c r="OXV102" s="53"/>
      <c r="OXW102" s="53"/>
      <c r="OXX102" s="53"/>
      <c r="OXY102" s="53"/>
      <c r="OXZ102" s="53"/>
      <c r="OYA102" s="53"/>
      <c r="OYB102" s="53"/>
      <c r="OYC102" s="53"/>
      <c r="OYD102" s="53"/>
      <c r="OYE102" s="53"/>
      <c r="OYF102" s="53"/>
      <c r="OYG102" s="53"/>
      <c r="OYH102" s="53"/>
      <c r="OYI102" s="53"/>
      <c r="OYJ102" s="53"/>
      <c r="OYK102" s="53"/>
      <c r="OYL102" s="53"/>
      <c r="OYM102" s="53"/>
      <c r="OYN102" s="53"/>
      <c r="OYO102" s="53"/>
      <c r="OYP102" s="53"/>
      <c r="OYQ102" s="53"/>
      <c r="OYR102" s="53"/>
      <c r="OYS102" s="53"/>
      <c r="OYT102" s="53"/>
      <c r="OYU102" s="53"/>
      <c r="OYV102" s="53"/>
      <c r="OYW102" s="53"/>
      <c r="OYX102" s="53"/>
      <c r="OYY102" s="53"/>
      <c r="OYZ102" s="53"/>
      <c r="OZA102" s="53"/>
      <c r="OZB102" s="53"/>
      <c r="OZC102" s="53"/>
      <c r="OZD102" s="53"/>
      <c r="OZE102" s="53"/>
      <c r="OZF102" s="53"/>
      <c r="OZG102" s="53"/>
      <c r="OZH102" s="53"/>
      <c r="OZI102" s="53"/>
      <c r="OZJ102" s="53"/>
      <c r="OZK102" s="53"/>
      <c r="OZL102" s="53"/>
      <c r="OZM102" s="53"/>
      <c r="OZN102" s="53"/>
      <c r="OZO102" s="53"/>
      <c r="OZP102" s="53"/>
      <c r="OZQ102" s="53"/>
      <c r="OZR102" s="53"/>
      <c r="OZS102" s="53"/>
      <c r="OZT102" s="53"/>
      <c r="OZU102" s="53"/>
      <c r="OZV102" s="53"/>
      <c r="OZW102" s="53"/>
      <c r="OZX102" s="53"/>
      <c r="OZY102" s="53"/>
      <c r="OZZ102" s="53"/>
      <c r="PAA102" s="53"/>
      <c r="PAB102" s="53"/>
      <c r="PAC102" s="53"/>
      <c r="PAD102" s="53"/>
      <c r="PAE102" s="53"/>
      <c r="PAF102" s="53"/>
      <c r="PAG102" s="53"/>
      <c r="PAH102" s="53"/>
      <c r="PAI102" s="53"/>
      <c r="PAJ102" s="53"/>
      <c r="PAK102" s="53"/>
      <c r="PAL102" s="53"/>
      <c r="PAM102" s="53"/>
      <c r="PAN102" s="53"/>
      <c r="PAO102" s="53"/>
      <c r="PAP102" s="53"/>
      <c r="PAQ102" s="53"/>
      <c r="PAR102" s="53"/>
      <c r="PAS102" s="53"/>
      <c r="PAT102" s="53"/>
      <c r="PAU102" s="53"/>
      <c r="PAV102" s="53"/>
      <c r="PAW102" s="53"/>
      <c r="PAX102" s="53"/>
      <c r="PAY102" s="53"/>
      <c r="PAZ102" s="53"/>
      <c r="PBA102" s="53"/>
      <c r="PBB102" s="53"/>
      <c r="PBC102" s="53"/>
      <c r="PBD102" s="53"/>
      <c r="PBE102" s="53"/>
      <c r="PBF102" s="53"/>
      <c r="PBG102" s="53"/>
      <c r="PBH102" s="53"/>
      <c r="PBI102" s="53"/>
      <c r="PBJ102" s="53"/>
      <c r="PBK102" s="53"/>
      <c r="PBL102" s="53"/>
      <c r="PBM102" s="53"/>
      <c r="PBN102" s="53"/>
      <c r="PBO102" s="53"/>
      <c r="PBP102" s="53"/>
      <c r="PBQ102" s="53"/>
      <c r="PBR102" s="53"/>
      <c r="PBS102" s="53"/>
      <c r="PBT102" s="53"/>
      <c r="PBU102" s="53"/>
      <c r="PBV102" s="53"/>
      <c r="PBW102" s="53"/>
      <c r="PBX102" s="53"/>
      <c r="PBY102" s="53"/>
      <c r="PBZ102" s="53"/>
      <c r="PCA102" s="53"/>
      <c r="PCB102" s="53"/>
      <c r="PCC102" s="53"/>
      <c r="PCD102" s="53"/>
      <c r="PCE102" s="53"/>
      <c r="PCF102" s="53"/>
      <c r="PCG102" s="53"/>
      <c r="PCH102" s="53"/>
      <c r="PCI102" s="53"/>
      <c r="PCJ102" s="53"/>
      <c r="PCK102" s="53"/>
      <c r="PCL102" s="53"/>
      <c r="PCM102" s="53"/>
      <c r="PCN102" s="53"/>
      <c r="PCO102" s="53"/>
      <c r="PCP102" s="53"/>
      <c r="PCQ102" s="53"/>
      <c r="PCR102" s="53"/>
      <c r="PCS102" s="53"/>
      <c r="PCT102" s="53"/>
      <c r="PCU102" s="53"/>
      <c r="PCV102" s="53"/>
      <c r="PCW102" s="53"/>
      <c r="PCX102" s="53"/>
      <c r="PCY102" s="53"/>
      <c r="PCZ102" s="53"/>
      <c r="PDA102" s="53"/>
      <c r="PDB102" s="53"/>
      <c r="PDC102" s="53"/>
      <c r="PDD102" s="53"/>
      <c r="PDE102" s="53"/>
      <c r="PDF102" s="53"/>
      <c r="PDG102" s="53"/>
      <c r="PDH102" s="53"/>
      <c r="PDI102" s="53"/>
      <c r="PDJ102" s="53"/>
      <c r="PDK102" s="53"/>
      <c r="PDL102" s="53"/>
      <c r="PDM102" s="53"/>
      <c r="PDN102" s="53"/>
      <c r="PDO102" s="53"/>
      <c r="PDP102" s="53"/>
      <c r="PDQ102" s="53"/>
      <c r="PDR102" s="53"/>
      <c r="PDS102" s="53"/>
      <c r="PDT102" s="53"/>
      <c r="PDU102" s="53"/>
      <c r="PDV102" s="53"/>
      <c r="PDW102" s="53"/>
      <c r="PDX102" s="53"/>
      <c r="PDY102" s="53"/>
      <c r="PDZ102" s="53"/>
      <c r="PEA102" s="53"/>
      <c r="PEB102" s="53"/>
      <c r="PEC102" s="53"/>
      <c r="PED102" s="53"/>
      <c r="PEE102" s="53"/>
      <c r="PEF102" s="53"/>
      <c r="PEG102" s="53"/>
      <c r="PEH102" s="53"/>
      <c r="PEI102" s="53"/>
      <c r="PEJ102" s="53"/>
      <c r="PEK102" s="53"/>
      <c r="PEL102" s="53"/>
      <c r="PEM102" s="53"/>
      <c r="PEN102" s="53"/>
      <c r="PEO102" s="53"/>
      <c r="PEP102" s="53"/>
      <c r="PEQ102" s="53"/>
      <c r="PER102" s="53"/>
      <c r="PES102" s="53"/>
      <c r="PET102" s="53"/>
      <c r="PEU102" s="53"/>
      <c r="PEV102" s="53"/>
      <c r="PEW102" s="53"/>
      <c r="PEX102" s="53"/>
      <c r="PEY102" s="53"/>
      <c r="PEZ102" s="53"/>
      <c r="PFA102" s="53"/>
      <c r="PFB102" s="53"/>
      <c r="PFC102" s="53"/>
      <c r="PFD102" s="53"/>
      <c r="PFE102" s="53"/>
      <c r="PFF102" s="53"/>
      <c r="PFG102" s="53"/>
      <c r="PFH102" s="53"/>
      <c r="PFI102" s="53"/>
      <c r="PFJ102" s="53"/>
      <c r="PFK102" s="53"/>
      <c r="PFL102" s="53"/>
      <c r="PFM102" s="53"/>
      <c r="PFN102" s="53"/>
      <c r="PFO102" s="53"/>
      <c r="PFP102" s="53"/>
      <c r="PFQ102" s="53"/>
      <c r="PFR102" s="53"/>
      <c r="PFS102" s="53"/>
      <c r="PFT102" s="53"/>
      <c r="PFU102" s="53"/>
      <c r="PFV102" s="53"/>
      <c r="PFW102" s="53"/>
      <c r="PFX102" s="53"/>
      <c r="PFY102" s="53"/>
      <c r="PFZ102" s="53"/>
      <c r="PGA102" s="53"/>
      <c r="PGB102" s="53"/>
      <c r="PGC102" s="53"/>
      <c r="PGD102" s="53"/>
      <c r="PGE102" s="53"/>
      <c r="PGF102" s="53"/>
      <c r="PGG102" s="53"/>
      <c r="PGH102" s="53"/>
      <c r="PGI102" s="53"/>
      <c r="PGJ102" s="53"/>
      <c r="PGK102" s="53"/>
      <c r="PGL102" s="53"/>
      <c r="PGM102" s="53"/>
      <c r="PGN102" s="53"/>
      <c r="PGO102" s="53"/>
      <c r="PGP102" s="53"/>
      <c r="PGQ102" s="53"/>
      <c r="PGR102" s="53"/>
      <c r="PGS102" s="53"/>
      <c r="PGT102" s="53"/>
      <c r="PGU102" s="53"/>
      <c r="PGV102" s="53"/>
      <c r="PGW102" s="53"/>
      <c r="PGX102" s="53"/>
      <c r="PGY102" s="53"/>
      <c r="PGZ102" s="53"/>
      <c r="PHA102" s="53"/>
      <c r="PHB102" s="53"/>
      <c r="PHC102" s="53"/>
      <c r="PHD102" s="53"/>
      <c r="PHE102" s="53"/>
      <c r="PHF102" s="53"/>
      <c r="PHG102" s="53"/>
      <c r="PHH102" s="53"/>
      <c r="PHI102" s="53"/>
      <c r="PHJ102" s="53"/>
      <c r="PHK102" s="53"/>
      <c r="PHL102" s="53"/>
      <c r="PHM102" s="53"/>
      <c r="PHN102" s="53"/>
      <c r="PHO102" s="53"/>
      <c r="PHP102" s="53"/>
      <c r="PHQ102" s="53"/>
      <c r="PHR102" s="53"/>
      <c r="PHS102" s="53"/>
      <c r="PHT102" s="53"/>
      <c r="PHU102" s="53"/>
      <c r="PHV102" s="53"/>
      <c r="PHW102" s="53"/>
      <c r="PHX102" s="53"/>
      <c r="PHY102" s="53"/>
      <c r="PHZ102" s="53"/>
      <c r="PIA102" s="53"/>
      <c r="PIB102" s="53"/>
      <c r="PIC102" s="53"/>
      <c r="PID102" s="53"/>
      <c r="PIE102" s="53"/>
      <c r="PIF102" s="53"/>
      <c r="PIG102" s="53"/>
      <c r="PIH102" s="53"/>
      <c r="PII102" s="53"/>
      <c r="PIJ102" s="53"/>
      <c r="PIK102" s="53"/>
      <c r="PIL102" s="53"/>
      <c r="PIM102" s="53"/>
      <c r="PIN102" s="53"/>
      <c r="PIO102" s="53"/>
      <c r="PIP102" s="53"/>
      <c r="PIQ102" s="53"/>
      <c r="PIR102" s="53"/>
      <c r="PIS102" s="53"/>
      <c r="PIT102" s="53"/>
      <c r="PIU102" s="53"/>
      <c r="PIV102" s="53"/>
      <c r="PIW102" s="53"/>
      <c r="PIX102" s="53"/>
      <c r="PIY102" s="53"/>
      <c r="PIZ102" s="53"/>
      <c r="PJA102" s="53"/>
      <c r="PJB102" s="53"/>
      <c r="PJC102" s="53"/>
      <c r="PJD102" s="53"/>
      <c r="PJE102" s="53"/>
      <c r="PJF102" s="53"/>
      <c r="PJG102" s="53"/>
      <c r="PJH102" s="53"/>
      <c r="PJI102" s="53"/>
      <c r="PJJ102" s="53"/>
      <c r="PJK102" s="53"/>
      <c r="PJL102" s="53"/>
      <c r="PJM102" s="53"/>
      <c r="PJN102" s="53"/>
      <c r="PJO102" s="53"/>
      <c r="PJP102" s="53"/>
      <c r="PJQ102" s="53"/>
      <c r="PJR102" s="53"/>
      <c r="PJS102" s="53"/>
      <c r="PJT102" s="53"/>
      <c r="PJU102" s="53"/>
      <c r="PJV102" s="53"/>
      <c r="PJW102" s="53"/>
      <c r="PJX102" s="53"/>
      <c r="PJY102" s="53"/>
      <c r="PJZ102" s="53"/>
      <c r="PKA102" s="53"/>
      <c r="PKB102" s="53"/>
      <c r="PKC102" s="53"/>
      <c r="PKD102" s="53"/>
      <c r="PKE102" s="53"/>
      <c r="PKF102" s="53"/>
      <c r="PKG102" s="53"/>
      <c r="PKH102" s="53"/>
      <c r="PKI102" s="53"/>
      <c r="PKJ102" s="53"/>
      <c r="PKK102" s="53"/>
      <c r="PKL102" s="53"/>
      <c r="PKM102" s="53"/>
      <c r="PKN102" s="53"/>
      <c r="PKO102" s="53"/>
      <c r="PKP102" s="53"/>
      <c r="PKQ102" s="53"/>
      <c r="PKR102" s="53"/>
      <c r="PKS102" s="53"/>
      <c r="PKT102" s="53"/>
      <c r="PKU102" s="53"/>
      <c r="PKV102" s="53"/>
      <c r="PKW102" s="53"/>
      <c r="PKX102" s="53"/>
      <c r="PKY102" s="53"/>
      <c r="PKZ102" s="53"/>
      <c r="PLA102" s="53"/>
      <c r="PLB102" s="53"/>
      <c r="PLC102" s="53"/>
      <c r="PLD102" s="53"/>
      <c r="PLE102" s="53"/>
      <c r="PLF102" s="53"/>
      <c r="PLG102" s="53"/>
      <c r="PLH102" s="53"/>
      <c r="PLI102" s="53"/>
      <c r="PLJ102" s="53"/>
      <c r="PLK102" s="53"/>
      <c r="PLL102" s="53"/>
      <c r="PLM102" s="53"/>
      <c r="PLN102" s="53"/>
      <c r="PLO102" s="53"/>
      <c r="PLP102" s="53"/>
      <c r="PLQ102" s="53"/>
      <c r="PLR102" s="53"/>
      <c r="PLS102" s="53"/>
      <c r="PLT102" s="53"/>
      <c r="PLU102" s="53"/>
      <c r="PLV102" s="53"/>
      <c r="PLW102" s="53"/>
      <c r="PLX102" s="53"/>
      <c r="PLY102" s="53"/>
      <c r="PLZ102" s="53"/>
      <c r="PMA102" s="53"/>
      <c r="PMB102" s="53"/>
      <c r="PMC102" s="53"/>
      <c r="PMD102" s="53"/>
      <c r="PME102" s="53"/>
      <c r="PMF102" s="53"/>
      <c r="PMG102" s="53"/>
      <c r="PMH102" s="53"/>
      <c r="PMI102" s="53"/>
      <c r="PMJ102" s="53"/>
      <c r="PMK102" s="53"/>
      <c r="PML102" s="53"/>
      <c r="PMM102" s="53"/>
      <c r="PMN102" s="53"/>
      <c r="PMO102" s="53"/>
      <c r="PMP102" s="53"/>
      <c r="PMQ102" s="53"/>
      <c r="PMR102" s="53"/>
      <c r="PMS102" s="53"/>
      <c r="PMT102" s="53"/>
      <c r="PMU102" s="53"/>
      <c r="PMV102" s="53"/>
      <c r="PMW102" s="53"/>
      <c r="PMX102" s="53"/>
      <c r="PMY102" s="53"/>
      <c r="PMZ102" s="53"/>
      <c r="PNA102" s="53"/>
      <c r="PNB102" s="53"/>
      <c r="PNC102" s="53"/>
      <c r="PND102" s="53"/>
      <c r="PNE102" s="53"/>
      <c r="PNF102" s="53"/>
      <c r="PNG102" s="53"/>
      <c r="PNH102" s="53"/>
      <c r="PNI102" s="53"/>
      <c r="PNJ102" s="53"/>
      <c r="PNK102" s="53"/>
      <c r="PNL102" s="53"/>
      <c r="PNM102" s="53"/>
      <c r="PNN102" s="53"/>
      <c r="PNO102" s="53"/>
      <c r="PNP102" s="53"/>
      <c r="PNQ102" s="53"/>
      <c r="PNR102" s="53"/>
      <c r="PNS102" s="53"/>
      <c r="PNT102" s="53"/>
      <c r="PNU102" s="53"/>
      <c r="PNV102" s="53"/>
      <c r="PNW102" s="53"/>
      <c r="PNX102" s="53"/>
      <c r="PNY102" s="53"/>
      <c r="PNZ102" s="53"/>
      <c r="POA102" s="53"/>
      <c r="POB102" s="53"/>
      <c r="POC102" s="53"/>
      <c r="POD102" s="53"/>
      <c r="POE102" s="53"/>
      <c r="POF102" s="53"/>
      <c r="POG102" s="53"/>
      <c r="POH102" s="53"/>
      <c r="POI102" s="53"/>
      <c r="POJ102" s="53"/>
      <c r="POK102" s="53"/>
      <c r="POL102" s="53"/>
      <c r="POM102" s="53"/>
      <c r="PON102" s="53"/>
      <c r="POO102" s="53"/>
      <c r="POP102" s="53"/>
      <c r="POQ102" s="53"/>
      <c r="POR102" s="53"/>
      <c r="POS102" s="53"/>
      <c r="POT102" s="53"/>
      <c r="POU102" s="53"/>
      <c r="POV102" s="53"/>
      <c r="POW102" s="53"/>
      <c r="POX102" s="53"/>
      <c r="POY102" s="53"/>
      <c r="POZ102" s="53"/>
      <c r="PPA102" s="53"/>
      <c r="PPB102" s="53"/>
      <c r="PPC102" s="53"/>
      <c r="PPD102" s="53"/>
      <c r="PPE102" s="53"/>
      <c r="PPF102" s="53"/>
      <c r="PPG102" s="53"/>
      <c r="PPH102" s="53"/>
      <c r="PPI102" s="53"/>
      <c r="PPJ102" s="53"/>
      <c r="PPK102" s="53"/>
      <c r="PPL102" s="53"/>
      <c r="PPM102" s="53"/>
      <c r="PPN102" s="53"/>
      <c r="PPO102" s="53"/>
      <c r="PPP102" s="53"/>
      <c r="PPQ102" s="53"/>
      <c r="PPR102" s="53"/>
      <c r="PPS102" s="53"/>
      <c r="PPT102" s="53"/>
      <c r="PPU102" s="53"/>
      <c r="PPV102" s="53"/>
      <c r="PPW102" s="53"/>
      <c r="PPX102" s="53"/>
      <c r="PPY102" s="53"/>
      <c r="PPZ102" s="53"/>
      <c r="PQA102" s="53"/>
      <c r="PQB102" s="53"/>
      <c r="PQC102" s="53"/>
      <c r="PQD102" s="53"/>
      <c r="PQE102" s="53"/>
      <c r="PQF102" s="53"/>
      <c r="PQG102" s="53"/>
      <c r="PQH102" s="53"/>
      <c r="PQI102" s="53"/>
      <c r="PQJ102" s="53"/>
      <c r="PQK102" s="53"/>
      <c r="PQL102" s="53"/>
      <c r="PQM102" s="53"/>
      <c r="PQN102" s="53"/>
      <c r="PQO102" s="53"/>
      <c r="PQP102" s="53"/>
      <c r="PQQ102" s="53"/>
      <c r="PQR102" s="53"/>
      <c r="PQS102" s="53"/>
      <c r="PQT102" s="53"/>
      <c r="PQU102" s="53"/>
      <c r="PQV102" s="53"/>
      <c r="PQW102" s="53"/>
      <c r="PQX102" s="53"/>
      <c r="PQY102" s="53"/>
      <c r="PQZ102" s="53"/>
      <c r="PRA102" s="53"/>
      <c r="PRB102" s="53"/>
      <c r="PRC102" s="53"/>
      <c r="PRD102" s="53"/>
      <c r="PRE102" s="53"/>
      <c r="PRF102" s="53"/>
      <c r="PRG102" s="53"/>
      <c r="PRH102" s="53"/>
      <c r="PRI102" s="53"/>
      <c r="PRJ102" s="53"/>
      <c r="PRK102" s="53"/>
      <c r="PRL102" s="53"/>
      <c r="PRM102" s="53"/>
      <c r="PRN102" s="53"/>
      <c r="PRO102" s="53"/>
      <c r="PRP102" s="53"/>
      <c r="PRQ102" s="53"/>
      <c r="PRR102" s="53"/>
      <c r="PRS102" s="53"/>
      <c r="PRT102" s="53"/>
      <c r="PRU102" s="53"/>
      <c r="PRV102" s="53"/>
      <c r="PRW102" s="53"/>
      <c r="PRX102" s="53"/>
      <c r="PRY102" s="53"/>
      <c r="PRZ102" s="53"/>
      <c r="PSA102" s="53"/>
      <c r="PSB102" s="53"/>
      <c r="PSC102" s="53"/>
      <c r="PSD102" s="53"/>
      <c r="PSE102" s="53"/>
      <c r="PSF102" s="53"/>
      <c r="PSG102" s="53"/>
      <c r="PSH102" s="53"/>
      <c r="PSI102" s="53"/>
      <c r="PSJ102" s="53"/>
      <c r="PSK102" s="53"/>
      <c r="PSL102" s="53"/>
      <c r="PSM102" s="53"/>
      <c r="PSN102" s="53"/>
      <c r="PSO102" s="53"/>
      <c r="PSP102" s="53"/>
      <c r="PSQ102" s="53"/>
      <c r="PSR102" s="53"/>
      <c r="PSS102" s="53"/>
      <c r="PST102" s="53"/>
      <c r="PSU102" s="53"/>
      <c r="PSV102" s="53"/>
      <c r="PSW102" s="53"/>
      <c r="PSX102" s="53"/>
      <c r="PSY102" s="53"/>
      <c r="PSZ102" s="53"/>
      <c r="PTA102" s="53"/>
      <c r="PTB102" s="53"/>
      <c r="PTC102" s="53"/>
      <c r="PTD102" s="53"/>
      <c r="PTE102" s="53"/>
      <c r="PTF102" s="53"/>
      <c r="PTG102" s="53"/>
      <c r="PTH102" s="53"/>
      <c r="PTI102" s="53"/>
      <c r="PTJ102" s="53"/>
      <c r="PTK102" s="53"/>
      <c r="PTL102" s="53"/>
      <c r="PTM102" s="53"/>
      <c r="PTN102" s="53"/>
      <c r="PTO102" s="53"/>
      <c r="PTP102" s="53"/>
      <c r="PTQ102" s="53"/>
      <c r="PTR102" s="53"/>
      <c r="PTS102" s="53"/>
      <c r="PTT102" s="53"/>
      <c r="PTU102" s="53"/>
      <c r="PTV102" s="53"/>
      <c r="PTW102" s="53"/>
      <c r="PTX102" s="53"/>
      <c r="PTY102" s="53"/>
      <c r="PTZ102" s="53"/>
      <c r="PUA102" s="53"/>
      <c r="PUB102" s="53"/>
      <c r="PUC102" s="53"/>
      <c r="PUD102" s="53"/>
      <c r="PUE102" s="53"/>
      <c r="PUF102" s="53"/>
      <c r="PUG102" s="53"/>
      <c r="PUH102" s="53"/>
      <c r="PUI102" s="53"/>
      <c r="PUJ102" s="53"/>
      <c r="PUK102" s="53"/>
      <c r="PUL102" s="53"/>
      <c r="PUM102" s="53"/>
      <c r="PUN102" s="53"/>
      <c r="PUO102" s="53"/>
      <c r="PUP102" s="53"/>
      <c r="PUQ102" s="53"/>
      <c r="PUR102" s="53"/>
      <c r="PUS102" s="53"/>
      <c r="PUT102" s="53"/>
      <c r="PUU102" s="53"/>
      <c r="PUV102" s="53"/>
      <c r="PUW102" s="53"/>
      <c r="PUX102" s="53"/>
      <c r="PUY102" s="53"/>
      <c r="PUZ102" s="53"/>
      <c r="PVA102" s="53"/>
      <c r="PVB102" s="53"/>
      <c r="PVC102" s="53"/>
      <c r="PVD102" s="53"/>
      <c r="PVE102" s="53"/>
      <c r="PVF102" s="53"/>
      <c r="PVG102" s="53"/>
      <c r="PVH102" s="53"/>
      <c r="PVI102" s="53"/>
      <c r="PVJ102" s="53"/>
      <c r="PVK102" s="53"/>
      <c r="PVL102" s="53"/>
      <c r="PVM102" s="53"/>
      <c r="PVN102" s="53"/>
      <c r="PVO102" s="53"/>
      <c r="PVP102" s="53"/>
      <c r="PVQ102" s="53"/>
      <c r="PVR102" s="53"/>
      <c r="PVS102" s="53"/>
      <c r="PVT102" s="53"/>
      <c r="PVU102" s="53"/>
      <c r="PVV102" s="53"/>
      <c r="PVW102" s="53"/>
      <c r="PVX102" s="53"/>
      <c r="PVY102" s="53"/>
      <c r="PVZ102" s="53"/>
      <c r="PWA102" s="53"/>
      <c r="PWB102" s="53"/>
      <c r="PWC102" s="53"/>
      <c r="PWD102" s="53"/>
      <c r="PWE102" s="53"/>
      <c r="PWF102" s="53"/>
      <c r="PWG102" s="53"/>
      <c r="PWH102" s="53"/>
      <c r="PWI102" s="53"/>
      <c r="PWJ102" s="53"/>
      <c r="PWK102" s="53"/>
      <c r="PWL102" s="53"/>
      <c r="PWM102" s="53"/>
      <c r="PWN102" s="53"/>
      <c r="PWO102" s="53"/>
      <c r="PWP102" s="53"/>
      <c r="PWQ102" s="53"/>
      <c r="PWR102" s="53"/>
      <c r="PWS102" s="53"/>
      <c r="PWT102" s="53"/>
      <c r="PWU102" s="53"/>
      <c r="PWV102" s="53"/>
      <c r="PWW102" s="53"/>
      <c r="PWX102" s="53"/>
      <c r="PWY102" s="53"/>
      <c r="PWZ102" s="53"/>
      <c r="PXA102" s="53"/>
      <c r="PXB102" s="53"/>
      <c r="PXC102" s="53"/>
      <c r="PXD102" s="53"/>
      <c r="PXE102" s="53"/>
      <c r="PXF102" s="53"/>
      <c r="PXG102" s="53"/>
      <c r="PXH102" s="53"/>
      <c r="PXI102" s="53"/>
      <c r="PXJ102" s="53"/>
      <c r="PXK102" s="53"/>
      <c r="PXL102" s="53"/>
      <c r="PXM102" s="53"/>
      <c r="PXN102" s="53"/>
      <c r="PXO102" s="53"/>
      <c r="PXP102" s="53"/>
      <c r="PXQ102" s="53"/>
      <c r="PXR102" s="53"/>
      <c r="PXS102" s="53"/>
      <c r="PXT102" s="53"/>
      <c r="PXU102" s="53"/>
      <c r="PXV102" s="53"/>
      <c r="PXW102" s="53"/>
      <c r="PXX102" s="53"/>
      <c r="PXY102" s="53"/>
      <c r="PXZ102" s="53"/>
      <c r="PYA102" s="53"/>
      <c r="PYB102" s="53"/>
      <c r="PYC102" s="53"/>
      <c r="PYD102" s="53"/>
      <c r="PYE102" s="53"/>
      <c r="PYF102" s="53"/>
      <c r="PYG102" s="53"/>
      <c r="PYH102" s="53"/>
      <c r="PYI102" s="53"/>
      <c r="PYJ102" s="53"/>
      <c r="PYK102" s="53"/>
      <c r="PYL102" s="53"/>
      <c r="PYM102" s="53"/>
      <c r="PYN102" s="53"/>
      <c r="PYO102" s="53"/>
      <c r="PYP102" s="53"/>
      <c r="PYQ102" s="53"/>
      <c r="PYR102" s="53"/>
      <c r="PYS102" s="53"/>
      <c r="PYT102" s="53"/>
      <c r="PYU102" s="53"/>
      <c r="PYV102" s="53"/>
      <c r="PYW102" s="53"/>
      <c r="PYX102" s="53"/>
      <c r="PYY102" s="53"/>
      <c r="PYZ102" s="53"/>
      <c r="PZA102" s="53"/>
      <c r="PZB102" s="53"/>
      <c r="PZC102" s="53"/>
      <c r="PZD102" s="53"/>
      <c r="PZE102" s="53"/>
      <c r="PZF102" s="53"/>
      <c r="PZG102" s="53"/>
      <c r="PZH102" s="53"/>
      <c r="PZI102" s="53"/>
      <c r="PZJ102" s="53"/>
      <c r="PZK102" s="53"/>
      <c r="PZL102" s="53"/>
      <c r="PZM102" s="53"/>
      <c r="PZN102" s="53"/>
      <c r="PZO102" s="53"/>
      <c r="PZP102" s="53"/>
      <c r="PZQ102" s="53"/>
      <c r="PZR102" s="53"/>
      <c r="PZS102" s="53"/>
      <c r="PZT102" s="53"/>
      <c r="PZU102" s="53"/>
      <c r="PZV102" s="53"/>
      <c r="PZW102" s="53"/>
      <c r="PZX102" s="53"/>
      <c r="PZY102" s="53"/>
      <c r="PZZ102" s="53"/>
      <c r="QAA102" s="53"/>
      <c r="QAB102" s="53"/>
      <c r="QAC102" s="53"/>
      <c r="QAD102" s="53"/>
      <c r="QAE102" s="53"/>
      <c r="QAF102" s="53"/>
      <c r="QAG102" s="53"/>
      <c r="QAH102" s="53"/>
      <c r="QAI102" s="53"/>
      <c r="QAJ102" s="53"/>
      <c r="QAK102" s="53"/>
      <c r="QAL102" s="53"/>
      <c r="QAM102" s="53"/>
      <c r="QAN102" s="53"/>
      <c r="QAO102" s="53"/>
      <c r="QAP102" s="53"/>
      <c r="QAQ102" s="53"/>
      <c r="QAR102" s="53"/>
      <c r="QAS102" s="53"/>
      <c r="QAT102" s="53"/>
      <c r="QAU102" s="53"/>
      <c r="QAV102" s="53"/>
      <c r="QAW102" s="53"/>
      <c r="QAX102" s="53"/>
      <c r="QAY102" s="53"/>
      <c r="QAZ102" s="53"/>
      <c r="QBA102" s="53"/>
      <c r="QBB102" s="53"/>
      <c r="QBC102" s="53"/>
      <c r="QBD102" s="53"/>
      <c r="QBE102" s="53"/>
      <c r="QBF102" s="53"/>
      <c r="QBG102" s="53"/>
      <c r="QBH102" s="53"/>
      <c r="QBI102" s="53"/>
      <c r="QBJ102" s="53"/>
      <c r="QBK102" s="53"/>
      <c r="QBL102" s="53"/>
      <c r="QBM102" s="53"/>
      <c r="QBN102" s="53"/>
      <c r="QBO102" s="53"/>
      <c r="QBP102" s="53"/>
      <c r="QBQ102" s="53"/>
      <c r="QBR102" s="53"/>
      <c r="QBS102" s="53"/>
      <c r="QBT102" s="53"/>
      <c r="QBU102" s="53"/>
      <c r="QBV102" s="53"/>
      <c r="QBW102" s="53"/>
      <c r="QBX102" s="53"/>
      <c r="QBY102" s="53"/>
      <c r="QBZ102" s="53"/>
      <c r="QCA102" s="53"/>
      <c r="QCB102" s="53"/>
      <c r="QCC102" s="53"/>
      <c r="QCD102" s="53"/>
      <c r="QCE102" s="53"/>
      <c r="QCF102" s="53"/>
      <c r="QCG102" s="53"/>
      <c r="QCH102" s="53"/>
      <c r="QCI102" s="53"/>
      <c r="QCJ102" s="53"/>
      <c r="QCK102" s="53"/>
      <c r="QCL102" s="53"/>
      <c r="QCM102" s="53"/>
      <c r="QCN102" s="53"/>
      <c r="QCO102" s="53"/>
      <c r="QCP102" s="53"/>
      <c r="QCQ102" s="53"/>
      <c r="QCR102" s="53"/>
      <c r="QCS102" s="53"/>
      <c r="QCT102" s="53"/>
      <c r="QCU102" s="53"/>
      <c r="QCV102" s="53"/>
      <c r="QCW102" s="53"/>
      <c r="QCX102" s="53"/>
      <c r="QCY102" s="53"/>
      <c r="QCZ102" s="53"/>
      <c r="QDA102" s="53"/>
      <c r="QDB102" s="53"/>
      <c r="QDC102" s="53"/>
      <c r="QDD102" s="53"/>
      <c r="QDE102" s="53"/>
      <c r="QDF102" s="53"/>
      <c r="QDG102" s="53"/>
      <c r="QDH102" s="53"/>
      <c r="QDI102" s="53"/>
      <c r="QDJ102" s="53"/>
      <c r="QDK102" s="53"/>
      <c r="QDL102" s="53"/>
      <c r="QDM102" s="53"/>
      <c r="QDN102" s="53"/>
      <c r="QDO102" s="53"/>
      <c r="QDP102" s="53"/>
      <c r="QDQ102" s="53"/>
      <c r="QDR102" s="53"/>
      <c r="QDS102" s="53"/>
      <c r="QDT102" s="53"/>
      <c r="QDU102" s="53"/>
      <c r="QDV102" s="53"/>
      <c r="QDW102" s="53"/>
      <c r="QDX102" s="53"/>
      <c r="QDY102" s="53"/>
      <c r="QDZ102" s="53"/>
      <c r="QEA102" s="53"/>
      <c r="QEB102" s="53"/>
      <c r="QEC102" s="53"/>
      <c r="QED102" s="53"/>
      <c r="QEE102" s="53"/>
      <c r="QEF102" s="53"/>
      <c r="QEG102" s="53"/>
      <c r="QEH102" s="53"/>
      <c r="QEI102" s="53"/>
      <c r="QEJ102" s="53"/>
      <c r="QEK102" s="53"/>
      <c r="QEL102" s="53"/>
      <c r="QEM102" s="53"/>
      <c r="QEN102" s="53"/>
      <c r="QEO102" s="53"/>
      <c r="QEP102" s="53"/>
      <c r="QEQ102" s="53"/>
      <c r="QER102" s="53"/>
      <c r="QES102" s="53"/>
      <c r="QET102" s="53"/>
      <c r="QEU102" s="53"/>
      <c r="QEV102" s="53"/>
      <c r="QEW102" s="53"/>
      <c r="QEX102" s="53"/>
      <c r="QEY102" s="53"/>
      <c r="QEZ102" s="53"/>
      <c r="QFA102" s="53"/>
      <c r="QFB102" s="53"/>
      <c r="QFC102" s="53"/>
      <c r="QFD102" s="53"/>
      <c r="QFE102" s="53"/>
      <c r="QFF102" s="53"/>
      <c r="QFG102" s="53"/>
      <c r="QFH102" s="53"/>
      <c r="QFI102" s="53"/>
      <c r="QFJ102" s="53"/>
      <c r="QFK102" s="53"/>
      <c r="QFL102" s="53"/>
      <c r="QFM102" s="53"/>
      <c r="QFN102" s="53"/>
      <c r="QFO102" s="53"/>
      <c r="QFP102" s="53"/>
      <c r="QFQ102" s="53"/>
      <c r="QFR102" s="53"/>
      <c r="QFS102" s="53"/>
      <c r="QFT102" s="53"/>
      <c r="QFU102" s="53"/>
      <c r="QFV102" s="53"/>
      <c r="QFW102" s="53"/>
      <c r="QFX102" s="53"/>
      <c r="QFY102" s="53"/>
      <c r="QFZ102" s="53"/>
      <c r="QGA102" s="53"/>
      <c r="QGB102" s="53"/>
      <c r="QGC102" s="53"/>
      <c r="QGD102" s="53"/>
      <c r="QGE102" s="53"/>
      <c r="QGF102" s="53"/>
      <c r="QGG102" s="53"/>
      <c r="QGH102" s="53"/>
      <c r="QGI102" s="53"/>
      <c r="QGJ102" s="53"/>
      <c r="QGK102" s="53"/>
      <c r="QGL102" s="53"/>
      <c r="QGM102" s="53"/>
      <c r="QGN102" s="53"/>
      <c r="QGO102" s="53"/>
      <c r="QGP102" s="53"/>
      <c r="QGQ102" s="53"/>
      <c r="QGR102" s="53"/>
      <c r="QGS102" s="53"/>
      <c r="QGT102" s="53"/>
      <c r="QGU102" s="53"/>
      <c r="QGV102" s="53"/>
      <c r="QGW102" s="53"/>
      <c r="QGX102" s="53"/>
      <c r="QGY102" s="53"/>
      <c r="QGZ102" s="53"/>
      <c r="QHA102" s="53"/>
      <c r="QHB102" s="53"/>
      <c r="QHC102" s="53"/>
      <c r="QHD102" s="53"/>
      <c r="QHE102" s="53"/>
      <c r="QHF102" s="53"/>
      <c r="QHG102" s="53"/>
      <c r="QHH102" s="53"/>
      <c r="QHI102" s="53"/>
      <c r="QHJ102" s="53"/>
      <c r="QHK102" s="53"/>
      <c r="QHL102" s="53"/>
      <c r="QHM102" s="53"/>
      <c r="QHN102" s="53"/>
      <c r="QHO102" s="53"/>
      <c r="QHP102" s="53"/>
      <c r="QHQ102" s="53"/>
      <c r="QHR102" s="53"/>
      <c r="QHS102" s="53"/>
      <c r="QHT102" s="53"/>
      <c r="QHU102" s="53"/>
      <c r="QHV102" s="53"/>
      <c r="QHW102" s="53"/>
      <c r="QHX102" s="53"/>
      <c r="QHY102" s="53"/>
      <c r="QHZ102" s="53"/>
      <c r="QIA102" s="53"/>
      <c r="QIB102" s="53"/>
      <c r="QIC102" s="53"/>
      <c r="QID102" s="53"/>
      <c r="QIE102" s="53"/>
      <c r="QIF102" s="53"/>
      <c r="QIG102" s="53"/>
      <c r="QIH102" s="53"/>
      <c r="QII102" s="53"/>
      <c r="QIJ102" s="53"/>
      <c r="QIK102" s="53"/>
      <c r="QIL102" s="53"/>
      <c r="QIM102" s="53"/>
      <c r="QIN102" s="53"/>
      <c r="QIO102" s="53"/>
      <c r="QIP102" s="53"/>
      <c r="QIQ102" s="53"/>
      <c r="QIR102" s="53"/>
      <c r="QIS102" s="53"/>
      <c r="QIT102" s="53"/>
      <c r="QIU102" s="53"/>
      <c r="QIV102" s="53"/>
      <c r="QIW102" s="53"/>
      <c r="QIX102" s="53"/>
      <c r="QIY102" s="53"/>
      <c r="QIZ102" s="53"/>
      <c r="QJA102" s="53"/>
      <c r="QJB102" s="53"/>
      <c r="QJC102" s="53"/>
      <c r="QJD102" s="53"/>
      <c r="QJE102" s="53"/>
      <c r="QJF102" s="53"/>
      <c r="QJG102" s="53"/>
      <c r="QJH102" s="53"/>
      <c r="QJI102" s="53"/>
      <c r="QJJ102" s="53"/>
      <c r="QJK102" s="53"/>
      <c r="QJL102" s="53"/>
      <c r="QJM102" s="53"/>
      <c r="QJN102" s="53"/>
      <c r="QJO102" s="53"/>
      <c r="QJP102" s="53"/>
      <c r="QJQ102" s="53"/>
      <c r="QJR102" s="53"/>
      <c r="QJS102" s="53"/>
      <c r="QJT102" s="53"/>
      <c r="QJU102" s="53"/>
      <c r="QJV102" s="53"/>
      <c r="QJW102" s="53"/>
      <c r="QJX102" s="53"/>
      <c r="QJY102" s="53"/>
      <c r="QJZ102" s="53"/>
      <c r="QKA102" s="53"/>
      <c r="QKB102" s="53"/>
      <c r="QKC102" s="53"/>
      <c r="QKD102" s="53"/>
      <c r="QKE102" s="53"/>
      <c r="QKF102" s="53"/>
      <c r="QKG102" s="53"/>
      <c r="QKH102" s="53"/>
      <c r="QKI102" s="53"/>
      <c r="QKJ102" s="53"/>
      <c r="QKK102" s="53"/>
      <c r="QKL102" s="53"/>
      <c r="QKM102" s="53"/>
      <c r="QKN102" s="53"/>
      <c r="QKO102" s="53"/>
      <c r="QKP102" s="53"/>
      <c r="QKQ102" s="53"/>
      <c r="QKR102" s="53"/>
      <c r="QKS102" s="53"/>
      <c r="QKT102" s="53"/>
      <c r="QKU102" s="53"/>
      <c r="QKV102" s="53"/>
      <c r="QKW102" s="53"/>
      <c r="QKX102" s="53"/>
      <c r="QKY102" s="53"/>
      <c r="QKZ102" s="53"/>
      <c r="QLA102" s="53"/>
      <c r="QLB102" s="53"/>
      <c r="QLC102" s="53"/>
      <c r="QLD102" s="53"/>
      <c r="QLE102" s="53"/>
      <c r="QLF102" s="53"/>
      <c r="QLG102" s="53"/>
      <c r="QLH102" s="53"/>
      <c r="QLI102" s="53"/>
      <c r="QLJ102" s="53"/>
      <c r="QLK102" s="53"/>
      <c r="QLL102" s="53"/>
      <c r="QLM102" s="53"/>
      <c r="QLN102" s="53"/>
      <c r="QLO102" s="53"/>
      <c r="QLP102" s="53"/>
      <c r="QLQ102" s="53"/>
      <c r="QLR102" s="53"/>
      <c r="QLS102" s="53"/>
      <c r="QLT102" s="53"/>
      <c r="QLU102" s="53"/>
      <c r="QLV102" s="53"/>
      <c r="QLW102" s="53"/>
      <c r="QLX102" s="53"/>
      <c r="QLY102" s="53"/>
      <c r="QLZ102" s="53"/>
      <c r="QMA102" s="53"/>
      <c r="QMB102" s="53"/>
      <c r="QMC102" s="53"/>
      <c r="QMD102" s="53"/>
      <c r="QME102" s="53"/>
      <c r="QMF102" s="53"/>
      <c r="QMG102" s="53"/>
      <c r="QMH102" s="53"/>
      <c r="QMI102" s="53"/>
      <c r="QMJ102" s="53"/>
      <c r="QMK102" s="53"/>
      <c r="QML102" s="53"/>
      <c r="QMM102" s="53"/>
      <c r="QMN102" s="53"/>
      <c r="QMO102" s="53"/>
      <c r="QMP102" s="53"/>
      <c r="QMQ102" s="53"/>
      <c r="QMR102" s="53"/>
      <c r="QMS102" s="53"/>
      <c r="QMT102" s="53"/>
      <c r="QMU102" s="53"/>
      <c r="QMV102" s="53"/>
      <c r="QMW102" s="53"/>
      <c r="QMX102" s="53"/>
      <c r="QMY102" s="53"/>
      <c r="QMZ102" s="53"/>
      <c r="QNA102" s="53"/>
      <c r="QNB102" s="53"/>
      <c r="QNC102" s="53"/>
      <c r="QND102" s="53"/>
      <c r="QNE102" s="53"/>
      <c r="QNF102" s="53"/>
      <c r="QNG102" s="53"/>
      <c r="QNH102" s="53"/>
      <c r="QNI102" s="53"/>
      <c r="QNJ102" s="53"/>
      <c r="QNK102" s="53"/>
      <c r="QNL102" s="53"/>
      <c r="QNM102" s="53"/>
      <c r="QNN102" s="53"/>
      <c r="QNO102" s="53"/>
      <c r="QNP102" s="53"/>
      <c r="QNQ102" s="53"/>
      <c r="QNR102" s="53"/>
      <c r="QNS102" s="53"/>
      <c r="QNT102" s="53"/>
      <c r="QNU102" s="53"/>
      <c r="QNV102" s="53"/>
      <c r="QNW102" s="53"/>
      <c r="QNX102" s="53"/>
      <c r="QNY102" s="53"/>
      <c r="QNZ102" s="53"/>
      <c r="QOA102" s="53"/>
      <c r="QOB102" s="53"/>
      <c r="QOC102" s="53"/>
      <c r="QOD102" s="53"/>
      <c r="QOE102" s="53"/>
      <c r="QOF102" s="53"/>
      <c r="QOG102" s="53"/>
      <c r="QOH102" s="53"/>
      <c r="QOI102" s="53"/>
      <c r="QOJ102" s="53"/>
      <c r="QOK102" s="53"/>
      <c r="QOL102" s="53"/>
      <c r="QOM102" s="53"/>
      <c r="QON102" s="53"/>
      <c r="QOO102" s="53"/>
      <c r="QOP102" s="53"/>
      <c r="QOQ102" s="53"/>
      <c r="QOR102" s="53"/>
      <c r="QOS102" s="53"/>
      <c r="QOT102" s="53"/>
      <c r="QOU102" s="53"/>
      <c r="QOV102" s="53"/>
      <c r="QOW102" s="53"/>
      <c r="QOX102" s="53"/>
      <c r="QOY102" s="53"/>
      <c r="QOZ102" s="53"/>
      <c r="QPA102" s="53"/>
      <c r="QPB102" s="53"/>
      <c r="QPC102" s="53"/>
      <c r="QPD102" s="53"/>
      <c r="QPE102" s="53"/>
      <c r="QPF102" s="53"/>
      <c r="QPG102" s="53"/>
      <c r="QPH102" s="53"/>
      <c r="QPI102" s="53"/>
      <c r="QPJ102" s="53"/>
      <c r="QPK102" s="53"/>
      <c r="QPL102" s="53"/>
      <c r="QPM102" s="53"/>
      <c r="QPN102" s="53"/>
      <c r="QPO102" s="53"/>
      <c r="QPP102" s="53"/>
      <c r="QPQ102" s="53"/>
      <c r="QPR102" s="53"/>
      <c r="QPS102" s="53"/>
      <c r="QPT102" s="53"/>
      <c r="QPU102" s="53"/>
      <c r="QPV102" s="53"/>
      <c r="QPW102" s="53"/>
      <c r="QPX102" s="53"/>
      <c r="QPY102" s="53"/>
      <c r="QPZ102" s="53"/>
      <c r="QQA102" s="53"/>
      <c r="QQB102" s="53"/>
      <c r="QQC102" s="53"/>
      <c r="QQD102" s="53"/>
      <c r="QQE102" s="53"/>
      <c r="QQF102" s="53"/>
      <c r="QQG102" s="53"/>
      <c r="QQH102" s="53"/>
      <c r="QQI102" s="53"/>
      <c r="QQJ102" s="53"/>
      <c r="QQK102" s="53"/>
      <c r="QQL102" s="53"/>
      <c r="QQM102" s="53"/>
      <c r="QQN102" s="53"/>
      <c r="QQO102" s="53"/>
      <c r="QQP102" s="53"/>
      <c r="QQQ102" s="53"/>
      <c r="QQR102" s="53"/>
      <c r="QQS102" s="53"/>
      <c r="QQT102" s="53"/>
      <c r="QQU102" s="53"/>
      <c r="QQV102" s="53"/>
      <c r="QQW102" s="53"/>
      <c r="QQX102" s="53"/>
      <c r="QQY102" s="53"/>
      <c r="QQZ102" s="53"/>
      <c r="QRA102" s="53"/>
      <c r="QRB102" s="53"/>
      <c r="QRC102" s="53"/>
      <c r="QRD102" s="53"/>
      <c r="QRE102" s="53"/>
      <c r="QRF102" s="53"/>
      <c r="QRG102" s="53"/>
      <c r="QRH102" s="53"/>
      <c r="QRI102" s="53"/>
      <c r="QRJ102" s="53"/>
      <c r="QRK102" s="53"/>
      <c r="QRL102" s="53"/>
      <c r="QRM102" s="53"/>
      <c r="QRN102" s="53"/>
      <c r="QRO102" s="53"/>
      <c r="QRP102" s="53"/>
      <c r="QRQ102" s="53"/>
      <c r="QRR102" s="53"/>
      <c r="QRS102" s="53"/>
      <c r="QRT102" s="53"/>
      <c r="QRU102" s="53"/>
      <c r="QRV102" s="53"/>
      <c r="QRW102" s="53"/>
      <c r="QRX102" s="53"/>
      <c r="QRY102" s="53"/>
      <c r="QRZ102" s="53"/>
      <c r="QSA102" s="53"/>
      <c r="QSB102" s="53"/>
      <c r="QSC102" s="53"/>
      <c r="QSD102" s="53"/>
      <c r="QSE102" s="53"/>
      <c r="QSF102" s="53"/>
      <c r="QSG102" s="53"/>
      <c r="QSH102" s="53"/>
      <c r="QSI102" s="53"/>
      <c r="QSJ102" s="53"/>
      <c r="QSK102" s="53"/>
      <c r="QSL102" s="53"/>
      <c r="QSM102" s="53"/>
      <c r="QSN102" s="53"/>
      <c r="QSO102" s="53"/>
      <c r="QSP102" s="53"/>
      <c r="QSQ102" s="53"/>
      <c r="QSR102" s="53"/>
      <c r="QSS102" s="53"/>
      <c r="QST102" s="53"/>
      <c r="QSU102" s="53"/>
      <c r="QSV102" s="53"/>
      <c r="QSW102" s="53"/>
      <c r="QSX102" s="53"/>
      <c r="QSY102" s="53"/>
      <c r="QSZ102" s="53"/>
      <c r="QTA102" s="53"/>
      <c r="QTB102" s="53"/>
      <c r="QTC102" s="53"/>
      <c r="QTD102" s="53"/>
      <c r="QTE102" s="53"/>
      <c r="QTF102" s="53"/>
      <c r="QTG102" s="53"/>
      <c r="QTH102" s="53"/>
      <c r="QTI102" s="53"/>
      <c r="QTJ102" s="53"/>
      <c r="QTK102" s="53"/>
      <c r="QTL102" s="53"/>
      <c r="QTM102" s="53"/>
      <c r="QTN102" s="53"/>
      <c r="QTO102" s="53"/>
      <c r="QTP102" s="53"/>
      <c r="QTQ102" s="53"/>
      <c r="QTR102" s="53"/>
      <c r="QTS102" s="53"/>
      <c r="QTT102" s="53"/>
      <c r="QTU102" s="53"/>
      <c r="QTV102" s="53"/>
      <c r="QTW102" s="53"/>
      <c r="QTX102" s="53"/>
      <c r="QTY102" s="53"/>
      <c r="QTZ102" s="53"/>
      <c r="QUA102" s="53"/>
      <c r="QUB102" s="53"/>
      <c r="QUC102" s="53"/>
      <c r="QUD102" s="53"/>
      <c r="QUE102" s="53"/>
      <c r="QUF102" s="53"/>
      <c r="QUG102" s="53"/>
      <c r="QUH102" s="53"/>
      <c r="QUI102" s="53"/>
      <c r="QUJ102" s="53"/>
      <c r="QUK102" s="53"/>
      <c r="QUL102" s="53"/>
      <c r="QUM102" s="53"/>
      <c r="QUN102" s="53"/>
      <c r="QUO102" s="53"/>
      <c r="QUP102" s="53"/>
      <c r="QUQ102" s="53"/>
      <c r="QUR102" s="53"/>
      <c r="QUS102" s="53"/>
      <c r="QUT102" s="53"/>
      <c r="QUU102" s="53"/>
      <c r="QUV102" s="53"/>
      <c r="QUW102" s="53"/>
      <c r="QUX102" s="53"/>
      <c r="QUY102" s="53"/>
      <c r="QUZ102" s="53"/>
      <c r="QVA102" s="53"/>
      <c r="QVB102" s="53"/>
      <c r="QVC102" s="53"/>
      <c r="QVD102" s="53"/>
      <c r="QVE102" s="53"/>
      <c r="QVF102" s="53"/>
      <c r="QVG102" s="53"/>
      <c r="QVH102" s="53"/>
      <c r="QVI102" s="53"/>
      <c r="QVJ102" s="53"/>
      <c r="QVK102" s="53"/>
      <c r="QVL102" s="53"/>
      <c r="QVM102" s="53"/>
      <c r="QVN102" s="53"/>
      <c r="QVO102" s="53"/>
      <c r="QVP102" s="53"/>
      <c r="QVQ102" s="53"/>
      <c r="QVR102" s="53"/>
      <c r="QVS102" s="53"/>
      <c r="QVT102" s="53"/>
      <c r="QVU102" s="53"/>
      <c r="QVV102" s="53"/>
      <c r="QVW102" s="53"/>
      <c r="QVX102" s="53"/>
      <c r="QVY102" s="53"/>
      <c r="QVZ102" s="53"/>
      <c r="QWA102" s="53"/>
      <c r="QWB102" s="53"/>
      <c r="QWC102" s="53"/>
      <c r="QWD102" s="53"/>
      <c r="QWE102" s="53"/>
      <c r="QWF102" s="53"/>
      <c r="QWG102" s="53"/>
      <c r="QWH102" s="53"/>
      <c r="QWI102" s="53"/>
      <c r="QWJ102" s="53"/>
      <c r="QWK102" s="53"/>
      <c r="QWL102" s="53"/>
      <c r="QWM102" s="53"/>
      <c r="QWN102" s="53"/>
      <c r="QWO102" s="53"/>
      <c r="QWP102" s="53"/>
      <c r="QWQ102" s="53"/>
      <c r="QWR102" s="53"/>
      <c r="QWS102" s="53"/>
      <c r="QWT102" s="53"/>
      <c r="QWU102" s="53"/>
      <c r="QWV102" s="53"/>
      <c r="QWW102" s="53"/>
      <c r="QWX102" s="53"/>
      <c r="QWY102" s="53"/>
      <c r="QWZ102" s="53"/>
      <c r="QXA102" s="53"/>
      <c r="QXB102" s="53"/>
      <c r="QXC102" s="53"/>
      <c r="QXD102" s="53"/>
      <c r="QXE102" s="53"/>
      <c r="QXF102" s="53"/>
      <c r="QXG102" s="53"/>
      <c r="QXH102" s="53"/>
      <c r="QXI102" s="53"/>
      <c r="QXJ102" s="53"/>
      <c r="QXK102" s="53"/>
      <c r="QXL102" s="53"/>
      <c r="QXM102" s="53"/>
      <c r="QXN102" s="53"/>
      <c r="QXO102" s="53"/>
      <c r="QXP102" s="53"/>
      <c r="QXQ102" s="53"/>
      <c r="QXR102" s="53"/>
      <c r="QXS102" s="53"/>
      <c r="QXT102" s="53"/>
      <c r="QXU102" s="53"/>
      <c r="QXV102" s="53"/>
      <c r="QXW102" s="53"/>
      <c r="QXX102" s="53"/>
      <c r="QXY102" s="53"/>
      <c r="QXZ102" s="53"/>
      <c r="QYA102" s="53"/>
      <c r="QYB102" s="53"/>
      <c r="QYC102" s="53"/>
      <c r="QYD102" s="53"/>
      <c r="QYE102" s="53"/>
      <c r="QYF102" s="53"/>
      <c r="QYG102" s="53"/>
      <c r="QYH102" s="53"/>
      <c r="QYI102" s="53"/>
      <c r="QYJ102" s="53"/>
      <c r="QYK102" s="53"/>
      <c r="QYL102" s="53"/>
      <c r="QYM102" s="53"/>
      <c r="QYN102" s="53"/>
      <c r="QYO102" s="53"/>
      <c r="QYP102" s="53"/>
      <c r="QYQ102" s="53"/>
      <c r="QYR102" s="53"/>
      <c r="QYS102" s="53"/>
      <c r="QYT102" s="53"/>
      <c r="QYU102" s="53"/>
      <c r="QYV102" s="53"/>
      <c r="QYW102" s="53"/>
      <c r="QYX102" s="53"/>
      <c r="QYY102" s="53"/>
      <c r="QYZ102" s="53"/>
      <c r="QZA102" s="53"/>
      <c r="QZB102" s="53"/>
      <c r="QZC102" s="53"/>
      <c r="QZD102" s="53"/>
      <c r="QZE102" s="53"/>
      <c r="QZF102" s="53"/>
      <c r="QZG102" s="53"/>
      <c r="QZH102" s="53"/>
      <c r="QZI102" s="53"/>
      <c r="QZJ102" s="53"/>
      <c r="QZK102" s="53"/>
      <c r="QZL102" s="53"/>
      <c r="QZM102" s="53"/>
      <c r="QZN102" s="53"/>
      <c r="QZO102" s="53"/>
      <c r="QZP102" s="53"/>
      <c r="QZQ102" s="53"/>
      <c r="QZR102" s="53"/>
      <c r="QZS102" s="53"/>
      <c r="QZT102" s="53"/>
      <c r="QZU102" s="53"/>
      <c r="QZV102" s="53"/>
      <c r="QZW102" s="53"/>
      <c r="QZX102" s="53"/>
      <c r="QZY102" s="53"/>
      <c r="QZZ102" s="53"/>
      <c r="RAA102" s="53"/>
      <c r="RAB102" s="53"/>
      <c r="RAC102" s="53"/>
      <c r="RAD102" s="53"/>
      <c r="RAE102" s="53"/>
      <c r="RAF102" s="53"/>
      <c r="RAG102" s="53"/>
      <c r="RAH102" s="53"/>
      <c r="RAI102" s="53"/>
      <c r="RAJ102" s="53"/>
      <c r="RAK102" s="53"/>
      <c r="RAL102" s="53"/>
      <c r="RAM102" s="53"/>
      <c r="RAN102" s="53"/>
      <c r="RAO102" s="53"/>
      <c r="RAP102" s="53"/>
      <c r="RAQ102" s="53"/>
      <c r="RAR102" s="53"/>
      <c r="RAS102" s="53"/>
      <c r="RAT102" s="53"/>
      <c r="RAU102" s="53"/>
      <c r="RAV102" s="53"/>
      <c r="RAW102" s="53"/>
      <c r="RAX102" s="53"/>
      <c r="RAY102" s="53"/>
      <c r="RAZ102" s="53"/>
      <c r="RBA102" s="53"/>
      <c r="RBB102" s="53"/>
      <c r="RBC102" s="53"/>
      <c r="RBD102" s="53"/>
      <c r="RBE102" s="53"/>
      <c r="RBF102" s="53"/>
      <c r="RBG102" s="53"/>
      <c r="RBH102" s="53"/>
      <c r="RBI102" s="53"/>
      <c r="RBJ102" s="53"/>
      <c r="RBK102" s="53"/>
      <c r="RBL102" s="53"/>
      <c r="RBM102" s="53"/>
      <c r="RBN102" s="53"/>
      <c r="RBO102" s="53"/>
      <c r="RBP102" s="53"/>
      <c r="RBQ102" s="53"/>
      <c r="RBR102" s="53"/>
      <c r="RBS102" s="53"/>
      <c r="RBT102" s="53"/>
      <c r="RBU102" s="53"/>
      <c r="RBV102" s="53"/>
      <c r="RBW102" s="53"/>
      <c r="RBX102" s="53"/>
      <c r="RBY102" s="53"/>
      <c r="RBZ102" s="53"/>
      <c r="RCA102" s="53"/>
      <c r="RCB102" s="53"/>
      <c r="RCC102" s="53"/>
      <c r="RCD102" s="53"/>
      <c r="RCE102" s="53"/>
      <c r="RCF102" s="53"/>
      <c r="RCG102" s="53"/>
      <c r="RCH102" s="53"/>
      <c r="RCI102" s="53"/>
      <c r="RCJ102" s="53"/>
      <c r="RCK102" s="53"/>
      <c r="RCL102" s="53"/>
      <c r="RCM102" s="53"/>
      <c r="RCN102" s="53"/>
      <c r="RCO102" s="53"/>
      <c r="RCP102" s="53"/>
      <c r="RCQ102" s="53"/>
      <c r="RCR102" s="53"/>
      <c r="RCS102" s="53"/>
      <c r="RCT102" s="53"/>
      <c r="RCU102" s="53"/>
      <c r="RCV102" s="53"/>
      <c r="RCW102" s="53"/>
      <c r="RCX102" s="53"/>
      <c r="RCY102" s="53"/>
      <c r="RCZ102" s="53"/>
      <c r="RDA102" s="53"/>
      <c r="RDB102" s="53"/>
      <c r="RDC102" s="53"/>
      <c r="RDD102" s="53"/>
      <c r="RDE102" s="53"/>
      <c r="RDF102" s="53"/>
      <c r="RDG102" s="53"/>
      <c r="RDH102" s="53"/>
      <c r="RDI102" s="53"/>
      <c r="RDJ102" s="53"/>
      <c r="RDK102" s="53"/>
      <c r="RDL102" s="53"/>
      <c r="RDM102" s="53"/>
      <c r="RDN102" s="53"/>
      <c r="RDO102" s="53"/>
      <c r="RDP102" s="53"/>
      <c r="RDQ102" s="53"/>
      <c r="RDR102" s="53"/>
      <c r="RDS102" s="53"/>
      <c r="RDT102" s="53"/>
      <c r="RDU102" s="53"/>
      <c r="RDV102" s="53"/>
      <c r="RDW102" s="53"/>
      <c r="RDX102" s="53"/>
      <c r="RDY102" s="53"/>
      <c r="RDZ102" s="53"/>
      <c r="REA102" s="53"/>
      <c r="REB102" s="53"/>
      <c r="REC102" s="53"/>
      <c r="RED102" s="53"/>
      <c r="REE102" s="53"/>
      <c r="REF102" s="53"/>
      <c r="REG102" s="53"/>
      <c r="REH102" s="53"/>
      <c r="REI102" s="53"/>
      <c r="REJ102" s="53"/>
      <c r="REK102" s="53"/>
      <c r="REL102" s="53"/>
      <c r="REM102" s="53"/>
      <c r="REN102" s="53"/>
      <c r="REO102" s="53"/>
      <c r="REP102" s="53"/>
      <c r="REQ102" s="53"/>
      <c r="RER102" s="53"/>
      <c r="RES102" s="53"/>
      <c r="RET102" s="53"/>
      <c r="REU102" s="53"/>
      <c r="REV102" s="53"/>
      <c r="REW102" s="53"/>
      <c r="REX102" s="53"/>
      <c r="REY102" s="53"/>
      <c r="REZ102" s="53"/>
      <c r="RFA102" s="53"/>
      <c r="RFB102" s="53"/>
      <c r="RFC102" s="53"/>
      <c r="RFD102" s="53"/>
      <c r="RFE102" s="53"/>
      <c r="RFF102" s="53"/>
      <c r="RFG102" s="53"/>
      <c r="RFH102" s="53"/>
      <c r="RFI102" s="53"/>
      <c r="RFJ102" s="53"/>
      <c r="RFK102" s="53"/>
      <c r="RFL102" s="53"/>
      <c r="RFM102" s="53"/>
      <c r="RFN102" s="53"/>
      <c r="RFO102" s="53"/>
      <c r="RFP102" s="53"/>
      <c r="RFQ102" s="53"/>
      <c r="RFR102" s="53"/>
      <c r="RFS102" s="53"/>
      <c r="RFT102" s="53"/>
      <c r="RFU102" s="53"/>
      <c r="RFV102" s="53"/>
      <c r="RFW102" s="53"/>
      <c r="RFX102" s="53"/>
      <c r="RFY102" s="53"/>
      <c r="RFZ102" s="53"/>
      <c r="RGA102" s="53"/>
      <c r="RGB102" s="53"/>
      <c r="RGC102" s="53"/>
      <c r="RGD102" s="53"/>
      <c r="RGE102" s="53"/>
      <c r="RGF102" s="53"/>
      <c r="RGG102" s="53"/>
      <c r="RGH102" s="53"/>
      <c r="RGI102" s="53"/>
      <c r="RGJ102" s="53"/>
      <c r="RGK102" s="53"/>
      <c r="RGL102" s="53"/>
      <c r="RGM102" s="53"/>
      <c r="RGN102" s="53"/>
      <c r="RGO102" s="53"/>
      <c r="RGP102" s="53"/>
      <c r="RGQ102" s="53"/>
      <c r="RGR102" s="53"/>
      <c r="RGS102" s="53"/>
      <c r="RGT102" s="53"/>
      <c r="RGU102" s="53"/>
      <c r="RGV102" s="53"/>
      <c r="RGW102" s="53"/>
      <c r="RGX102" s="53"/>
      <c r="RGY102" s="53"/>
      <c r="RGZ102" s="53"/>
      <c r="RHA102" s="53"/>
      <c r="RHB102" s="53"/>
      <c r="RHC102" s="53"/>
      <c r="RHD102" s="53"/>
      <c r="RHE102" s="53"/>
      <c r="RHF102" s="53"/>
      <c r="RHG102" s="53"/>
      <c r="RHH102" s="53"/>
      <c r="RHI102" s="53"/>
      <c r="RHJ102" s="53"/>
      <c r="RHK102" s="53"/>
      <c r="RHL102" s="53"/>
      <c r="RHM102" s="53"/>
      <c r="RHN102" s="53"/>
      <c r="RHO102" s="53"/>
      <c r="RHP102" s="53"/>
      <c r="RHQ102" s="53"/>
      <c r="RHR102" s="53"/>
      <c r="RHS102" s="53"/>
      <c r="RHT102" s="53"/>
      <c r="RHU102" s="53"/>
      <c r="RHV102" s="53"/>
      <c r="RHW102" s="53"/>
      <c r="RHX102" s="53"/>
      <c r="RHY102" s="53"/>
      <c r="RHZ102" s="53"/>
      <c r="RIA102" s="53"/>
      <c r="RIB102" s="53"/>
      <c r="RIC102" s="53"/>
      <c r="RID102" s="53"/>
      <c r="RIE102" s="53"/>
      <c r="RIF102" s="53"/>
      <c r="RIG102" s="53"/>
      <c r="RIH102" s="53"/>
      <c r="RII102" s="53"/>
      <c r="RIJ102" s="53"/>
      <c r="RIK102" s="53"/>
      <c r="RIL102" s="53"/>
      <c r="RIM102" s="53"/>
      <c r="RIN102" s="53"/>
      <c r="RIO102" s="53"/>
      <c r="RIP102" s="53"/>
      <c r="RIQ102" s="53"/>
      <c r="RIR102" s="53"/>
      <c r="RIS102" s="53"/>
      <c r="RIT102" s="53"/>
      <c r="RIU102" s="53"/>
      <c r="RIV102" s="53"/>
      <c r="RIW102" s="53"/>
      <c r="RIX102" s="53"/>
      <c r="RIY102" s="53"/>
      <c r="RIZ102" s="53"/>
      <c r="RJA102" s="53"/>
      <c r="RJB102" s="53"/>
      <c r="RJC102" s="53"/>
      <c r="RJD102" s="53"/>
      <c r="RJE102" s="53"/>
      <c r="RJF102" s="53"/>
      <c r="RJG102" s="53"/>
      <c r="RJH102" s="53"/>
      <c r="RJI102" s="53"/>
      <c r="RJJ102" s="53"/>
      <c r="RJK102" s="53"/>
      <c r="RJL102" s="53"/>
      <c r="RJM102" s="53"/>
      <c r="RJN102" s="53"/>
      <c r="RJO102" s="53"/>
      <c r="RJP102" s="53"/>
      <c r="RJQ102" s="53"/>
      <c r="RJR102" s="53"/>
      <c r="RJS102" s="53"/>
      <c r="RJT102" s="53"/>
      <c r="RJU102" s="53"/>
      <c r="RJV102" s="53"/>
      <c r="RJW102" s="53"/>
      <c r="RJX102" s="53"/>
      <c r="RJY102" s="53"/>
      <c r="RJZ102" s="53"/>
      <c r="RKA102" s="53"/>
      <c r="RKB102" s="53"/>
      <c r="RKC102" s="53"/>
      <c r="RKD102" s="53"/>
      <c r="RKE102" s="53"/>
      <c r="RKF102" s="53"/>
      <c r="RKG102" s="53"/>
      <c r="RKH102" s="53"/>
      <c r="RKI102" s="53"/>
      <c r="RKJ102" s="53"/>
      <c r="RKK102" s="53"/>
      <c r="RKL102" s="53"/>
      <c r="RKM102" s="53"/>
      <c r="RKN102" s="53"/>
      <c r="RKO102" s="53"/>
      <c r="RKP102" s="53"/>
      <c r="RKQ102" s="53"/>
      <c r="RKR102" s="53"/>
      <c r="RKS102" s="53"/>
      <c r="RKT102" s="53"/>
      <c r="RKU102" s="53"/>
      <c r="RKV102" s="53"/>
      <c r="RKW102" s="53"/>
      <c r="RKX102" s="53"/>
      <c r="RKY102" s="53"/>
      <c r="RKZ102" s="53"/>
      <c r="RLA102" s="53"/>
      <c r="RLB102" s="53"/>
      <c r="RLC102" s="53"/>
      <c r="RLD102" s="53"/>
      <c r="RLE102" s="53"/>
      <c r="RLF102" s="53"/>
      <c r="RLG102" s="53"/>
      <c r="RLH102" s="53"/>
      <c r="RLI102" s="53"/>
      <c r="RLJ102" s="53"/>
      <c r="RLK102" s="53"/>
      <c r="RLL102" s="53"/>
      <c r="RLM102" s="53"/>
      <c r="RLN102" s="53"/>
      <c r="RLO102" s="53"/>
      <c r="RLP102" s="53"/>
      <c r="RLQ102" s="53"/>
      <c r="RLR102" s="53"/>
      <c r="RLS102" s="53"/>
      <c r="RLT102" s="53"/>
      <c r="RLU102" s="53"/>
      <c r="RLV102" s="53"/>
      <c r="RLW102" s="53"/>
      <c r="RLX102" s="53"/>
      <c r="RLY102" s="53"/>
      <c r="RLZ102" s="53"/>
      <c r="RMA102" s="53"/>
      <c r="RMB102" s="53"/>
      <c r="RMC102" s="53"/>
      <c r="RMD102" s="53"/>
      <c r="RME102" s="53"/>
      <c r="RMF102" s="53"/>
      <c r="RMG102" s="53"/>
      <c r="RMH102" s="53"/>
      <c r="RMI102" s="53"/>
      <c r="RMJ102" s="53"/>
      <c r="RMK102" s="53"/>
      <c r="RML102" s="53"/>
      <c r="RMM102" s="53"/>
      <c r="RMN102" s="53"/>
      <c r="RMO102" s="53"/>
      <c r="RMP102" s="53"/>
      <c r="RMQ102" s="53"/>
      <c r="RMR102" s="53"/>
      <c r="RMS102" s="53"/>
      <c r="RMT102" s="53"/>
      <c r="RMU102" s="53"/>
      <c r="RMV102" s="53"/>
      <c r="RMW102" s="53"/>
      <c r="RMX102" s="53"/>
      <c r="RMY102" s="53"/>
      <c r="RMZ102" s="53"/>
      <c r="RNA102" s="53"/>
      <c r="RNB102" s="53"/>
      <c r="RNC102" s="53"/>
      <c r="RND102" s="53"/>
      <c r="RNE102" s="53"/>
      <c r="RNF102" s="53"/>
      <c r="RNG102" s="53"/>
      <c r="RNH102" s="53"/>
      <c r="RNI102" s="53"/>
      <c r="RNJ102" s="53"/>
      <c r="RNK102" s="53"/>
      <c r="RNL102" s="53"/>
      <c r="RNM102" s="53"/>
      <c r="RNN102" s="53"/>
      <c r="RNO102" s="53"/>
      <c r="RNP102" s="53"/>
      <c r="RNQ102" s="53"/>
      <c r="RNR102" s="53"/>
      <c r="RNS102" s="53"/>
      <c r="RNT102" s="53"/>
      <c r="RNU102" s="53"/>
      <c r="RNV102" s="53"/>
      <c r="RNW102" s="53"/>
      <c r="RNX102" s="53"/>
      <c r="RNY102" s="53"/>
      <c r="RNZ102" s="53"/>
      <c r="ROA102" s="53"/>
      <c r="ROB102" s="53"/>
      <c r="ROC102" s="53"/>
      <c r="ROD102" s="53"/>
      <c r="ROE102" s="53"/>
      <c r="ROF102" s="53"/>
      <c r="ROG102" s="53"/>
      <c r="ROH102" s="53"/>
      <c r="ROI102" s="53"/>
      <c r="ROJ102" s="53"/>
      <c r="ROK102" s="53"/>
      <c r="ROL102" s="53"/>
      <c r="ROM102" s="53"/>
      <c r="RON102" s="53"/>
      <c r="ROO102" s="53"/>
      <c r="ROP102" s="53"/>
      <c r="ROQ102" s="53"/>
      <c r="ROR102" s="53"/>
      <c r="ROS102" s="53"/>
      <c r="ROT102" s="53"/>
      <c r="ROU102" s="53"/>
      <c r="ROV102" s="53"/>
      <c r="ROW102" s="53"/>
      <c r="ROX102" s="53"/>
      <c r="ROY102" s="53"/>
      <c r="ROZ102" s="53"/>
      <c r="RPA102" s="53"/>
      <c r="RPB102" s="53"/>
      <c r="RPC102" s="53"/>
      <c r="RPD102" s="53"/>
      <c r="RPE102" s="53"/>
      <c r="RPF102" s="53"/>
      <c r="RPG102" s="53"/>
      <c r="RPH102" s="53"/>
      <c r="RPI102" s="53"/>
      <c r="RPJ102" s="53"/>
      <c r="RPK102" s="53"/>
      <c r="RPL102" s="53"/>
      <c r="RPM102" s="53"/>
      <c r="RPN102" s="53"/>
      <c r="RPO102" s="53"/>
      <c r="RPP102" s="53"/>
      <c r="RPQ102" s="53"/>
      <c r="RPR102" s="53"/>
      <c r="RPS102" s="53"/>
      <c r="RPT102" s="53"/>
      <c r="RPU102" s="53"/>
      <c r="RPV102" s="53"/>
      <c r="RPW102" s="53"/>
      <c r="RPX102" s="53"/>
      <c r="RPY102" s="53"/>
      <c r="RPZ102" s="53"/>
      <c r="RQA102" s="53"/>
      <c r="RQB102" s="53"/>
      <c r="RQC102" s="53"/>
      <c r="RQD102" s="53"/>
      <c r="RQE102" s="53"/>
      <c r="RQF102" s="53"/>
      <c r="RQG102" s="53"/>
      <c r="RQH102" s="53"/>
      <c r="RQI102" s="53"/>
      <c r="RQJ102" s="53"/>
      <c r="RQK102" s="53"/>
      <c r="RQL102" s="53"/>
      <c r="RQM102" s="53"/>
      <c r="RQN102" s="53"/>
      <c r="RQO102" s="53"/>
      <c r="RQP102" s="53"/>
      <c r="RQQ102" s="53"/>
      <c r="RQR102" s="53"/>
      <c r="RQS102" s="53"/>
      <c r="RQT102" s="53"/>
      <c r="RQU102" s="53"/>
      <c r="RQV102" s="53"/>
      <c r="RQW102" s="53"/>
      <c r="RQX102" s="53"/>
      <c r="RQY102" s="53"/>
      <c r="RQZ102" s="53"/>
      <c r="RRA102" s="53"/>
      <c r="RRB102" s="53"/>
      <c r="RRC102" s="53"/>
      <c r="RRD102" s="53"/>
      <c r="RRE102" s="53"/>
      <c r="RRF102" s="53"/>
      <c r="RRG102" s="53"/>
      <c r="RRH102" s="53"/>
      <c r="RRI102" s="53"/>
      <c r="RRJ102" s="53"/>
      <c r="RRK102" s="53"/>
      <c r="RRL102" s="53"/>
      <c r="RRM102" s="53"/>
      <c r="RRN102" s="53"/>
      <c r="RRO102" s="53"/>
      <c r="RRP102" s="53"/>
      <c r="RRQ102" s="53"/>
      <c r="RRR102" s="53"/>
      <c r="RRS102" s="53"/>
      <c r="RRT102" s="53"/>
      <c r="RRU102" s="53"/>
      <c r="RRV102" s="53"/>
      <c r="RRW102" s="53"/>
      <c r="RRX102" s="53"/>
      <c r="RRY102" s="53"/>
      <c r="RRZ102" s="53"/>
      <c r="RSA102" s="53"/>
      <c r="RSB102" s="53"/>
      <c r="RSC102" s="53"/>
      <c r="RSD102" s="53"/>
      <c r="RSE102" s="53"/>
      <c r="RSF102" s="53"/>
      <c r="RSG102" s="53"/>
      <c r="RSH102" s="53"/>
      <c r="RSI102" s="53"/>
      <c r="RSJ102" s="53"/>
      <c r="RSK102" s="53"/>
      <c r="RSL102" s="53"/>
      <c r="RSM102" s="53"/>
      <c r="RSN102" s="53"/>
      <c r="RSO102" s="53"/>
      <c r="RSP102" s="53"/>
      <c r="RSQ102" s="53"/>
      <c r="RSR102" s="53"/>
      <c r="RSS102" s="53"/>
      <c r="RST102" s="53"/>
      <c r="RSU102" s="53"/>
      <c r="RSV102" s="53"/>
      <c r="RSW102" s="53"/>
      <c r="RSX102" s="53"/>
      <c r="RSY102" s="53"/>
      <c r="RSZ102" s="53"/>
      <c r="RTA102" s="53"/>
      <c r="RTB102" s="53"/>
      <c r="RTC102" s="53"/>
      <c r="RTD102" s="53"/>
      <c r="RTE102" s="53"/>
      <c r="RTF102" s="53"/>
      <c r="RTG102" s="53"/>
      <c r="RTH102" s="53"/>
      <c r="RTI102" s="53"/>
      <c r="RTJ102" s="53"/>
      <c r="RTK102" s="53"/>
      <c r="RTL102" s="53"/>
      <c r="RTM102" s="53"/>
      <c r="RTN102" s="53"/>
      <c r="RTO102" s="53"/>
      <c r="RTP102" s="53"/>
      <c r="RTQ102" s="53"/>
      <c r="RTR102" s="53"/>
      <c r="RTS102" s="53"/>
      <c r="RTT102" s="53"/>
      <c r="RTU102" s="53"/>
      <c r="RTV102" s="53"/>
      <c r="RTW102" s="53"/>
      <c r="RTX102" s="53"/>
      <c r="RTY102" s="53"/>
      <c r="RTZ102" s="53"/>
      <c r="RUA102" s="53"/>
      <c r="RUB102" s="53"/>
      <c r="RUC102" s="53"/>
      <c r="RUD102" s="53"/>
      <c r="RUE102" s="53"/>
      <c r="RUF102" s="53"/>
      <c r="RUG102" s="53"/>
      <c r="RUH102" s="53"/>
      <c r="RUI102" s="53"/>
      <c r="RUJ102" s="53"/>
      <c r="RUK102" s="53"/>
      <c r="RUL102" s="53"/>
      <c r="RUM102" s="53"/>
      <c r="RUN102" s="53"/>
      <c r="RUO102" s="53"/>
      <c r="RUP102" s="53"/>
      <c r="RUQ102" s="53"/>
      <c r="RUR102" s="53"/>
      <c r="RUS102" s="53"/>
      <c r="RUT102" s="53"/>
      <c r="RUU102" s="53"/>
      <c r="RUV102" s="53"/>
      <c r="RUW102" s="53"/>
      <c r="RUX102" s="53"/>
      <c r="RUY102" s="53"/>
      <c r="RUZ102" s="53"/>
      <c r="RVA102" s="53"/>
      <c r="RVB102" s="53"/>
      <c r="RVC102" s="53"/>
      <c r="RVD102" s="53"/>
      <c r="RVE102" s="53"/>
      <c r="RVF102" s="53"/>
      <c r="RVG102" s="53"/>
      <c r="RVH102" s="53"/>
      <c r="RVI102" s="53"/>
      <c r="RVJ102" s="53"/>
      <c r="RVK102" s="53"/>
      <c r="RVL102" s="53"/>
      <c r="RVM102" s="53"/>
      <c r="RVN102" s="53"/>
      <c r="RVO102" s="53"/>
      <c r="RVP102" s="53"/>
      <c r="RVQ102" s="53"/>
      <c r="RVR102" s="53"/>
      <c r="RVS102" s="53"/>
      <c r="RVT102" s="53"/>
      <c r="RVU102" s="53"/>
      <c r="RVV102" s="53"/>
      <c r="RVW102" s="53"/>
      <c r="RVX102" s="53"/>
      <c r="RVY102" s="53"/>
      <c r="RVZ102" s="53"/>
      <c r="RWA102" s="53"/>
      <c r="RWB102" s="53"/>
      <c r="RWC102" s="53"/>
      <c r="RWD102" s="53"/>
      <c r="RWE102" s="53"/>
      <c r="RWF102" s="53"/>
      <c r="RWG102" s="53"/>
      <c r="RWH102" s="53"/>
      <c r="RWI102" s="53"/>
      <c r="RWJ102" s="53"/>
      <c r="RWK102" s="53"/>
      <c r="RWL102" s="53"/>
      <c r="RWM102" s="53"/>
      <c r="RWN102" s="53"/>
      <c r="RWO102" s="53"/>
      <c r="RWP102" s="53"/>
      <c r="RWQ102" s="53"/>
      <c r="RWR102" s="53"/>
      <c r="RWS102" s="53"/>
      <c r="RWT102" s="53"/>
      <c r="RWU102" s="53"/>
      <c r="RWV102" s="53"/>
      <c r="RWW102" s="53"/>
      <c r="RWX102" s="53"/>
      <c r="RWY102" s="53"/>
      <c r="RWZ102" s="53"/>
      <c r="RXA102" s="53"/>
      <c r="RXB102" s="53"/>
      <c r="RXC102" s="53"/>
      <c r="RXD102" s="53"/>
      <c r="RXE102" s="53"/>
      <c r="RXF102" s="53"/>
      <c r="RXG102" s="53"/>
      <c r="RXH102" s="53"/>
      <c r="RXI102" s="53"/>
      <c r="RXJ102" s="53"/>
      <c r="RXK102" s="53"/>
      <c r="RXL102" s="53"/>
      <c r="RXM102" s="53"/>
      <c r="RXN102" s="53"/>
      <c r="RXO102" s="53"/>
      <c r="RXP102" s="53"/>
      <c r="RXQ102" s="53"/>
      <c r="RXR102" s="53"/>
      <c r="RXS102" s="53"/>
      <c r="RXT102" s="53"/>
      <c r="RXU102" s="53"/>
      <c r="RXV102" s="53"/>
      <c r="RXW102" s="53"/>
      <c r="RXX102" s="53"/>
      <c r="RXY102" s="53"/>
      <c r="RXZ102" s="53"/>
      <c r="RYA102" s="53"/>
      <c r="RYB102" s="53"/>
      <c r="RYC102" s="53"/>
      <c r="RYD102" s="53"/>
      <c r="RYE102" s="53"/>
      <c r="RYF102" s="53"/>
      <c r="RYG102" s="53"/>
      <c r="RYH102" s="53"/>
      <c r="RYI102" s="53"/>
      <c r="RYJ102" s="53"/>
      <c r="RYK102" s="53"/>
      <c r="RYL102" s="53"/>
      <c r="RYM102" s="53"/>
      <c r="RYN102" s="53"/>
      <c r="RYO102" s="53"/>
      <c r="RYP102" s="53"/>
      <c r="RYQ102" s="53"/>
      <c r="RYR102" s="53"/>
      <c r="RYS102" s="53"/>
      <c r="RYT102" s="53"/>
      <c r="RYU102" s="53"/>
      <c r="RYV102" s="53"/>
      <c r="RYW102" s="53"/>
      <c r="RYX102" s="53"/>
      <c r="RYY102" s="53"/>
      <c r="RYZ102" s="53"/>
      <c r="RZA102" s="53"/>
      <c r="RZB102" s="53"/>
      <c r="RZC102" s="53"/>
      <c r="RZD102" s="53"/>
      <c r="RZE102" s="53"/>
      <c r="RZF102" s="53"/>
      <c r="RZG102" s="53"/>
      <c r="RZH102" s="53"/>
      <c r="RZI102" s="53"/>
      <c r="RZJ102" s="53"/>
      <c r="RZK102" s="53"/>
      <c r="RZL102" s="53"/>
      <c r="RZM102" s="53"/>
      <c r="RZN102" s="53"/>
      <c r="RZO102" s="53"/>
      <c r="RZP102" s="53"/>
      <c r="RZQ102" s="53"/>
      <c r="RZR102" s="53"/>
      <c r="RZS102" s="53"/>
      <c r="RZT102" s="53"/>
      <c r="RZU102" s="53"/>
      <c r="RZV102" s="53"/>
      <c r="RZW102" s="53"/>
      <c r="RZX102" s="53"/>
      <c r="RZY102" s="53"/>
      <c r="RZZ102" s="53"/>
      <c r="SAA102" s="53"/>
      <c r="SAB102" s="53"/>
      <c r="SAC102" s="53"/>
      <c r="SAD102" s="53"/>
      <c r="SAE102" s="53"/>
      <c r="SAF102" s="53"/>
      <c r="SAG102" s="53"/>
      <c r="SAH102" s="53"/>
      <c r="SAI102" s="53"/>
      <c r="SAJ102" s="53"/>
      <c r="SAK102" s="53"/>
      <c r="SAL102" s="53"/>
      <c r="SAM102" s="53"/>
      <c r="SAN102" s="53"/>
      <c r="SAO102" s="53"/>
      <c r="SAP102" s="53"/>
      <c r="SAQ102" s="53"/>
      <c r="SAR102" s="53"/>
      <c r="SAS102" s="53"/>
      <c r="SAT102" s="53"/>
      <c r="SAU102" s="53"/>
      <c r="SAV102" s="53"/>
      <c r="SAW102" s="53"/>
      <c r="SAX102" s="53"/>
      <c r="SAY102" s="53"/>
      <c r="SAZ102" s="53"/>
      <c r="SBA102" s="53"/>
      <c r="SBB102" s="53"/>
      <c r="SBC102" s="53"/>
      <c r="SBD102" s="53"/>
      <c r="SBE102" s="53"/>
      <c r="SBF102" s="53"/>
      <c r="SBG102" s="53"/>
      <c r="SBH102" s="53"/>
      <c r="SBI102" s="53"/>
      <c r="SBJ102" s="53"/>
      <c r="SBK102" s="53"/>
      <c r="SBL102" s="53"/>
      <c r="SBM102" s="53"/>
      <c r="SBN102" s="53"/>
      <c r="SBO102" s="53"/>
      <c r="SBP102" s="53"/>
      <c r="SBQ102" s="53"/>
      <c r="SBR102" s="53"/>
      <c r="SBS102" s="53"/>
      <c r="SBT102" s="53"/>
      <c r="SBU102" s="53"/>
      <c r="SBV102" s="53"/>
      <c r="SBW102" s="53"/>
      <c r="SBX102" s="53"/>
      <c r="SBY102" s="53"/>
      <c r="SBZ102" s="53"/>
      <c r="SCA102" s="53"/>
      <c r="SCB102" s="53"/>
      <c r="SCC102" s="53"/>
      <c r="SCD102" s="53"/>
      <c r="SCE102" s="53"/>
      <c r="SCF102" s="53"/>
      <c r="SCG102" s="53"/>
      <c r="SCH102" s="53"/>
      <c r="SCI102" s="53"/>
      <c r="SCJ102" s="53"/>
      <c r="SCK102" s="53"/>
      <c r="SCL102" s="53"/>
      <c r="SCM102" s="53"/>
      <c r="SCN102" s="53"/>
      <c r="SCO102" s="53"/>
      <c r="SCP102" s="53"/>
      <c r="SCQ102" s="53"/>
      <c r="SCR102" s="53"/>
      <c r="SCS102" s="53"/>
      <c r="SCT102" s="53"/>
      <c r="SCU102" s="53"/>
      <c r="SCV102" s="53"/>
      <c r="SCW102" s="53"/>
      <c r="SCX102" s="53"/>
      <c r="SCY102" s="53"/>
      <c r="SCZ102" s="53"/>
      <c r="SDA102" s="53"/>
      <c r="SDB102" s="53"/>
      <c r="SDC102" s="53"/>
      <c r="SDD102" s="53"/>
      <c r="SDE102" s="53"/>
      <c r="SDF102" s="53"/>
      <c r="SDG102" s="53"/>
      <c r="SDH102" s="53"/>
      <c r="SDI102" s="53"/>
      <c r="SDJ102" s="53"/>
      <c r="SDK102" s="53"/>
      <c r="SDL102" s="53"/>
      <c r="SDM102" s="53"/>
      <c r="SDN102" s="53"/>
      <c r="SDO102" s="53"/>
      <c r="SDP102" s="53"/>
      <c r="SDQ102" s="53"/>
      <c r="SDR102" s="53"/>
      <c r="SDS102" s="53"/>
      <c r="SDT102" s="53"/>
      <c r="SDU102" s="53"/>
      <c r="SDV102" s="53"/>
      <c r="SDW102" s="53"/>
      <c r="SDX102" s="53"/>
      <c r="SDY102" s="53"/>
      <c r="SDZ102" s="53"/>
      <c r="SEA102" s="53"/>
      <c r="SEB102" s="53"/>
      <c r="SEC102" s="53"/>
      <c r="SED102" s="53"/>
      <c r="SEE102" s="53"/>
      <c r="SEF102" s="53"/>
      <c r="SEG102" s="53"/>
      <c r="SEH102" s="53"/>
      <c r="SEI102" s="53"/>
      <c r="SEJ102" s="53"/>
      <c r="SEK102" s="53"/>
      <c r="SEL102" s="53"/>
      <c r="SEM102" s="53"/>
      <c r="SEN102" s="53"/>
      <c r="SEO102" s="53"/>
      <c r="SEP102" s="53"/>
      <c r="SEQ102" s="53"/>
      <c r="SER102" s="53"/>
      <c r="SES102" s="53"/>
      <c r="SET102" s="53"/>
      <c r="SEU102" s="53"/>
      <c r="SEV102" s="53"/>
      <c r="SEW102" s="53"/>
      <c r="SEX102" s="53"/>
      <c r="SEY102" s="53"/>
      <c r="SEZ102" s="53"/>
      <c r="SFA102" s="53"/>
      <c r="SFB102" s="53"/>
      <c r="SFC102" s="53"/>
      <c r="SFD102" s="53"/>
      <c r="SFE102" s="53"/>
      <c r="SFF102" s="53"/>
      <c r="SFG102" s="53"/>
      <c r="SFH102" s="53"/>
      <c r="SFI102" s="53"/>
      <c r="SFJ102" s="53"/>
      <c r="SFK102" s="53"/>
      <c r="SFL102" s="53"/>
      <c r="SFM102" s="53"/>
      <c r="SFN102" s="53"/>
      <c r="SFO102" s="53"/>
      <c r="SFP102" s="53"/>
      <c r="SFQ102" s="53"/>
      <c r="SFR102" s="53"/>
      <c r="SFS102" s="53"/>
      <c r="SFT102" s="53"/>
      <c r="SFU102" s="53"/>
      <c r="SFV102" s="53"/>
      <c r="SFW102" s="53"/>
      <c r="SFX102" s="53"/>
      <c r="SFY102" s="53"/>
      <c r="SFZ102" s="53"/>
      <c r="SGA102" s="53"/>
      <c r="SGB102" s="53"/>
      <c r="SGC102" s="53"/>
      <c r="SGD102" s="53"/>
      <c r="SGE102" s="53"/>
      <c r="SGF102" s="53"/>
      <c r="SGG102" s="53"/>
      <c r="SGH102" s="53"/>
      <c r="SGI102" s="53"/>
      <c r="SGJ102" s="53"/>
      <c r="SGK102" s="53"/>
      <c r="SGL102" s="53"/>
      <c r="SGM102" s="53"/>
      <c r="SGN102" s="53"/>
      <c r="SGO102" s="53"/>
      <c r="SGP102" s="53"/>
      <c r="SGQ102" s="53"/>
      <c r="SGR102" s="53"/>
      <c r="SGS102" s="53"/>
      <c r="SGT102" s="53"/>
      <c r="SGU102" s="53"/>
      <c r="SGV102" s="53"/>
      <c r="SGW102" s="53"/>
      <c r="SGX102" s="53"/>
      <c r="SGY102" s="53"/>
      <c r="SGZ102" s="53"/>
      <c r="SHA102" s="53"/>
      <c r="SHB102" s="53"/>
      <c r="SHC102" s="53"/>
      <c r="SHD102" s="53"/>
      <c r="SHE102" s="53"/>
      <c r="SHF102" s="53"/>
      <c r="SHG102" s="53"/>
      <c r="SHH102" s="53"/>
      <c r="SHI102" s="53"/>
      <c r="SHJ102" s="53"/>
      <c r="SHK102" s="53"/>
      <c r="SHL102" s="53"/>
      <c r="SHM102" s="53"/>
      <c r="SHN102" s="53"/>
      <c r="SHO102" s="53"/>
      <c r="SHP102" s="53"/>
      <c r="SHQ102" s="53"/>
      <c r="SHR102" s="53"/>
      <c r="SHS102" s="53"/>
      <c r="SHT102" s="53"/>
      <c r="SHU102" s="53"/>
      <c r="SHV102" s="53"/>
      <c r="SHW102" s="53"/>
      <c r="SHX102" s="53"/>
      <c r="SHY102" s="53"/>
      <c r="SHZ102" s="53"/>
      <c r="SIA102" s="53"/>
      <c r="SIB102" s="53"/>
      <c r="SIC102" s="53"/>
      <c r="SID102" s="53"/>
      <c r="SIE102" s="53"/>
      <c r="SIF102" s="53"/>
      <c r="SIG102" s="53"/>
      <c r="SIH102" s="53"/>
      <c r="SII102" s="53"/>
      <c r="SIJ102" s="53"/>
      <c r="SIK102" s="53"/>
      <c r="SIL102" s="53"/>
      <c r="SIM102" s="53"/>
      <c r="SIN102" s="53"/>
      <c r="SIO102" s="53"/>
      <c r="SIP102" s="53"/>
      <c r="SIQ102" s="53"/>
      <c r="SIR102" s="53"/>
      <c r="SIS102" s="53"/>
      <c r="SIT102" s="53"/>
      <c r="SIU102" s="53"/>
      <c r="SIV102" s="53"/>
      <c r="SIW102" s="53"/>
      <c r="SIX102" s="53"/>
      <c r="SIY102" s="53"/>
      <c r="SIZ102" s="53"/>
      <c r="SJA102" s="53"/>
      <c r="SJB102" s="53"/>
      <c r="SJC102" s="53"/>
      <c r="SJD102" s="53"/>
      <c r="SJE102" s="53"/>
      <c r="SJF102" s="53"/>
      <c r="SJG102" s="53"/>
      <c r="SJH102" s="53"/>
      <c r="SJI102" s="53"/>
      <c r="SJJ102" s="53"/>
      <c r="SJK102" s="53"/>
      <c r="SJL102" s="53"/>
      <c r="SJM102" s="53"/>
      <c r="SJN102" s="53"/>
      <c r="SJO102" s="53"/>
      <c r="SJP102" s="53"/>
      <c r="SJQ102" s="53"/>
      <c r="SJR102" s="53"/>
      <c r="SJS102" s="53"/>
      <c r="SJT102" s="53"/>
      <c r="SJU102" s="53"/>
      <c r="SJV102" s="53"/>
      <c r="SJW102" s="53"/>
      <c r="SJX102" s="53"/>
      <c r="SJY102" s="53"/>
      <c r="SJZ102" s="53"/>
      <c r="SKA102" s="53"/>
      <c r="SKB102" s="53"/>
      <c r="SKC102" s="53"/>
      <c r="SKD102" s="53"/>
      <c r="SKE102" s="53"/>
      <c r="SKF102" s="53"/>
      <c r="SKG102" s="53"/>
      <c r="SKH102" s="53"/>
      <c r="SKI102" s="53"/>
      <c r="SKJ102" s="53"/>
      <c r="SKK102" s="53"/>
      <c r="SKL102" s="53"/>
      <c r="SKM102" s="53"/>
      <c r="SKN102" s="53"/>
      <c r="SKO102" s="53"/>
      <c r="SKP102" s="53"/>
      <c r="SKQ102" s="53"/>
      <c r="SKR102" s="53"/>
      <c r="SKS102" s="53"/>
      <c r="SKT102" s="53"/>
      <c r="SKU102" s="53"/>
      <c r="SKV102" s="53"/>
      <c r="SKW102" s="53"/>
      <c r="SKX102" s="53"/>
      <c r="SKY102" s="53"/>
      <c r="SKZ102" s="53"/>
      <c r="SLA102" s="53"/>
      <c r="SLB102" s="53"/>
      <c r="SLC102" s="53"/>
      <c r="SLD102" s="53"/>
      <c r="SLE102" s="53"/>
      <c r="SLF102" s="53"/>
      <c r="SLG102" s="53"/>
      <c r="SLH102" s="53"/>
      <c r="SLI102" s="53"/>
      <c r="SLJ102" s="53"/>
      <c r="SLK102" s="53"/>
      <c r="SLL102" s="53"/>
      <c r="SLM102" s="53"/>
      <c r="SLN102" s="53"/>
      <c r="SLO102" s="53"/>
      <c r="SLP102" s="53"/>
      <c r="SLQ102" s="53"/>
      <c r="SLR102" s="53"/>
      <c r="SLS102" s="53"/>
      <c r="SLT102" s="53"/>
      <c r="SLU102" s="53"/>
      <c r="SLV102" s="53"/>
      <c r="SLW102" s="53"/>
      <c r="SLX102" s="53"/>
      <c r="SLY102" s="53"/>
      <c r="SLZ102" s="53"/>
      <c r="SMA102" s="53"/>
      <c r="SMB102" s="53"/>
      <c r="SMC102" s="53"/>
      <c r="SMD102" s="53"/>
      <c r="SME102" s="53"/>
      <c r="SMF102" s="53"/>
      <c r="SMG102" s="53"/>
      <c r="SMH102" s="53"/>
      <c r="SMI102" s="53"/>
      <c r="SMJ102" s="53"/>
      <c r="SMK102" s="53"/>
      <c r="SML102" s="53"/>
      <c r="SMM102" s="53"/>
      <c r="SMN102" s="53"/>
      <c r="SMO102" s="53"/>
      <c r="SMP102" s="53"/>
      <c r="SMQ102" s="53"/>
      <c r="SMR102" s="53"/>
      <c r="SMS102" s="53"/>
      <c r="SMT102" s="53"/>
      <c r="SMU102" s="53"/>
      <c r="SMV102" s="53"/>
      <c r="SMW102" s="53"/>
      <c r="SMX102" s="53"/>
      <c r="SMY102" s="53"/>
      <c r="SMZ102" s="53"/>
      <c r="SNA102" s="53"/>
      <c r="SNB102" s="53"/>
      <c r="SNC102" s="53"/>
      <c r="SND102" s="53"/>
      <c r="SNE102" s="53"/>
      <c r="SNF102" s="53"/>
      <c r="SNG102" s="53"/>
      <c r="SNH102" s="53"/>
      <c r="SNI102" s="53"/>
      <c r="SNJ102" s="53"/>
      <c r="SNK102" s="53"/>
      <c r="SNL102" s="53"/>
      <c r="SNM102" s="53"/>
      <c r="SNN102" s="53"/>
      <c r="SNO102" s="53"/>
      <c r="SNP102" s="53"/>
      <c r="SNQ102" s="53"/>
      <c r="SNR102" s="53"/>
      <c r="SNS102" s="53"/>
      <c r="SNT102" s="53"/>
      <c r="SNU102" s="53"/>
      <c r="SNV102" s="53"/>
      <c r="SNW102" s="53"/>
      <c r="SNX102" s="53"/>
      <c r="SNY102" s="53"/>
      <c r="SNZ102" s="53"/>
      <c r="SOA102" s="53"/>
      <c r="SOB102" s="53"/>
      <c r="SOC102" s="53"/>
      <c r="SOD102" s="53"/>
      <c r="SOE102" s="53"/>
      <c r="SOF102" s="53"/>
      <c r="SOG102" s="53"/>
      <c r="SOH102" s="53"/>
      <c r="SOI102" s="53"/>
      <c r="SOJ102" s="53"/>
      <c r="SOK102" s="53"/>
      <c r="SOL102" s="53"/>
      <c r="SOM102" s="53"/>
      <c r="SON102" s="53"/>
      <c r="SOO102" s="53"/>
      <c r="SOP102" s="53"/>
      <c r="SOQ102" s="53"/>
      <c r="SOR102" s="53"/>
      <c r="SOS102" s="53"/>
      <c r="SOT102" s="53"/>
      <c r="SOU102" s="53"/>
      <c r="SOV102" s="53"/>
      <c r="SOW102" s="53"/>
      <c r="SOX102" s="53"/>
      <c r="SOY102" s="53"/>
      <c r="SOZ102" s="53"/>
      <c r="SPA102" s="53"/>
      <c r="SPB102" s="53"/>
      <c r="SPC102" s="53"/>
      <c r="SPD102" s="53"/>
      <c r="SPE102" s="53"/>
      <c r="SPF102" s="53"/>
      <c r="SPG102" s="53"/>
      <c r="SPH102" s="53"/>
      <c r="SPI102" s="53"/>
      <c r="SPJ102" s="53"/>
      <c r="SPK102" s="53"/>
      <c r="SPL102" s="53"/>
      <c r="SPM102" s="53"/>
      <c r="SPN102" s="53"/>
      <c r="SPO102" s="53"/>
      <c r="SPP102" s="53"/>
      <c r="SPQ102" s="53"/>
      <c r="SPR102" s="53"/>
      <c r="SPS102" s="53"/>
      <c r="SPT102" s="53"/>
      <c r="SPU102" s="53"/>
      <c r="SPV102" s="53"/>
      <c r="SPW102" s="53"/>
      <c r="SPX102" s="53"/>
      <c r="SPY102" s="53"/>
      <c r="SPZ102" s="53"/>
      <c r="SQA102" s="53"/>
      <c r="SQB102" s="53"/>
      <c r="SQC102" s="53"/>
      <c r="SQD102" s="53"/>
      <c r="SQE102" s="53"/>
      <c r="SQF102" s="53"/>
      <c r="SQG102" s="53"/>
      <c r="SQH102" s="53"/>
      <c r="SQI102" s="53"/>
      <c r="SQJ102" s="53"/>
      <c r="SQK102" s="53"/>
      <c r="SQL102" s="53"/>
      <c r="SQM102" s="53"/>
      <c r="SQN102" s="53"/>
      <c r="SQO102" s="53"/>
      <c r="SQP102" s="53"/>
      <c r="SQQ102" s="53"/>
      <c r="SQR102" s="53"/>
      <c r="SQS102" s="53"/>
      <c r="SQT102" s="53"/>
      <c r="SQU102" s="53"/>
      <c r="SQV102" s="53"/>
      <c r="SQW102" s="53"/>
      <c r="SQX102" s="53"/>
      <c r="SQY102" s="53"/>
      <c r="SQZ102" s="53"/>
      <c r="SRA102" s="53"/>
      <c r="SRB102" s="53"/>
      <c r="SRC102" s="53"/>
      <c r="SRD102" s="53"/>
      <c r="SRE102" s="53"/>
      <c r="SRF102" s="53"/>
      <c r="SRG102" s="53"/>
      <c r="SRH102" s="53"/>
      <c r="SRI102" s="53"/>
      <c r="SRJ102" s="53"/>
      <c r="SRK102" s="53"/>
      <c r="SRL102" s="53"/>
      <c r="SRM102" s="53"/>
      <c r="SRN102" s="53"/>
      <c r="SRO102" s="53"/>
      <c r="SRP102" s="53"/>
      <c r="SRQ102" s="53"/>
      <c r="SRR102" s="53"/>
      <c r="SRS102" s="53"/>
      <c r="SRT102" s="53"/>
      <c r="SRU102" s="53"/>
      <c r="SRV102" s="53"/>
      <c r="SRW102" s="53"/>
      <c r="SRX102" s="53"/>
      <c r="SRY102" s="53"/>
      <c r="SRZ102" s="53"/>
      <c r="SSA102" s="53"/>
      <c r="SSB102" s="53"/>
      <c r="SSC102" s="53"/>
      <c r="SSD102" s="53"/>
      <c r="SSE102" s="53"/>
      <c r="SSF102" s="53"/>
      <c r="SSG102" s="53"/>
      <c r="SSH102" s="53"/>
      <c r="SSI102" s="53"/>
      <c r="SSJ102" s="53"/>
      <c r="SSK102" s="53"/>
      <c r="SSL102" s="53"/>
      <c r="SSM102" s="53"/>
      <c r="SSN102" s="53"/>
      <c r="SSO102" s="53"/>
      <c r="SSP102" s="53"/>
      <c r="SSQ102" s="53"/>
      <c r="SSR102" s="53"/>
      <c r="SSS102" s="53"/>
      <c r="SST102" s="53"/>
      <c r="SSU102" s="53"/>
      <c r="SSV102" s="53"/>
      <c r="SSW102" s="53"/>
      <c r="SSX102" s="53"/>
      <c r="SSY102" s="53"/>
      <c r="SSZ102" s="53"/>
      <c r="STA102" s="53"/>
      <c r="STB102" s="53"/>
      <c r="STC102" s="53"/>
      <c r="STD102" s="53"/>
      <c r="STE102" s="53"/>
      <c r="STF102" s="53"/>
      <c r="STG102" s="53"/>
      <c r="STH102" s="53"/>
      <c r="STI102" s="53"/>
      <c r="STJ102" s="53"/>
      <c r="STK102" s="53"/>
      <c r="STL102" s="53"/>
      <c r="STM102" s="53"/>
      <c r="STN102" s="53"/>
      <c r="STO102" s="53"/>
      <c r="STP102" s="53"/>
      <c r="STQ102" s="53"/>
      <c r="STR102" s="53"/>
      <c r="STS102" s="53"/>
      <c r="STT102" s="53"/>
      <c r="STU102" s="53"/>
      <c r="STV102" s="53"/>
      <c r="STW102" s="53"/>
      <c r="STX102" s="53"/>
      <c r="STY102" s="53"/>
      <c r="STZ102" s="53"/>
      <c r="SUA102" s="53"/>
      <c r="SUB102" s="53"/>
      <c r="SUC102" s="53"/>
      <c r="SUD102" s="53"/>
      <c r="SUE102" s="53"/>
      <c r="SUF102" s="53"/>
      <c r="SUG102" s="53"/>
      <c r="SUH102" s="53"/>
      <c r="SUI102" s="53"/>
      <c r="SUJ102" s="53"/>
      <c r="SUK102" s="53"/>
      <c r="SUL102" s="53"/>
      <c r="SUM102" s="53"/>
      <c r="SUN102" s="53"/>
      <c r="SUO102" s="53"/>
      <c r="SUP102" s="53"/>
      <c r="SUQ102" s="53"/>
      <c r="SUR102" s="53"/>
      <c r="SUS102" s="53"/>
      <c r="SUT102" s="53"/>
      <c r="SUU102" s="53"/>
      <c r="SUV102" s="53"/>
      <c r="SUW102" s="53"/>
      <c r="SUX102" s="53"/>
      <c r="SUY102" s="53"/>
      <c r="SUZ102" s="53"/>
      <c r="SVA102" s="53"/>
      <c r="SVB102" s="53"/>
      <c r="SVC102" s="53"/>
      <c r="SVD102" s="53"/>
      <c r="SVE102" s="53"/>
      <c r="SVF102" s="53"/>
      <c r="SVG102" s="53"/>
      <c r="SVH102" s="53"/>
      <c r="SVI102" s="53"/>
      <c r="SVJ102" s="53"/>
      <c r="SVK102" s="53"/>
      <c r="SVL102" s="53"/>
      <c r="SVM102" s="53"/>
      <c r="SVN102" s="53"/>
      <c r="SVO102" s="53"/>
      <c r="SVP102" s="53"/>
      <c r="SVQ102" s="53"/>
      <c r="SVR102" s="53"/>
      <c r="SVS102" s="53"/>
      <c r="SVT102" s="53"/>
      <c r="SVU102" s="53"/>
      <c r="SVV102" s="53"/>
      <c r="SVW102" s="53"/>
      <c r="SVX102" s="53"/>
      <c r="SVY102" s="53"/>
      <c r="SVZ102" s="53"/>
      <c r="SWA102" s="53"/>
      <c r="SWB102" s="53"/>
      <c r="SWC102" s="53"/>
      <c r="SWD102" s="53"/>
      <c r="SWE102" s="53"/>
      <c r="SWF102" s="53"/>
      <c r="SWG102" s="53"/>
      <c r="SWH102" s="53"/>
      <c r="SWI102" s="53"/>
      <c r="SWJ102" s="53"/>
      <c r="SWK102" s="53"/>
      <c r="SWL102" s="53"/>
      <c r="SWM102" s="53"/>
      <c r="SWN102" s="53"/>
      <c r="SWO102" s="53"/>
      <c r="SWP102" s="53"/>
      <c r="SWQ102" s="53"/>
      <c r="SWR102" s="53"/>
      <c r="SWS102" s="53"/>
      <c r="SWT102" s="53"/>
      <c r="SWU102" s="53"/>
      <c r="SWV102" s="53"/>
      <c r="SWW102" s="53"/>
      <c r="SWX102" s="53"/>
      <c r="SWY102" s="53"/>
      <c r="SWZ102" s="53"/>
      <c r="SXA102" s="53"/>
      <c r="SXB102" s="53"/>
      <c r="SXC102" s="53"/>
      <c r="SXD102" s="53"/>
      <c r="SXE102" s="53"/>
      <c r="SXF102" s="53"/>
      <c r="SXG102" s="53"/>
      <c r="SXH102" s="53"/>
      <c r="SXI102" s="53"/>
      <c r="SXJ102" s="53"/>
      <c r="SXK102" s="53"/>
      <c r="SXL102" s="53"/>
      <c r="SXM102" s="53"/>
      <c r="SXN102" s="53"/>
      <c r="SXO102" s="53"/>
      <c r="SXP102" s="53"/>
      <c r="SXQ102" s="53"/>
      <c r="SXR102" s="53"/>
      <c r="SXS102" s="53"/>
      <c r="SXT102" s="53"/>
      <c r="SXU102" s="53"/>
      <c r="SXV102" s="53"/>
      <c r="SXW102" s="53"/>
      <c r="SXX102" s="53"/>
      <c r="SXY102" s="53"/>
      <c r="SXZ102" s="53"/>
      <c r="SYA102" s="53"/>
      <c r="SYB102" s="53"/>
      <c r="SYC102" s="53"/>
      <c r="SYD102" s="53"/>
      <c r="SYE102" s="53"/>
      <c r="SYF102" s="53"/>
      <c r="SYG102" s="53"/>
      <c r="SYH102" s="53"/>
      <c r="SYI102" s="53"/>
      <c r="SYJ102" s="53"/>
      <c r="SYK102" s="53"/>
      <c r="SYL102" s="53"/>
      <c r="SYM102" s="53"/>
      <c r="SYN102" s="53"/>
      <c r="SYO102" s="53"/>
      <c r="SYP102" s="53"/>
      <c r="SYQ102" s="53"/>
      <c r="SYR102" s="53"/>
      <c r="SYS102" s="53"/>
      <c r="SYT102" s="53"/>
      <c r="SYU102" s="53"/>
      <c r="SYV102" s="53"/>
      <c r="SYW102" s="53"/>
      <c r="SYX102" s="53"/>
      <c r="SYY102" s="53"/>
      <c r="SYZ102" s="53"/>
      <c r="SZA102" s="53"/>
      <c r="SZB102" s="53"/>
      <c r="SZC102" s="53"/>
      <c r="SZD102" s="53"/>
      <c r="SZE102" s="53"/>
      <c r="SZF102" s="53"/>
      <c r="SZG102" s="53"/>
      <c r="SZH102" s="53"/>
      <c r="SZI102" s="53"/>
      <c r="SZJ102" s="53"/>
      <c r="SZK102" s="53"/>
      <c r="SZL102" s="53"/>
      <c r="SZM102" s="53"/>
      <c r="SZN102" s="53"/>
      <c r="SZO102" s="53"/>
      <c r="SZP102" s="53"/>
      <c r="SZQ102" s="53"/>
      <c r="SZR102" s="53"/>
      <c r="SZS102" s="53"/>
      <c r="SZT102" s="53"/>
      <c r="SZU102" s="53"/>
      <c r="SZV102" s="53"/>
      <c r="SZW102" s="53"/>
      <c r="SZX102" s="53"/>
      <c r="SZY102" s="53"/>
      <c r="SZZ102" s="53"/>
      <c r="TAA102" s="53"/>
      <c r="TAB102" s="53"/>
      <c r="TAC102" s="53"/>
      <c r="TAD102" s="53"/>
      <c r="TAE102" s="53"/>
      <c r="TAF102" s="53"/>
      <c r="TAG102" s="53"/>
      <c r="TAH102" s="53"/>
      <c r="TAI102" s="53"/>
      <c r="TAJ102" s="53"/>
      <c r="TAK102" s="53"/>
      <c r="TAL102" s="53"/>
      <c r="TAM102" s="53"/>
      <c r="TAN102" s="53"/>
      <c r="TAO102" s="53"/>
      <c r="TAP102" s="53"/>
      <c r="TAQ102" s="53"/>
      <c r="TAR102" s="53"/>
      <c r="TAS102" s="53"/>
      <c r="TAT102" s="53"/>
      <c r="TAU102" s="53"/>
      <c r="TAV102" s="53"/>
      <c r="TAW102" s="53"/>
      <c r="TAX102" s="53"/>
      <c r="TAY102" s="53"/>
      <c r="TAZ102" s="53"/>
      <c r="TBA102" s="53"/>
      <c r="TBB102" s="53"/>
      <c r="TBC102" s="53"/>
      <c r="TBD102" s="53"/>
      <c r="TBE102" s="53"/>
      <c r="TBF102" s="53"/>
      <c r="TBG102" s="53"/>
      <c r="TBH102" s="53"/>
      <c r="TBI102" s="53"/>
      <c r="TBJ102" s="53"/>
      <c r="TBK102" s="53"/>
      <c r="TBL102" s="53"/>
      <c r="TBM102" s="53"/>
      <c r="TBN102" s="53"/>
      <c r="TBO102" s="53"/>
      <c r="TBP102" s="53"/>
      <c r="TBQ102" s="53"/>
      <c r="TBR102" s="53"/>
      <c r="TBS102" s="53"/>
      <c r="TBT102" s="53"/>
      <c r="TBU102" s="53"/>
      <c r="TBV102" s="53"/>
      <c r="TBW102" s="53"/>
      <c r="TBX102" s="53"/>
      <c r="TBY102" s="53"/>
      <c r="TBZ102" s="53"/>
      <c r="TCA102" s="53"/>
      <c r="TCB102" s="53"/>
      <c r="TCC102" s="53"/>
      <c r="TCD102" s="53"/>
      <c r="TCE102" s="53"/>
      <c r="TCF102" s="53"/>
      <c r="TCG102" s="53"/>
      <c r="TCH102" s="53"/>
      <c r="TCI102" s="53"/>
      <c r="TCJ102" s="53"/>
      <c r="TCK102" s="53"/>
      <c r="TCL102" s="53"/>
      <c r="TCM102" s="53"/>
      <c r="TCN102" s="53"/>
      <c r="TCO102" s="53"/>
      <c r="TCP102" s="53"/>
      <c r="TCQ102" s="53"/>
      <c r="TCR102" s="53"/>
      <c r="TCS102" s="53"/>
      <c r="TCT102" s="53"/>
      <c r="TCU102" s="53"/>
      <c r="TCV102" s="53"/>
      <c r="TCW102" s="53"/>
      <c r="TCX102" s="53"/>
      <c r="TCY102" s="53"/>
      <c r="TCZ102" s="53"/>
      <c r="TDA102" s="53"/>
      <c r="TDB102" s="53"/>
      <c r="TDC102" s="53"/>
      <c r="TDD102" s="53"/>
      <c r="TDE102" s="53"/>
      <c r="TDF102" s="53"/>
      <c r="TDG102" s="53"/>
      <c r="TDH102" s="53"/>
      <c r="TDI102" s="53"/>
      <c r="TDJ102" s="53"/>
      <c r="TDK102" s="53"/>
      <c r="TDL102" s="53"/>
      <c r="TDM102" s="53"/>
      <c r="TDN102" s="53"/>
      <c r="TDO102" s="53"/>
      <c r="TDP102" s="53"/>
      <c r="TDQ102" s="53"/>
      <c r="TDR102" s="53"/>
      <c r="TDS102" s="53"/>
      <c r="TDT102" s="53"/>
      <c r="TDU102" s="53"/>
      <c r="TDV102" s="53"/>
      <c r="TDW102" s="53"/>
      <c r="TDX102" s="53"/>
      <c r="TDY102" s="53"/>
      <c r="TDZ102" s="53"/>
      <c r="TEA102" s="53"/>
      <c r="TEB102" s="53"/>
      <c r="TEC102" s="53"/>
      <c r="TED102" s="53"/>
      <c r="TEE102" s="53"/>
      <c r="TEF102" s="53"/>
      <c r="TEG102" s="53"/>
      <c r="TEH102" s="53"/>
      <c r="TEI102" s="53"/>
      <c r="TEJ102" s="53"/>
      <c r="TEK102" s="53"/>
      <c r="TEL102" s="53"/>
      <c r="TEM102" s="53"/>
      <c r="TEN102" s="53"/>
      <c r="TEO102" s="53"/>
      <c r="TEP102" s="53"/>
      <c r="TEQ102" s="53"/>
      <c r="TER102" s="53"/>
      <c r="TES102" s="53"/>
      <c r="TET102" s="53"/>
      <c r="TEU102" s="53"/>
      <c r="TEV102" s="53"/>
      <c r="TEW102" s="53"/>
      <c r="TEX102" s="53"/>
      <c r="TEY102" s="53"/>
      <c r="TEZ102" s="53"/>
      <c r="TFA102" s="53"/>
      <c r="TFB102" s="53"/>
      <c r="TFC102" s="53"/>
      <c r="TFD102" s="53"/>
      <c r="TFE102" s="53"/>
      <c r="TFF102" s="53"/>
      <c r="TFG102" s="53"/>
      <c r="TFH102" s="53"/>
      <c r="TFI102" s="53"/>
      <c r="TFJ102" s="53"/>
      <c r="TFK102" s="53"/>
      <c r="TFL102" s="53"/>
      <c r="TFM102" s="53"/>
      <c r="TFN102" s="53"/>
      <c r="TFO102" s="53"/>
      <c r="TFP102" s="53"/>
      <c r="TFQ102" s="53"/>
      <c r="TFR102" s="53"/>
      <c r="TFS102" s="53"/>
      <c r="TFT102" s="53"/>
      <c r="TFU102" s="53"/>
      <c r="TFV102" s="53"/>
      <c r="TFW102" s="53"/>
      <c r="TFX102" s="53"/>
      <c r="TFY102" s="53"/>
      <c r="TFZ102" s="53"/>
      <c r="TGA102" s="53"/>
      <c r="TGB102" s="53"/>
      <c r="TGC102" s="53"/>
      <c r="TGD102" s="53"/>
      <c r="TGE102" s="53"/>
      <c r="TGF102" s="53"/>
      <c r="TGG102" s="53"/>
      <c r="TGH102" s="53"/>
      <c r="TGI102" s="53"/>
      <c r="TGJ102" s="53"/>
      <c r="TGK102" s="53"/>
      <c r="TGL102" s="53"/>
      <c r="TGM102" s="53"/>
      <c r="TGN102" s="53"/>
      <c r="TGO102" s="53"/>
      <c r="TGP102" s="53"/>
      <c r="TGQ102" s="53"/>
      <c r="TGR102" s="53"/>
      <c r="TGS102" s="53"/>
      <c r="TGT102" s="53"/>
      <c r="TGU102" s="53"/>
      <c r="TGV102" s="53"/>
      <c r="TGW102" s="53"/>
      <c r="TGX102" s="53"/>
      <c r="TGY102" s="53"/>
      <c r="TGZ102" s="53"/>
      <c r="THA102" s="53"/>
      <c r="THB102" s="53"/>
      <c r="THC102" s="53"/>
      <c r="THD102" s="53"/>
      <c r="THE102" s="53"/>
      <c r="THF102" s="53"/>
      <c r="THG102" s="53"/>
      <c r="THH102" s="53"/>
      <c r="THI102" s="53"/>
      <c r="THJ102" s="53"/>
      <c r="THK102" s="53"/>
      <c r="THL102" s="53"/>
      <c r="THM102" s="53"/>
      <c r="THN102" s="53"/>
      <c r="THO102" s="53"/>
      <c r="THP102" s="53"/>
      <c r="THQ102" s="53"/>
      <c r="THR102" s="53"/>
      <c r="THS102" s="53"/>
      <c r="THT102" s="53"/>
      <c r="THU102" s="53"/>
      <c r="THV102" s="53"/>
      <c r="THW102" s="53"/>
      <c r="THX102" s="53"/>
      <c r="THY102" s="53"/>
      <c r="THZ102" s="53"/>
      <c r="TIA102" s="53"/>
      <c r="TIB102" s="53"/>
      <c r="TIC102" s="53"/>
      <c r="TID102" s="53"/>
      <c r="TIE102" s="53"/>
      <c r="TIF102" s="53"/>
      <c r="TIG102" s="53"/>
      <c r="TIH102" s="53"/>
      <c r="TII102" s="53"/>
      <c r="TIJ102" s="53"/>
      <c r="TIK102" s="53"/>
      <c r="TIL102" s="53"/>
      <c r="TIM102" s="53"/>
      <c r="TIN102" s="53"/>
      <c r="TIO102" s="53"/>
      <c r="TIP102" s="53"/>
      <c r="TIQ102" s="53"/>
      <c r="TIR102" s="53"/>
      <c r="TIS102" s="53"/>
      <c r="TIT102" s="53"/>
      <c r="TIU102" s="53"/>
      <c r="TIV102" s="53"/>
      <c r="TIW102" s="53"/>
      <c r="TIX102" s="53"/>
      <c r="TIY102" s="53"/>
      <c r="TIZ102" s="53"/>
      <c r="TJA102" s="53"/>
      <c r="TJB102" s="53"/>
      <c r="TJC102" s="53"/>
      <c r="TJD102" s="53"/>
      <c r="TJE102" s="53"/>
      <c r="TJF102" s="53"/>
      <c r="TJG102" s="53"/>
      <c r="TJH102" s="53"/>
      <c r="TJI102" s="53"/>
      <c r="TJJ102" s="53"/>
      <c r="TJK102" s="53"/>
      <c r="TJL102" s="53"/>
      <c r="TJM102" s="53"/>
      <c r="TJN102" s="53"/>
      <c r="TJO102" s="53"/>
      <c r="TJP102" s="53"/>
      <c r="TJQ102" s="53"/>
      <c r="TJR102" s="53"/>
      <c r="TJS102" s="53"/>
      <c r="TJT102" s="53"/>
      <c r="TJU102" s="53"/>
      <c r="TJV102" s="53"/>
      <c r="TJW102" s="53"/>
      <c r="TJX102" s="53"/>
      <c r="TJY102" s="53"/>
      <c r="TJZ102" s="53"/>
      <c r="TKA102" s="53"/>
      <c r="TKB102" s="53"/>
      <c r="TKC102" s="53"/>
      <c r="TKD102" s="53"/>
      <c r="TKE102" s="53"/>
      <c r="TKF102" s="53"/>
      <c r="TKG102" s="53"/>
      <c r="TKH102" s="53"/>
      <c r="TKI102" s="53"/>
      <c r="TKJ102" s="53"/>
      <c r="TKK102" s="53"/>
      <c r="TKL102" s="53"/>
      <c r="TKM102" s="53"/>
      <c r="TKN102" s="53"/>
      <c r="TKO102" s="53"/>
      <c r="TKP102" s="53"/>
      <c r="TKQ102" s="53"/>
      <c r="TKR102" s="53"/>
      <c r="TKS102" s="53"/>
      <c r="TKT102" s="53"/>
      <c r="TKU102" s="53"/>
      <c r="TKV102" s="53"/>
      <c r="TKW102" s="53"/>
      <c r="TKX102" s="53"/>
      <c r="TKY102" s="53"/>
      <c r="TKZ102" s="53"/>
      <c r="TLA102" s="53"/>
      <c r="TLB102" s="53"/>
      <c r="TLC102" s="53"/>
      <c r="TLD102" s="53"/>
      <c r="TLE102" s="53"/>
      <c r="TLF102" s="53"/>
      <c r="TLG102" s="53"/>
      <c r="TLH102" s="53"/>
      <c r="TLI102" s="53"/>
      <c r="TLJ102" s="53"/>
      <c r="TLK102" s="53"/>
      <c r="TLL102" s="53"/>
      <c r="TLM102" s="53"/>
      <c r="TLN102" s="53"/>
      <c r="TLO102" s="53"/>
      <c r="TLP102" s="53"/>
      <c r="TLQ102" s="53"/>
      <c r="TLR102" s="53"/>
      <c r="TLS102" s="53"/>
      <c r="TLT102" s="53"/>
      <c r="TLU102" s="53"/>
      <c r="TLV102" s="53"/>
      <c r="TLW102" s="53"/>
      <c r="TLX102" s="53"/>
      <c r="TLY102" s="53"/>
      <c r="TLZ102" s="53"/>
      <c r="TMA102" s="53"/>
      <c r="TMB102" s="53"/>
      <c r="TMC102" s="53"/>
      <c r="TMD102" s="53"/>
      <c r="TME102" s="53"/>
      <c r="TMF102" s="53"/>
      <c r="TMG102" s="53"/>
      <c r="TMH102" s="53"/>
      <c r="TMI102" s="53"/>
      <c r="TMJ102" s="53"/>
      <c r="TMK102" s="53"/>
      <c r="TML102" s="53"/>
      <c r="TMM102" s="53"/>
      <c r="TMN102" s="53"/>
      <c r="TMO102" s="53"/>
      <c r="TMP102" s="53"/>
      <c r="TMQ102" s="53"/>
      <c r="TMR102" s="53"/>
      <c r="TMS102" s="53"/>
      <c r="TMT102" s="53"/>
      <c r="TMU102" s="53"/>
      <c r="TMV102" s="53"/>
      <c r="TMW102" s="53"/>
      <c r="TMX102" s="53"/>
      <c r="TMY102" s="53"/>
      <c r="TMZ102" s="53"/>
      <c r="TNA102" s="53"/>
      <c r="TNB102" s="53"/>
      <c r="TNC102" s="53"/>
      <c r="TND102" s="53"/>
      <c r="TNE102" s="53"/>
      <c r="TNF102" s="53"/>
      <c r="TNG102" s="53"/>
      <c r="TNH102" s="53"/>
      <c r="TNI102" s="53"/>
      <c r="TNJ102" s="53"/>
      <c r="TNK102" s="53"/>
      <c r="TNL102" s="53"/>
      <c r="TNM102" s="53"/>
      <c r="TNN102" s="53"/>
      <c r="TNO102" s="53"/>
      <c r="TNP102" s="53"/>
      <c r="TNQ102" s="53"/>
      <c r="TNR102" s="53"/>
      <c r="TNS102" s="53"/>
      <c r="TNT102" s="53"/>
      <c r="TNU102" s="53"/>
      <c r="TNV102" s="53"/>
      <c r="TNW102" s="53"/>
      <c r="TNX102" s="53"/>
      <c r="TNY102" s="53"/>
      <c r="TNZ102" s="53"/>
      <c r="TOA102" s="53"/>
      <c r="TOB102" s="53"/>
      <c r="TOC102" s="53"/>
      <c r="TOD102" s="53"/>
      <c r="TOE102" s="53"/>
      <c r="TOF102" s="53"/>
      <c r="TOG102" s="53"/>
      <c r="TOH102" s="53"/>
      <c r="TOI102" s="53"/>
      <c r="TOJ102" s="53"/>
      <c r="TOK102" s="53"/>
      <c r="TOL102" s="53"/>
      <c r="TOM102" s="53"/>
      <c r="TON102" s="53"/>
      <c r="TOO102" s="53"/>
      <c r="TOP102" s="53"/>
      <c r="TOQ102" s="53"/>
      <c r="TOR102" s="53"/>
      <c r="TOS102" s="53"/>
      <c r="TOT102" s="53"/>
      <c r="TOU102" s="53"/>
      <c r="TOV102" s="53"/>
      <c r="TOW102" s="53"/>
      <c r="TOX102" s="53"/>
      <c r="TOY102" s="53"/>
      <c r="TOZ102" s="53"/>
      <c r="TPA102" s="53"/>
      <c r="TPB102" s="53"/>
      <c r="TPC102" s="53"/>
      <c r="TPD102" s="53"/>
      <c r="TPE102" s="53"/>
      <c r="TPF102" s="53"/>
      <c r="TPG102" s="53"/>
      <c r="TPH102" s="53"/>
      <c r="TPI102" s="53"/>
      <c r="TPJ102" s="53"/>
      <c r="TPK102" s="53"/>
      <c r="TPL102" s="53"/>
      <c r="TPM102" s="53"/>
      <c r="TPN102" s="53"/>
      <c r="TPO102" s="53"/>
      <c r="TPP102" s="53"/>
      <c r="TPQ102" s="53"/>
      <c r="TPR102" s="53"/>
      <c r="TPS102" s="53"/>
      <c r="TPT102" s="53"/>
      <c r="TPU102" s="53"/>
      <c r="TPV102" s="53"/>
      <c r="TPW102" s="53"/>
      <c r="TPX102" s="53"/>
      <c r="TPY102" s="53"/>
      <c r="TPZ102" s="53"/>
      <c r="TQA102" s="53"/>
      <c r="TQB102" s="53"/>
      <c r="TQC102" s="53"/>
      <c r="TQD102" s="53"/>
      <c r="TQE102" s="53"/>
      <c r="TQF102" s="53"/>
      <c r="TQG102" s="53"/>
      <c r="TQH102" s="53"/>
      <c r="TQI102" s="53"/>
      <c r="TQJ102" s="53"/>
      <c r="TQK102" s="53"/>
      <c r="TQL102" s="53"/>
      <c r="TQM102" s="53"/>
      <c r="TQN102" s="53"/>
      <c r="TQO102" s="53"/>
      <c r="TQP102" s="53"/>
      <c r="TQQ102" s="53"/>
      <c r="TQR102" s="53"/>
      <c r="TQS102" s="53"/>
      <c r="TQT102" s="53"/>
      <c r="TQU102" s="53"/>
      <c r="TQV102" s="53"/>
      <c r="TQW102" s="53"/>
      <c r="TQX102" s="53"/>
      <c r="TQY102" s="53"/>
      <c r="TQZ102" s="53"/>
      <c r="TRA102" s="53"/>
      <c r="TRB102" s="53"/>
      <c r="TRC102" s="53"/>
      <c r="TRD102" s="53"/>
      <c r="TRE102" s="53"/>
      <c r="TRF102" s="53"/>
      <c r="TRG102" s="53"/>
      <c r="TRH102" s="53"/>
      <c r="TRI102" s="53"/>
      <c r="TRJ102" s="53"/>
      <c r="TRK102" s="53"/>
      <c r="TRL102" s="53"/>
      <c r="TRM102" s="53"/>
      <c r="TRN102" s="53"/>
      <c r="TRO102" s="53"/>
      <c r="TRP102" s="53"/>
      <c r="TRQ102" s="53"/>
      <c r="TRR102" s="53"/>
      <c r="TRS102" s="53"/>
      <c r="TRT102" s="53"/>
      <c r="TRU102" s="53"/>
      <c r="TRV102" s="53"/>
      <c r="TRW102" s="53"/>
      <c r="TRX102" s="53"/>
      <c r="TRY102" s="53"/>
      <c r="TRZ102" s="53"/>
      <c r="TSA102" s="53"/>
      <c r="TSB102" s="53"/>
      <c r="TSC102" s="53"/>
      <c r="TSD102" s="53"/>
      <c r="TSE102" s="53"/>
      <c r="TSF102" s="53"/>
      <c r="TSG102" s="53"/>
      <c r="TSH102" s="53"/>
      <c r="TSI102" s="53"/>
      <c r="TSJ102" s="53"/>
      <c r="TSK102" s="53"/>
      <c r="TSL102" s="53"/>
      <c r="TSM102" s="53"/>
      <c r="TSN102" s="53"/>
      <c r="TSO102" s="53"/>
      <c r="TSP102" s="53"/>
      <c r="TSQ102" s="53"/>
      <c r="TSR102" s="53"/>
      <c r="TSS102" s="53"/>
      <c r="TST102" s="53"/>
      <c r="TSU102" s="53"/>
      <c r="TSV102" s="53"/>
      <c r="TSW102" s="53"/>
      <c r="TSX102" s="53"/>
      <c r="TSY102" s="53"/>
      <c r="TSZ102" s="53"/>
      <c r="TTA102" s="53"/>
      <c r="TTB102" s="53"/>
      <c r="TTC102" s="53"/>
      <c r="TTD102" s="53"/>
      <c r="TTE102" s="53"/>
      <c r="TTF102" s="53"/>
      <c r="TTG102" s="53"/>
      <c r="TTH102" s="53"/>
      <c r="TTI102" s="53"/>
      <c r="TTJ102" s="53"/>
      <c r="TTK102" s="53"/>
      <c r="TTL102" s="53"/>
      <c r="TTM102" s="53"/>
      <c r="TTN102" s="53"/>
      <c r="TTO102" s="53"/>
      <c r="TTP102" s="53"/>
      <c r="TTQ102" s="53"/>
      <c r="TTR102" s="53"/>
      <c r="TTS102" s="53"/>
      <c r="TTT102" s="53"/>
      <c r="TTU102" s="53"/>
      <c r="TTV102" s="53"/>
      <c r="TTW102" s="53"/>
      <c r="TTX102" s="53"/>
      <c r="TTY102" s="53"/>
      <c r="TTZ102" s="53"/>
      <c r="TUA102" s="53"/>
      <c r="TUB102" s="53"/>
      <c r="TUC102" s="53"/>
      <c r="TUD102" s="53"/>
      <c r="TUE102" s="53"/>
      <c r="TUF102" s="53"/>
      <c r="TUG102" s="53"/>
      <c r="TUH102" s="53"/>
      <c r="TUI102" s="53"/>
      <c r="TUJ102" s="53"/>
      <c r="TUK102" s="53"/>
      <c r="TUL102" s="53"/>
      <c r="TUM102" s="53"/>
      <c r="TUN102" s="53"/>
      <c r="TUO102" s="53"/>
      <c r="TUP102" s="53"/>
      <c r="TUQ102" s="53"/>
      <c r="TUR102" s="53"/>
      <c r="TUS102" s="53"/>
      <c r="TUT102" s="53"/>
      <c r="TUU102" s="53"/>
      <c r="TUV102" s="53"/>
      <c r="TUW102" s="53"/>
      <c r="TUX102" s="53"/>
      <c r="TUY102" s="53"/>
      <c r="TUZ102" s="53"/>
      <c r="TVA102" s="53"/>
      <c r="TVB102" s="53"/>
      <c r="TVC102" s="53"/>
      <c r="TVD102" s="53"/>
      <c r="TVE102" s="53"/>
      <c r="TVF102" s="53"/>
      <c r="TVG102" s="53"/>
      <c r="TVH102" s="53"/>
      <c r="TVI102" s="53"/>
      <c r="TVJ102" s="53"/>
      <c r="TVK102" s="53"/>
      <c r="TVL102" s="53"/>
      <c r="TVM102" s="53"/>
      <c r="TVN102" s="53"/>
      <c r="TVO102" s="53"/>
      <c r="TVP102" s="53"/>
      <c r="TVQ102" s="53"/>
      <c r="TVR102" s="53"/>
      <c r="TVS102" s="53"/>
      <c r="TVT102" s="53"/>
      <c r="TVU102" s="53"/>
      <c r="TVV102" s="53"/>
      <c r="TVW102" s="53"/>
      <c r="TVX102" s="53"/>
      <c r="TVY102" s="53"/>
      <c r="TVZ102" s="53"/>
      <c r="TWA102" s="53"/>
      <c r="TWB102" s="53"/>
      <c r="TWC102" s="53"/>
      <c r="TWD102" s="53"/>
      <c r="TWE102" s="53"/>
      <c r="TWF102" s="53"/>
      <c r="TWG102" s="53"/>
      <c r="TWH102" s="53"/>
      <c r="TWI102" s="53"/>
      <c r="TWJ102" s="53"/>
      <c r="TWK102" s="53"/>
      <c r="TWL102" s="53"/>
      <c r="TWM102" s="53"/>
      <c r="TWN102" s="53"/>
      <c r="TWO102" s="53"/>
      <c r="TWP102" s="53"/>
      <c r="TWQ102" s="53"/>
      <c r="TWR102" s="53"/>
      <c r="TWS102" s="53"/>
      <c r="TWT102" s="53"/>
      <c r="TWU102" s="53"/>
      <c r="TWV102" s="53"/>
      <c r="TWW102" s="53"/>
      <c r="TWX102" s="53"/>
      <c r="TWY102" s="53"/>
      <c r="TWZ102" s="53"/>
      <c r="TXA102" s="53"/>
      <c r="TXB102" s="53"/>
      <c r="TXC102" s="53"/>
      <c r="TXD102" s="53"/>
      <c r="TXE102" s="53"/>
      <c r="TXF102" s="53"/>
      <c r="TXG102" s="53"/>
      <c r="TXH102" s="53"/>
      <c r="TXI102" s="53"/>
      <c r="TXJ102" s="53"/>
      <c r="TXK102" s="53"/>
      <c r="TXL102" s="53"/>
      <c r="TXM102" s="53"/>
      <c r="TXN102" s="53"/>
      <c r="TXO102" s="53"/>
      <c r="TXP102" s="53"/>
      <c r="TXQ102" s="53"/>
      <c r="TXR102" s="53"/>
      <c r="TXS102" s="53"/>
      <c r="TXT102" s="53"/>
      <c r="TXU102" s="53"/>
      <c r="TXV102" s="53"/>
      <c r="TXW102" s="53"/>
      <c r="TXX102" s="53"/>
      <c r="TXY102" s="53"/>
      <c r="TXZ102" s="53"/>
      <c r="TYA102" s="53"/>
      <c r="TYB102" s="53"/>
      <c r="TYC102" s="53"/>
      <c r="TYD102" s="53"/>
      <c r="TYE102" s="53"/>
      <c r="TYF102" s="53"/>
      <c r="TYG102" s="53"/>
      <c r="TYH102" s="53"/>
      <c r="TYI102" s="53"/>
      <c r="TYJ102" s="53"/>
      <c r="TYK102" s="53"/>
      <c r="TYL102" s="53"/>
      <c r="TYM102" s="53"/>
      <c r="TYN102" s="53"/>
      <c r="TYO102" s="53"/>
      <c r="TYP102" s="53"/>
      <c r="TYQ102" s="53"/>
      <c r="TYR102" s="53"/>
      <c r="TYS102" s="53"/>
      <c r="TYT102" s="53"/>
      <c r="TYU102" s="53"/>
      <c r="TYV102" s="53"/>
      <c r="TYW102" s="53"/>
      <c r="TYX102" s="53"/>
      <c r="TYY102" s="53"/>
      <c r="TYZ102" s="53"/>
      <c r="TZA102" s="53"/>
      <c r="TZB102" s="53"/>
      <c r="TZC102" s="53"/>
      <c r="TZD102" s="53"/>
      <c r="TZE102" s="53"/>
      <c r="TZF102" s="53"/>
      <c r="TZG102" s="53"/>
      <c r="TZH102" s="53"/>
      <c r="TZI102" s="53"/>
      <c r="TZJ102" s="53"/>
      <c r="TZK102" s="53"/>
      <c r="TZL102" s="53"/>
      <c r="TZM102" s="53"/>
      <c r="TZN102" s="53"/>
      <c r="TZO102" s="53"/>
      <c r="TZP102" s="53"/>
      <c r="TZQ102" s="53"/>
      <c r="TZR102" s="53"/>
      <c r="TZS102" s="53"/>
      <c r="TZT102" s="53"/>
      <c r="TZU102" s="53"/>
      <c r="TZV102" s="53"/>
      <c r="TZW102" s="53"/>
      <c r="TZX102" s="53"/>
      <c r="TZY102" s="53"/>
      <c r="TZZ102" s="53"/>
      <c r="UAA102" s="53"/>
      <c r="UAB102" s="53"/>
      <c r="UAC102" s="53"/>
      <c r="UAD102" s="53"/>
      <c r="UAE102" s="53"/>
      <c r="UAF102" s="53"/>
      <c r="UAG102" s="53"/>
      <c r="UAH102" s="53"/>
      <c r="UAI102" s="53"/>
      <c r="UAJ102" s="53"/>
      <c r="UAK102" s="53"/>
      <c r="UAL102" s="53"/>
      <c r="UAM102" s="53"/>
      <c r="UAN102" s="53"/>
      <c r="UAO102" s="53"/>
      <c r="UAP102" s="53"/>
      <c r="UAQ102" s="53"/>
      <c r="UAR102" s="53"/>
      <c r="UAS102" s="53"/>
      <c r="UAT102" s="53"/>
      <c r="UAU102" s="53"/>
      <c r="UAV102" s="53"/>
      <c r="UAW102" s="53"/>
      <c r="UAX102" s="53"/>
      <c r="UAY102" s="53"/>
      <c r="UAZ102" s="53"/>
      <c r="UBA102" s="53"/>
      <c r="UBB102" s="53"/>
      <c r="UBC102" s="53"/>
      <c r="UBD102" s="53"/>
      <c r="UBE102" s="53"/>
      <c r="UBF102" s="53"/>
      <c r="UBG102" s="53"/>
      <c r="UBH102" s="53"/>
      <c r="UBI102" s="53"/>
      <c r="UBJ102" s="53"/>
      <c r="UBK102" s="53"/>
      <c r="UBL102" s="53"/>
      <c r="UBM102" s="53"/>
      <c r="UBN102" s="53"/>
      <c r="UBO102" s="53"/>
      <c r="UBP102" s="53"/>
      <c r="UBQ102" s="53"/>
      <c r="UBR102" s="53"/>
      <c r="UBS102" s="53"/>
      <c r="UBT102" s="53"/>
      <c r="UBU102" s="53"/>
      <c r="UBV102" s="53"/>
      <c r="UBW102" s="53"/>
      <c r="UBX102" s="53"/>
      <c r="UBY102" s="53"/>
      <c r="UBZ102" s="53"/>
      <c r="UCA102" s="53"/>
      <c r="UCB102" s="53"/>
      <c r="UCC102" s="53"/>
      <c r="UCD102" s="53"/>
      <c r="UCE102" s="53"/>
      <c r="UCF102" s="53"/>
      <c r="UCG102" s="53"/>
      <c r="UCH102" s="53"/>
      <c r="UCI102" s="53"/>
      <c r="UCJ102" s="53"/>
      <c r="UCK102" s="53"/>
      <c r="UCL102" s="53"/>
      <c r="UCM102" s="53"/>
      <c r="UCN102" s="53"/>
      <c r="UCO102" s="53"/>
      <c r="UCP102" s="53"/>
      <c r="UCQ102" s="53"/>
      <c r="UCR102" s="53"/>
      <c r="UCS102" s="53"/>
      <c r="UCT102" s="53"/>
      <c r="UCU102" s="53"/>
      <c r="UCV102" s="53"/>
      <c r="UCW102" s="53"/>
      <c r="UCX102" s="53"/>
      <c r="UCY102" s="53"/>
      <c r="UCZ102" s="53"/>
      <c r="UDA102" s="53"/>
      <c r="UDB102" s="53"/>
      <c r="UDC102" s="53"/>
      <c r="UDD102" s="53"/>
      <c r="UDE102" s="53"/>
      <c r="UDF102" s="53"/>
      <c r="UDG102" s="53"/>
      <c r="UDH102" s="53"/>
      <c r="UDI102" s="53"/>
      <c r="UDJ102" s="53"/>
      <c r="UDK102" s="53"/>
      <c r="UDL102" s="53"/>
      <c r="UDM102" s="53"/>
      <c r="UDN102" s="53"/>
      <c r="UDO102" s="53"/>
      <c r="UDP102" s="53"/>
      <c r="UDQ102" s="53"/>
      <c r="UDR102" s="53"/>
      <c r="UDS102" s="53"/>
      <c r="UDT102" s="53"/>
      <c r="UDU102" s="53"/>
      <c r="UDV102" s="53"/>
      <c r="UDW102" s="53"/>
      <c r="UDX102" s="53"/>
      <c r="UDY102" s="53"/>
      <c r="UDZ102" s="53"/>
      <c r="UEA102" s="53"/>
      <c r="UEB102" s="53"/>
      <c r="UEC102" s="53"/>
      <c r="UED102" s="53"/>
      <c r="UEE102" s="53"/>
      <c r="UEF102" s="53"/>
      <c r="UEG102" s="53"/>
      <c r="UEH102" s="53"/>
      <c r="UEI102" s="53"/>
      <c r="UEJ102" s="53"/>
      <c r="UEK102" s="53"/>
      <c r="UEL102" s="53"/>
      <c r="UEM102" s="53"/>
      <c r="UEN102" s="53"/>
      <c r="UEO102" s="53"/>
      <c r="UEP102" s="53"/>
      <c r="UEQ102" s="53"/>
      <c r="UER102" s="53"/>
      <c r="UES102" s="53"/>
      <c r="UET102" s="53"/>
      <c r="UEU102" s="53"/>
      <c r="UEV102" s="53"/>
      <c r="UEW102" s="53"/>
      <c r="UEX102" s="53"/>
      <c r="UEY102" s="53"/>
      <c r="UEZ102" s="53"/>
      <c r="UFA102" s="53"/>
      <c r="UFB102" s="53"/>
      <c r="UFC102" s="53"/>
      <c r="UFD102" s="53"/>
      <c r="UFE102" s="53"/>
      <c r="UFF102" s="53"/>
      <c r="UFG102" s="53"/>
      <c r="UFH102" s="53"/>
      <c r="UFI102" s="53"/>
      <c r="UFJ102" s="53"/>
      <c r="UFK102" s="53"/>
      <c r="UFL102" s="53"/>
      <c r="UFM102" s="53"/>
      <c r="UFN102" s="53"/>
      <c r="UFO102" s="53"/>
      <c r="UFP102" s="53"/>
      <c r="UFQ102" s="53"/>
      <c r="UFR102" s="53"/>
      <c r="UFS102" s="53"/>
      <c r="UFT102" s="53"/>
      <c r="UFU102" s="53"/>
      <c r="UFV102" s="53"/>
      <c r="UFW102" s="53"/>
      <c r="UFX102" s="53"/>
      <c r="UFY102" s="53"/>
      <c r="UFZ102" s="53"/>
      <c r="UGA102" s="53"/>
      <c r="UGB102" s="53"/>
      <c r="UGC102" s="53"/>
      <c r="UGD102" s="53"/>
      <c r="UGE102" s="53"/>
      <c r="UGF102" s="53"/>
      <c r="UGG102" s="53"/>
      <c r="UGH102" s="53"/>
      <c r="UGI102" s="53"/>
      <c r="UGJ102" s="53"/>
      <c r="UGK102" s="53"/>
      <c r="UGL102" s="53"/>
      <c r="UGM102" s="53"/>
      <c r="UGN102" s="53"/>
      <c r="UGO102" s="53"/>
      <c r="UGP102" s="53"/>
      <c r="UGQ102" s="53"/>
      <c r="UGR102" s="53"/>
      <c r="UGS102" s="53"/>
      <c r="UGT102" s="53"/>
      <c r="UGU102" s="53"/>
      <c r="UGV102" s="53"/>
      <c r="UGW102" s="53"/>
      <c r="UGX102" s="53"/>
      <c r="UGY102" s="53"/>
      <c r="UGZ102" s="53"/>
      <c r="UHA102" s="53"/>
      <c r="UHB102" s="53"/>
      <c r="UHC102" s="53"/>
      <c r="UHD102" s="53"/>
      <c r="UHE102" s="53"/>
      <c r="UHF102" s="53"/>
      <c r="UHG102" s="53"/>
      <c r="UHH102" s="53"/>
      <c r="UHI102" s="53"/>
      <c r="UHJ102" s="53"/>
      <c r="UHK102" s="53"/>
      <c r="UHL102" s="53"/>
      <c r="UHM102" s="53"/>
      <c r="UHN102" s="53"/>
      <c r="UHO102" s="53"/>
      <c r="UHP102" s="53"/>
      <c r="UHQ102" s="53"/>
      <c r="UHR102" s="53"/>
      <c r="UHS102" s="53"/>
      <c r="UHT102" s="53"/>
      <c r="UHU102" s="53"/>
      <c r="UHV102" s="53"/>
      <c r="UHW102" s="53"/>
      <c r="UHX102" s="53"/>
      <c r="UHY102" s="53"/>
      <c r="UHZ102" s="53"/>
      <c r="UIA102" s="53"/>
      <c r="UIB102" s="53"/>
      <c r="UIC102" s="53"/>
      <c r="UID102" s="53"/>
      <c r="UIE102" s="53"/>
      <c r="UIF102" s="53"/>
      <c r="UIG102" s="53"/>
      <c r="UIH102" s="53"/>
      <c r="UII102" s="53"/>
      <c r="UIJ102" s="53"/>
      <c r="UIK102" s="53"/>
      <c r="UIL102" s="53"/>
      <c r="UIM102" s="53"/>
      <c r="UIN102" s="53"/>
      <c r="UIO102" s="53"/>
      <c r="UIP102" s="53"/>
      <c r="UIQ102" s="53"/>
      <c r="UIR102" s="53"/>
      <c r="UIS102" s="53"/>
      <c r="UIT102" s="53"/>
      <c r="UIU102" s="53"/>
      <c r="UIV102" s="53"/>
      <c r="UIW102" s="53"/>
      <c r="UIX102" s="53"/>
      <c r="UIY102" s="53"/>
      <c r="UIZ102" s="53"/>
      <c r="UJA102" s="53"/>
      <c r="UJB102" s="53"/>
      <c r="UJC102" s="53"/>
      <c r="UJD102" s="53"/>
      <c r="UJE102" s="53"/>
      <c r="UJF102" s="53"/>
      <c r="UJG102" s="53"/>
      <c r="UJH102" s="53"/>
      <c r="UJI102" s="53"/>
      <c r="UJJ102" s="53"/>
      <c r="UJK102" s="53"/>
      <c r="UJL102" s="53"/>
      <c r="UJM102" s="53"/>
      <c r="UJN102" s="53"/>
      <c r="UJO102" s="53"/>
      <c r="UJP102" s="53"/>
      <c r="UJQ102" s="53"/>
      <c r="UJR102" s="53"/>
      <c r="UJS102" s="53"/>
      <c r="UJT102" s="53"/>
      <c r="UJU102" s="53"/>
      <c r="UJV102" s="53"/>
      <c r="UJW102" s="53"/>
      <c r="UJX102" s="53"/>
      <c r="UJY102" s="53"/>
      <c r="UJZ102" s="53"/>
      <c r="UKA102" s="53"/>
      <c r="UKB102" s="53"/>
      <c r="UKC102" s="53"/>
      <c r="UKD102" s="53"/>
      <c r="UKE102" s="53"/>
      <c r="UKF102" s="53"/>
      <c r="UKG102" s="53"/>
      <c r="UKH102" s="53"/>
      <c r="UKI102" s="53"/>
      <c r="UKJ102" s="53"/>
      <c r="UKK102" s="53"/>
      <c r="UKL102" s="53"/>
      <c r="UKM102" s="53"/>
      <c r="UKN102" s="53"/>
      <c r="UKO102" s="53"/>
      <c r="UKP102" s="53"/>
      <c r="UKQ102" s="53"/>
      <c r="UKR102" s="53"/>
      <c r="UKS102" s="53"/>
      <c r="UKT102" s="53"/>
      <c r="UKU102" s="53"/>
      <c r="UKV102" s="53"/>
      <c r="UKW102" s="53"/>
      <c r="UKX102" s="53"/>
      <c r="UKY102" s="53"/>
      <c r="UKZ102" s="53"/>
      <c r="ULA102" s="53"/>
      <c r="ULB102" s="53"/>
      <c r="ULC102" s="53"/>
      <c r="ULD102" s="53"/>
      <c r="ULE102" s="53"/>
      <c r="ULF102" s="53"/>
      <c r="ULG102" s="53"/>
      <c r="ULH102" s="53"/>
      <c r="ULI102" s="53"/>
      <c r="ULJ102" s="53"/>
      <c r="ULK102" s="53"/>
      <c r="ULL102" s="53"/>
      <c r="ULM102" s="53"/>
      <c r="ULN102" s="53"/>
      <c r="ULO102" s="53"/>
      <c r="ULP102" s="53"/>
      <c r="ULQ102" s="53"/>
      <c r="ULR102" s="53"/>
      <c r="ULS102" s="53"/>
      <c r="ULT102" s="53"/>
      <c r="ULU102" s="53"/>
      <c r="ULV102" s="53"/>
      <c r="ULW102" s="53"/>
      <c r="ULX102" s="53"/>
      <c r="ULY102" s="53"/>
      <c r="ULZ102" s="53"/>
      <c r="UMA102" s="53"/>
      <c r="UMB102" s="53"/>
      <c r="UMC102" s="53"/>
      <c r="UMD102" s="53"/>
      <c r="UME102" s="53"/>
      <c r="UMF102" s="53"/>
      <c r="UMG102" s="53"/>
      <c r="UMH102" s="53"/>
      <c r="UMI102" s="53"/>
      <c r="UMJ102" s="53"/>
      <c r="UMK102" s="53"/>
      <c r="UML102" s="53"/>
      <c r="UMM102" s="53"/>
      <c r="UMN102" s="53"/>
      <c r="UMO102" s="53"/>
      <c r="UMP102" s="53"/>
      <c r="UMQ102" s="53"/>
      <c r="UMR102" s="53"/>
      <c r="UMS102" s="53"/>
      <c r="UMT102" s="53"/>
      <c r="UMU102" s="53"/>
      <c r="UMV102" s="53"/>
      <c r="UMW102" s="53"/>
      <c r="UMX102" s="53"/>
      <c r="UMY102" s="53"/>
      <c r="UMZ102" s="53"/>
      <c r="UNA102" s="53"/>
      <c r="UNB102" s="53"/>
      <c r="UNC102" s="53"/>
      <c r="UND102" s="53"/>
      <c r="UNE102" s="53"/>
      <c r="UNF102" s="53"/>
      <c r="UNG102" s="53"/>
      <c r="UNH102" s="53"/>
      <c r="UNI102" s="53"/>
      <c r="UNJ102" s="53"/>
      <c r="UNK102" s="53"/>
      <c r="UNL102" s="53"/>
      <c r="UNM102" s="53"/>
      <c r="UNN102" s="53"/>
      <c r="UNO102" s="53"/>
      <c r="UNP102" s="53"/>
      <c r="UNQ102" s="53"/>
      <c r="UNR102" s="53"/>
      <c r="UNS102" s="53"/>
      <c r="UNT102" s="53"/>
      <c r="UNU102" s="53"/>
      <c r="UNV102" s="53"/>
      <c r="UNW102" s="53"/>
      <c r="UNX102" s="53"/>
      <c r="UNY102" s="53"/>
      <c r="UNZ102" s="53"/>
      <c r="UOA102" s="53"/>
      <c r="UOB102" s="53"/>
      <c r="UOC102" s="53"/>
      <c r="UOD102" s="53"/>
      <c r="UOE102" s="53"/>
      <c r="UOF102" s="53"/>
      <c r="UOG102" s="53"/>
      <c r="UOH102" s="53"/>
      <c r="UOI102" s="53"/>
      <c r="UOJ102" s="53"/>
      <c r="UOK102" s="53"/>
      <c r="UOL102" s="53"/>
      <c r="UOM102" s="53"/>
      <c r="UON102" s="53"/>
      <c r="UOO102" s="53"/>
      <c r="UOP102" s="53"/>
      <c r="UOQ102" s="53"/>
      <c r="UOR102" s="53"/>
      <c r="UOS102" s="53"/>
      <c r="UOT102" s="53"/>
      <c r="UOU102" s="53"/>
      <c r="UOV102" s="53"/>
      <c r="UOW102" s="53"/>
      <c r="UOX102" s="53"/>
      <c r="UOY102" s="53"/>
      <c r="UOZ102" s="53"/>
      <c r="UPA102" s="53"/>
      <c r="UPB102" s="53"/>
      <c r="UPC102" s="53"/>
      <c r="UPD102" s="53"/>
      <c r="UPE102" s="53"/>
      <c r="UPF102" s="53"/>
      <c r="UPG102" s="53"/>
      <c r="UPH102" s="53"/>
      <c r="UPI102" s="53"/>
      <c r="UPJ102" s="53"/>
      <c r="UPK102" s="53"/>
      <c r="UPL102" s="53"/>
      <c r="UPM102" s="53"/>
      <c r="UPN102" s="53"/>
      <c r="UPO102" s="53"/>
      <c r="UPP102" s="53"/>
      <c r="UPQ102" s="53"/>
      <c r="UPR102" s="53"/>
      <c r="UPS102" s="53"/>
      <c r="UPT102" s="53"/>
      <c r="UPU102" s="53"/>
      <c r="UPV102" s="53"/>
      <c r="UPW102" s="53"/>
      <c r="UPX102" s="53"/>
      <c r="UPY102" s="53"/>
      <c r="UPZ102" s="53"/>
      <c r="UQA102" s="53"/>
      <c r="UQB102" s="53"/>
      <c r="UQC102" s="53"/>
      <c r="UQD102" s="53"/>
      <c r="UQE102" s="53"/>
      <c r="UQF102" s="53"/>
      <c r="UQG102" s="53"/>
      <c r="UQH102" s="53"/>
      <c r="UQI102" s="53"/>
      <c r="UQJ102" s="53"/>
      <c r="UQK102" s="53"/>
      <c r="UQL102" s="53"/>
      <c r="UQM102" s="53"/>
      <c r="UQN102" s="53"/>
      <c r="UQO102" s="53"/>
      <c r="UQP102" s="53"/>
      <c r="UQQ102" s="53"/>
      <c r="UQR102" s="53"/>
      <c r="UQS102" s="53"/>
      <c r="UQT102" s="53"/>
      <c r="UQU102" s="53"/>
      <c r="UQV102" s="53"/>
      <c r="UQW102" s="53"/>
      <c r="UQX102" s="53"/>
      <c r="UQY102" s="53"/>
      <c r="UQZ102" s="53"/>
      <c r="URA102" s="53"/>
      <c r="URB102" s="53"/>
      <c r="URC102" s="53"/>
      <c r="URD102" s="53"/>
      <c r="URE102" s="53"/>
      <c r="URF102" s="53"/>
      <c r="URG102" s="53"/>
      <c r="URH102" s="53"/>
      <c r="URI102" s="53"/>
      <c r="URJ102" s="53"/>
      <c r="URK102" s="53"/>
      <c r="URL102" s="53"/>
      <c r="URM102" s="53"/>
      <c r="URN102" s="53"/>
      <c r="URO102" s="53"/>
      <c r="URP102" s="53"/>
      <c r="URQ102" s="53"/>
      <c r="URR102" s="53"/>
      <c r="URS102" s="53"/>
      <c r="URT102" s="53"/>
      <c r="URU102" s="53"/>
      <c r="URV102" s="53"/>
      <c r="URW102" s="53"/>
      <c r="URX102" s="53"/>
      <c r="URY102" s="53"/>
      <c r="URZ102" s="53"/>
      <c r="USA102" s="53"/>
      <c r="USB102" s="53"/>
      <c r="USC102" s="53"/>
      <c r="USD102" s="53"/>
      <c r="USE102" s="53"/>
      <c r="USF102" s="53"/>
      <c r="USG102" s="53"/>
      <c r="USH102" s="53"/>
      <c r="USI102" s="53"/>
      <c r="USJ102" s="53"/>
      <c r="USK102" s="53"/>
      <c r="USL102" s="53"/>
      <c r="USM102" s="53"/>
      <c r="USN102" s="53"/>
      <c r="USO102" s="53"/>
      <c r="USP102" s="53"/>
      <c r="USQ102" s="53"/>
      <c r="USR102" s="53"/>
      <c r="USS102" s="53"/>
      <c r="UST102" s="53"/>
      <c r="USU102" s="53"/>
      <c r="USV102" s="53"/>
      <c r="USW102" s="53"/>
      <c r="USX102" s="53"/>
      <c r="USY102" s="53"/>
      <c r="USZ102" s="53"/>
      <c r="UTA102" s="53"/>
      <c r="UTB102" s="53"/>
      <c r="UTC102" s="53"/>
      <c r="UTD102" s="53"/>
      <c r="UTE102" s="53"/>
      <c r="UTF102" s="53"/>
      <c r="UTG102" s="53"/>
      <c r="UTH102" s="53"/>
      <c r="UTI102" s="53"/>
      <c r="UTJ102" s="53"/>
      <c r="UTK102" s="53"/>
      <c r="UTL102" s="53"/>
      <c r="UTM102" s="53"/>
      <c r="UTN102" s="53"/>
      <c r="UTO102" s="53"/>
      <c r="UTP102" s="53"/>
      <c r="UTQ102" s="53"/>
      <c r="UTR102" s="53"/>
      <c r="UTS102" s="53"/>
      <c r="UTT102" s="53"/>
      <c r="UTU102" s="53"/>
      <c r="UTV102" s="53"/>
      <c r="UTW102" s="53"/>
      <c r="UTX102" s="53"/>
      <c r="UTY102" s="53"/>
      <c r="UTZ102" s="53"/>
      <c r="UUA102" s="53"/>
      <c r="UUB102" s="53"/>
      <c r="UUC102" s="53"/>
      <c r="UUD102" s="53"/>
      <c r="UUE102" s="53"/>
      <c r="UUF102" s="53"/>
      <c r="UUG102" s="53"/>
      <c r="UUH102" s="53"/>
      <c r="UUI102" s="53"/>
      <c r="UUJ102" s="53"/>
      <c r="UUK102" s="53"/>
      <c r="UUL102" s="53"/>
      <c r="UUM102" s="53"/>
      <c r="UUN102" s="53"/>
      <c r="UUO102" s="53"/>
      <c r="UUP102" s="53"/>
      <c r="UUQ102" s="53"/>
      <c r="UUR102" s="53"/>
      <c r="UUS102" s="53"/>
      <c r="UUT102" s="53"/>
      <c r="UUU102" s="53"/>
      <c r="UUV102" s="53"/>
      <c r="UUW102" s="53"/>
      <c r="UUX102" s="53"/>
      <c r="UUY102" s="53"/>
      <c r="UUZ102" s="53"/>
      <c r="UVA102" s="53"/>
      <c r="UVB102" s="53"/>
      <c r="UVC102" s="53"/>
      <c r="UVD102" s="53"/>
      <c r="UVE102" s="53"/>
      <c r="UVF102" s="53"/>
      <c r="UVG102" s="53"/>
      <c r="UVH102" s="53"/>
      <c r="UVI102" s="53"/>
      <c r="UVJ102" s="53"/>
      <c r="UVK102" s="53"/>
      <c r="UVL102" s="53"/>
      <c r="UVM102" s="53"/>
      <c r="UVN102" s="53"/>
      <c r="UVO102" s="53"/>
      <c r="UVP102" s="53"/>
      <c r="UVQ102" s="53"/>
      <c r="UVR102" s="53"/>
      <c r="UVS102" s="53"/>
      <c r="UVT102" s="53"/>
      <c r="UVU102" s="53"/>
      <c r="UVV102" s="53"/>
      <c r="UVW102" s="53"/>
      <c r="UVX102" s="53"/>
      <c r="UVY102" s="53"/>
      <c r="UVZ102" s="53"/>
      <c r="UWA102" s="53"/>
      <c r="UWB102" s="53"/>
      <c r="UWC102" s="53"/>
      <c r="UWD102" s="53"/>
      <c r="UWE102" s="53"/>
      <c r="UWF102" s="53"/>
      <c r="UWG102" s="53"/>
      <c r="UWH102" s="53"/>
      <c r="UWI102" s="53"/>
      <c r="UWJ102" s="53"/>
      <c r="UWK102" s="53"/>
      <c r="UWL102" s="53"/>
      <c r="UWM102" s="53"/>
      <c r="UWN102" s="53"/>
      <c r="UWO102" s="53"/>
      <c r="UWP102" s="53"/>
      <c r="UWQ102" s="53"/>
      <c r="UWR102" s="53"/>
      <c r="UWS102" s="53"/>
      <c r="UWT102" s="53"/>
      <c r="UWU102" s="53"/>
      <c r="UWV102" s="53"/>
      <c r="UWW102" s="53"/>
      <c r="UWX102" s="53"/>
      <c r="UWY102" s="53"/>
      <c r="UWZ102" s="53"/>
      <c r="UXA102" s="53"/>
      <c r="UXB102" s="53"/>
      <c r="UXC102" s="53"/>
      <c r="UXD102" s="53"/>
      <c r="UXE102" s="53"/>
      <c r="UXF102" s="53"/>
      <c r="UXG102" s="53"/>
      <c r="UXH102" s="53"/>
      <c r="UXI102" s="53"/>
      <c r="UXJ102" s="53"/>
      <c r="UXK102" s="53"/>
      <c r="UXL102" s="53"/>
      <c r="UXM102" s="53"/>
      <c r="UXN102" s="53"/>
      <c r="UXO102" s="53"/>
      <c r="UXP102" s="53"/>
      <c r="UXQ102" s="53"/>
      <c r="UXR102" s="53"/>
      <c r="UXS102" s="53"/>
      <c r="UXT102" s="53"/>
      <c r="UXU102" s="53"/>
      <c r="UXV102" s="53"/>
      <c r="UXW102" s="53"/>
      <c r="UXX102" s="53"/>
      <c r="UXY102" s="53"/>
      <c r="UXZ102" s="53"/>
      <c r="UYA102" s="53"/>
      <c r="UYB102" s="53"/>
      <c r="UYC102" s="53"/>
      <c r="UYD102" s="53"/>
      <c r="UYE102" s="53"/>
      <c r="UYF102" s="53"/>
      <c r="UYG102" s="53"/>
      <c r="UYH102" s="53"/>
      <c r="UYI102" s="53"/>
      <c r="UYJ102" s="53"/>
      <c r="UYK102" s="53"/>
      <c r="UYL102" s="53"/>
      <c r="UYM102" s="53"/>
      <c r="UYN102" s="53"/>
      <c r="UYO102" s="53"/>
      <c r="UYP102" s="53"/>
      <c r="UYQ102" s="53"/>
      <c r="UYR102" s="53"/>
      <c r="UYS102" s="53"/>
      <c r="UYT102" s="53"/>
      <c r="UYU102" s="53"/>
      <c r="UYV102" s="53"/>
      <c r="UYW102" s="53"/>
      <c r="UYX102" s="53"/>
      <c r="UYY102" s="53"/>
      <c r="UYZ102" s="53"/>
      <c r="UZA102" s="53"/>
      <c r="UZB102" s="53"/>
      <c r="UZC102" s="53"/>
      <c r="UZD102" s="53"/>
      <c r="UZE102" s="53"/>
      <c r="UZF102" s="53"/>
      <c r="UZG102" s="53"/>
      <c r="UZH102" s="53"/>
      <c r="UZI102" s="53"/>
      <c r="UZJ102" s="53"/>
      <c r="UZK102" s="53"/>
      <c r="UZL102" s="53"/>
      <c r="UZM102" s="53"/>
      <c r="UZN102" s="53"/>
      <c r="UZO102" s="53"/>
      <c r="UZP102" s="53"/>
      <c r="UZQ102" s="53"/>
      <c r="UZR102" s="53"/>
      <c r="UZS102" s="53"/>
      <c r="UZT102" s="53"/>
      <c r="UZU102" s="53"/>
      <c r="UZV102" s="53"/>
      <c r="UZW102" s="53"/>
      <c r="UZX102" s="53"/>
      <c r="UZY102" s="53"/>
      <c r="UZZ102" s="53"/>
      <c r="VAA102" s="53"/>
      <c r="VAB102" s="53"/>
      <c r="VAC102" s="53"/>
      <c r="VAD102" s="53"/>
      <c r="VAE102" s="53"/>
      <c r="VAF102" s="53"/>
      <c r="VAG102" s="53"/>
      <c r="VAH102" s="53"/>
      <c r="VAI102" s="53"/>
      <c r="VAJ102" s="53"/>
      <c r="VAK102" s="53"/>
      <c r="VAL102" s="53"/>
      <c r="VAM102" s="53"/>
      <c r="VAN102" s="53"/>
      <c r="VAO102" s="53"/>
      <c r="VAP102" s="53"/>
      <c r="VAQ102" s="53"/>
      <c r="VAR102" s="53"/>
      <c r="VAS102" s="53"/>
      <c r="VAT102" s="53"/>
      <c r="VAU102" s="53"/>
      <c r="VAV102" s="53"/>
      <c r="VAW102" s="53"/>
      <c r="VAX102" s="53"/>
      <c r="VAY102" s="53"/>
      <c r="VAZ102" s="53"/>
      <c r="VBA102" s="53"/>
      <c r="VBB102" s="53"/>
      <c r="VBC102" s="53"/>
      <c r="VBD102" s="53"/>
      <c r="VBE102" s="53"/>
      <c r="VBF102" s="53"/>
      <c r="VBG102" s="53"/>
      <c r="VBH102" s="53"/>
      <c r="VBI102" s="53"/>
      <c r="VBJ102" s="53"/>
      <c r="VBK102" s="53"/>
      <c r="VBL102" s="53"/>
      <c r="VBM102" s="53"/>
      <c r="VBN102" s="53"/>
      <c r="VBO102" s="53"/>
      <c r="VBP102" s="53"/>
      <c r="VBQ102" s="53"/>
      <c r="VBR102" s="53"/>
      <c r="VBS102" s="53"/>
      <c r="VBT102" s="53"/>
      <c r="VBU102" s="53"/>
      <c r="VBV102" s="53"/>
      <c r="VBW102" s="53"/>
      <c r="VBX102" s="53"/>
      <c r="VBY102" s="53"/>
      <c r="VBZ102" s="53"/>
      <c r="VCA102" s="53"/>
      <c r="VCB102" s="53"/>
      <c r="VCC102" s="53"/>
      <c r="VCD102" s="53"/>
      <c r="VCE102" s="53"/>
      <c r="VCF102" s="53"/>
      <c r="VCG102" s="53"/>
      <c r="VCH102" s="53"/>
      <c r="VCI102" s="53"/>
      <c r="VCJ102" s="53"/>
      <c r="VCK102" s="53"/>
      <c r="VCL102" s="53"/>
      <c r="VCM102" s="53"/>
      <c r="VCN102" s="53"/>
      <c r="VCO102" s="53"/>
      <c r="VCP102" s="53"/>
      <c r="VCQ102" s="53"/>
      <c r="VCR102" s="53"/>
      <c r="VCS102" s="53"/>
      <c r="VCT102" s="53"/>
      <c r="VCU102" s="53"/>
      <c r="VCV102" s="53"/>
      <c r="VCW102" s="53"/>
      <c r="VCX102" s="53"/>
      <c r="VCY102" s="53"/>
      <c r="VCZ102" s="53"/>
      <c r="VDA102" s="53"/>
      <c r="VDB102" s="53"/>
      <c r="VDC102" s="53"/>
      <c r="VDD102" s="53"/>
      <c r="VDE102" s="53"/>
      <c r="VDF102" s="53"/>
      <c r="VDG102" s="53"/>
      <c r="VDH102" s="53"/>
      <c r="VDI102" s="53"/>
      <c r="VDJ102" s="53"/>
      <c r="VDK102" s="53"/>
      <c r="VDL102" s="53"/>
      <c r="VDM102" s="53"/>
      <c r="VDN102" s="53"/>
      <c r="VDO102" s="53"/>
      <c r="VDP102" s="53"/>
      <c r="VDQ102" s="53"/>
      <c r="VDR102" s="53"/>
      <c r="VDS102" s="53"/>
      <c r="VDT102" s="53"/>
      <c r="VDU102" s="53"/>
      <c r="VDV102" s="53"/>
      <c r="VDW102" s="53"/>
      <c r="VDX102" s="53"/>
      <c r="VDY102" s="53"/>
      <c r="VDZ102" s="53"/>
      <c r="VEA102" s="53"/>
      <c r="VEB102" s="53"/>
      <c r="VEC102" s="53"/>
      <c r="VED102" s="53"/>
      <c r="VEE102" s="53"/>
      <c r="VEF102" s="53"/>
      <c r="VEG102" s="53"/>
      <c r="VEH102" s="53"/>
      <c r="VEI102" s="53"/>
      <c r="VEJ102" s="53"/>
      <c r="VEK102" s="53"/>
      <c r="VEL102" s="53"/>
      <c r="VEM102" s="53"/>
      <c r="VEN102" s="53"/>
      <c r="VEO102" s="53"/>
      <c r="VEP102" s="53"/>
      <c r="VEQ102" s="53"/>
      <c r="VER102" s="53"/>
      <c r="VES102" s="53"/>
      <c r="VET102" s="53"/>
      <c r="VEU102" s="53"/>
      <c r="VEV102" s="53"/>
      <c r="VEW102" s="53"/>
      <c r="VEX102" s="53"/>
      <c r="VEY102" s="53"/>
      <c r="VEZ102" s="53"/>
      <c r="VFA102" s="53"/>
      <c r="VFB102" s="53"/>
      <c r="VFC102" s="53"/>
      <c r="VFD102" s="53"/>
      <c r="VFE102" s="53"/>
      <c r="VFF102" s="53"/>
      <c r="VFG102" s="53"/>
      <c r="VFH102" s="53"/>
      <c r="VFI102" s="53"/>
      <c r="VFJ102" s="53"/>
      <c r="VFK102" s="53"/>
      <c r="VFL102" s="53"/>
      <c r="VFM102" s="53"/>
      <c r="VFN102" s="53"/>
      <c r="VFO102" s="53"/>
      <c r="VFP102" s="53"/>
      <c r="VFQ102" s="53"/>
      <c r="VFR102" s="53"/>
      <c r="VFS102" s="53"/>
      <c r="VFT102" s="53"/>
      <c r="VFU102" s="53"/>
      <c r="VFV102" s="53"/>
      <c r="VFW102" s="53"/>
      <c r="VFX102" s="53"/>
      <c r="VFY102" s="53"/>
      <c r="VFZ102" s="53"/>
      <c r="VGA102" s="53"/>
      <c r="VGB102" s="53"/>
      <c r="VGC102" s="53"/>
      <c r="VGD102" s="53"/>
      <c r="VGE102" s="53"/>
      <c r="VGF102" s="53"/>
      <c r="VGG102" s="53"/>
      <c r="VGH102" s="53"/>
      <c r="VGI102" s="53"/>
      <c r="VGJ102" s="53"/>
      <c r="VGK102" s="53"/>
      <c r="VGL102" s="53"/>
      <c r="VGM102" s="53"/>
      <c r="VGN102" s="53"/>
      <c r="VGO102" s="53"/>
      <c r="VGP102" s="53"/>
      <c r="VGQ102" s="53"/>
      <c r="VGR102" s="53"/>
      <c r="VGS102" s="53"/>
      <c r="VGT102" s="53"/>
      <c r="VGU102" s="53"/>
      <c r="VGV102" s="53"/>
      <c r="VGW102" s="53"/>
      <c r="VGX102" s="53"/>
      <c r="VGY102" s="53"/>
      <c r="VGZ102" s="53"/>
      <c r="VHA102" s="53"/>
      <c r="VHB102" s="53"/>
      <c r="VHC102" s="53"/>
      <c r="VHD102" s="53"/>
      <c r="VHE102" s="53"/>
      <c r="VHF102" s="53"/>
      <c r="VHG102" s="53"/>
      <c r="VHH102" s="53"/>
      <c r="VHI102" s="53"/>
      <c r="VHJ102" s="53"/>
      <c r="VHK102" s="53"/>
      <c r="VHL102" s="53"/>
      <c r="VHM102" s="53"/>
      <c r="VHN102" s="53"/>
      <c r="VHO102" s="53"/>
      <c r="VHP102" s="53"/>
      <c r="VHQ102" s="53"/>
      <c r="VHR102" s="53"/>
      <c r="VHS102" s="53"/>
      <c r="VHT102" s="53"/>
      <c r="VHU102" s="53"/>
      <c r="VHV102" s="53"/>
      <c r="VHW102" s="53"/>
      <c r="VHX102" s="53"/>
      <c r="VHY102" s="53"/>
      <c r="VHZ102" s="53"/>
      <c r="VIA102" s="53"/>
      <c r="VIB102" s="53"/>
      <c r="VIC102" s="53"/>
      <c r="VID102" s="53"/>
      <c r="VIE102" s="53"/>
      <c r="VIF102" s="53"/>
      <c r="VIG102" s="53"/>
      <c r="VIH102" s="53"/>
      <c r="VII102" s="53"/>
      <c r="VIJ102" s="53"/>
      <c r="VIK102" s="53"/>
      <c r="VIL102" s="53"/>
      <c r="VIM102" s="53"/>
      <c r="VIN102" s="53"/>
      <c r="VIO102" s="53"/>
      <c r="VIP102" s="53"/>
      <c r="VIQ102" s="53"/>
      <c r="VIR102" s="53"/>
      <c r="VIS102" s="53"/>
      <c r="VIT102" s="53"/>
      <c r="VIU102" s="53"/>
      <c r="VIV102" s="53"/>
      <c r="VIW102" s="53"/>
      <c r="VIX102" s="53"/>
      <c r="VIY102" s="53"/>
      <c r="VIZ102" s="53"/>
      <c r="VJA102" s="53"/>
      <c r="VJB102" s="53"/>
      <c r="VJC102" s="53"/>
      <c r="VJD102" s="53"/>
      <c r="VJE102" s="53"/>
      <c r="VJF102" s="53"/>
      <c r="VJG102" s="53"/>
      <c r="VJH102" s="53"/>
      <c r="VJI102" s="53"/>
      <c r="VJJ102" s="53"/>
      <c r="VJK102" s="53"/>
      <c r="VJL102" s="53"/>
      <c r="VJM102" s="53"/>
      <c r="VJN102" s="53"/>
      <c r="VJO102" s="53"/>
      <c r="VJP102" s="53"/>
      <c r="VJQ102" s="53"/>
      <c r="VJR102" s="53"/>
      <c r="VJS102" s="53"/>
      <c r="VJT102" s="53"/>
      <c r="VJU102" s="53"/>
      <c r="VJV102" s="53"/>
      <c r="VJW102" s="53"/>
      <c r="VJX102" s="53"/>
      <c r="VJY102" s="53"/>
      <c r="VJZ102" s="53"/>
      <c r="VKA102" s="53"/>
      <c r="VKB102" s="53"/>
      <c r="VKC102" s="53"/>
      <c r="VKD102" s="53"/>
      <c r="VKE102" s="53"/>
      <c r="VKF102" s="53"/>
      <c r="VKG102" s="53"/>
      <c r="VKH102" s="53"/>
      <c r="VKI102" s="53"/>
      <c r="VKJ102" s="53"/>
      <c r="VKK102" s="53"/>
      <c r="VKL102" s="53"/>
      <c r="VKM102" s="53"/>
      <c r="VKN102" s="53"/>
      <c r="VKO102" s="53"/>
      <c r="VKP102" s="53"/>
      <c r="VKQ102" s="53"/>
      <c r="VKR102" s="53"/>
      <c r="VKS102" s="53"/>
      <c r="VKT102" s="53"/>
      <c r="VKU102" s="53"/>
      <c r="VKV102" s="53"/>
      <c r="VKW102" s="53"/>
      <c r="VKX102" s="53"/>
      <c r="VKY102" s="53"/>
      <c r="VKZ102" s="53"/>
      <c r="VLA102" s="53"/>
      <c r="VLB102" s="53"/>
      <c r="VLC102" s="53"/>
      <c r="VLD102" s="53"/>
      <c r="VLE102" s="53"/>
      <c r="VLF102" s="53"/>
      <c r="VLG102" s="53"/>
      <c r="VLH102" s="53"/>
      <c r="VLI102" s="53"/>
      <c r="VLJ102" s="53"/>
      <c r="VLK102" s="53"/>
      <c r="VLL102" s="53"/>
      <c r="VLM102" s="53"/>
      <c r="VLN102" s="53"/>
      <c r="VLO102" s="53"/>
      <c r="VLP102" s="53"/>
      <c r="VLQ102" s="53"/>
      <c r="VLR102" s="53"/>
      <c r="VLS102" s="53"/>
      <c r="VLT102" s="53"/>
      <c r="VLU102" s="53"/>
      <c r="VLV102" s="53"/>
      <c r="VLW102" s="53"/>
      <c r="VLX102" s="53"/>
      <c r="VLY102" s="53"/>
      <c r="VLZ102" s="53"/>
      <c r="VMA102" s="53"/>
      <c r="VMB102" s="53"/>
      <c r="VMC102" s="53"/>
      <c r="VMD102" s="53"/>
      <c r="VME102" s="53"/>
      <c r="VMF102" s="53"/>
      <c r="VMG102" s="53"/>
      <c r="VMH102" s="53"/>
      <c r="VMI102" s="53"/>
      <c r="VMJ102" s="53"/>
      <c r="VMK102" s="53"/>
      <c r="VML102" s="53"/>
      <c r="VMM102" s="53"/>
      <c r="VMN102" s="53"/>
      <c r="VMO102" s="53"/>
      <c r="VMP102" s="53"/>
      <c r="VMQ102" s="53"/>
      <c r="VMR102" s="53"/>
      <c r="VMS102" s="53"/>
      <c r="VMT102" s="53"/>
      <c r="VMU102" s="53"/>
      <c r="VMV102" s="53"/>
      <c r="VMW102" s="53"/>
      <c r="VMX102" s="53"/>
      <c r="VMY102" s="53"/>
      <c r="VMZ102" s="53"/>
      <c r="VNA102" s="53"/>
      <c r="VNB102" s="53"/>
      <c r="VNC102" s="53"/>
      <c r="VND102" s="53"/>
      <c r="VNE102" s="53"/>
      <c r="VNF102" s="53"/>
      <c r="VNG102" s="53"/>
      <c r="VNH102" s="53"/>
      <c r="VNI102" s="53"/>
      <c r="VNJ102" s="53"/>
      <c r="VNK102" s="53"/>
      <c r="VNL102" s="53"/>
      <c r="VNM102" s="53"/>
      <c r="VNN102" s="53"/>
      <c r="VNO102" s="53"/>
      <c r="VNP102" s="53"/>
      <c r="VNQ102" s="53"/>
      <c r="VNR102" s="53"/>
      <c r="VNS102" s="53"/>
      <c r="VNT102" s="53"/>
      <c r="VNU102" s="53"/>
      <c r="VNV102" s="53"/>
      <c r="VNW102" s="53"/>
      <c r="VNX102" s="53"/>
      <c r="VNY102" s="53"/>
      <c r="VNZ102" s="53"/>
      <c r="VOA102" s="53"/>
      <c r="VOB102" s="53"/>
      <c r="VOC102" s="53"/>
      <c r="VOD102" s="53"/>
      <c r="VOE102" s="53"/>
      <c r="VOF102" s="53"/>
      <c r="VOG102" s="53"/>
      <c r="VOH102" s="53"/>
      <c r="VOI102" s="53"/>
      <c r="VOJ102" s="53"/>
      <c r="VOK102" s="53"/>
      <c r="VOL102" s="53"/>
      <c r="VOM102" s="53"/>
      <c r="VON102" s="53"/>
      <c r="VOO102" s="53"/>
      <c r="VOP102" s="53"/>
      <c r="VOQ102" s="53"/>
      <c r="VOR102" s="53"/>
      <c r="VOS102" s="53"/>
      <c r="VOT102" s="53"/>
      <c r="VOU102" s="53"/>
      <c r="VOV102" s="53"/>
      <c r="VOW102" s="53"/>
      <c r="VOX102" s="53"/>
      <c r="VOY102" s="53"/>
      <c r="VOZ102" s="53"/>
      <c r="VPA102" s="53"/>
      <c r="VPB102" s="53"/>
      <c r="VPC102" s="53"/>
      <c r="VPD102" s="53"/>
      <c r="VPE102" s="53"/>
      <c r="VPF102" s="53"/>
      <c r="VPG102" s="53"/>
      <c r="VPH102" s="53"/>
      <c r="VPI102" s="53"/>
      <c r="VPJ102" s="53"/>
      <c r="VPK102" s="53"/>
      <c r="VPL102" s="53"/>
      <c r="VPM102" s="53"/>
      <c r="VPN102" s="53"/>
      <c r="VPO102" s="53"/>
      <c r="VPP102" s="53"/>
      <c r="VPQ102" s="53"/>
      <c r="VPR102" s="53"/>
      <c r="VPS102" s="53"/>
      <c r="VPT102" s="53"/>
      <c r="VPU102" s="53"/>
      <c r="VPV102" s="53"/>
      <c r="VPW102" s="53"/>
      <c r="VPX102" s="53"/>
      <c r="VPY102" s="53"/>
      <c r="VPZ102" s="53"/>
      <c r="VQA102" s="53"/>
      <c r="VQB102" s="53"/>
      <c r="VQC102" s="53"/>
      <c r="VQD102" s="53"/>
      <c r="VQE102" s="53"/>
      <c r="VQF102" s="53"/>
      <c r="VQG102" s="53"/>
      <c r="VQH102" s="53"/>
      <c r="VQI102" s="53"/>
      <c r="VQJ102" s="53"/>
      <c r="VQK102" s="53"/>
      <c r="VQL102" s="53"/>
      <c r="VQM102" s="53"/>
      <c r="VQN102" s="53"/>
      <c r="VQO102" s="53"/>
      <c r="VQP102" s="53"/>
      <c r="VQQ102" s="53"/>
      <c r="VQR102" s="53"/>
      <c r="VQS102" s="53"/>
      <c r="VQT102" s="53"/>
      <c r="VQU102" s="53"/>
      <c r="VQV102" s="53"/>
      <c r="VQW102" s="53"/>
      <c r="VQX102" s="53"/>
      <c r="VQY102" s="53"/>
      <c r="VQZ102" s="53"/>
      <c r="VRA102" s="53"/>
      <c r="VRB102" s="53"/>
      <c r="VRC102" s="53"/>
      <c r="VRD102" s="53"/>
      <c r="VRE102" s="53"/>
      <c r="VRF102" s="53"/>
      <c r="VRG102" s="53"/>
      <c r="VRH102" s="53"/>
      <c r="VRI102" s="53"/>
      <c r="VRJ102" s="53"/>
      <c r="VRK102" s="53"/>
      <c r="VRL102" s="53"/>
      <c r="VRM102" s="53"/>
      <c r="VRN102" s="53"/>
      <c r="VRO102" s="53"/>
      <c r="VRP102" s="53"/>
      <c r="VRQ102" s="53"/>
      <c r="VRR102" s="53"/>
      <c r="VRS102" s="53"/>
      <c r="VRT102" s="53"/>
      <c r="VRU102" s="53"/>
      <c r="VRV102" s="53"/>
      <c r="VRW102" s="53"/>
      <c r="VRX102" s="53"/>
      <c r="VRY102" s="53"/>
      <c r="VRZ102" s="53"/>
      <c r="VSA102" s="53"/>
      <c r="VSB102" s="53"/>
      <c r="VSC102" s="53"/>
      <c r="VSD102" s="53"/>
      <c r="VSE102" s="53"/>
      <c r="VSF102" s="53"/>
      <c r="VSG102" s="53"/>
      <c r="VSH102" s="53"/>
      <c r="VSI102" s="53"/>
      <c r="VSJ102" s="53"/>
      <c r="VSK102" s="53"/>
      <c r="VSL102" s="53"/>
      <c r="VSM102" s="53"/>
      <c r="VSN102" s="53"/>
      <c r="VSO102" s="53"/>
      <c r="VSP102" s="53"/>
      <c r="VSQ102" s="53"/>
      <c r="VSR102" s="53"/>
      <c r="VSS102" s="53"/>
      <c r="VST102" s="53"/>
      <c r="VSU102" s="53"/>
      <c r="VSV102" s="53"/>
      <c r="VSW102" s="53"/>
      <c r="VSX102" s="53"/>
      <c r="VSY102" s="53"/>
      <c r="VSZ102" s="53"/>
      <c r="VTA102" s="53"/>
      <c r="VTB102" s="53"/>
      <c r="VTC102" s="53"/>
      <c r="VTD102" s="53"/>
      <c r="VTE102" s="53"/>
      <c r="VTF102" s="53"/>
      <c r="VTG102" s="53"/>
      <c r="VTH102" s="53"/>
      <c r="VTI102" s="53"/>
      <c r="VTJ102" s="53"/>
      <c r="VTK102" s="53"/>
      <c r="VTL102" s="53"/>
      <c r="VTM102" s="53"/>
      <c r="VTN102" s="53"/>
      <c r="VTO102" s="53"/>
      <c r="VTP102" s="53"/>
      <c r="VTQ102" s="53"/>
      <c r="VTR102" s="53"/>
      <c r="VTS102" s="53"/>
      <c r="VTT102" s="53"/>
      <c r="VTU102" s="53"/>
      <c r="VTV102" s="53"/>
      <c r="VTW102" s="53"/>
      <c r="VTX102" s="53"/>
      <c r="VTY102" s="53"/>
      <c r="VTZ102" s="53"/>
      <c r="VUA102" s="53"/>
      <c r="VUB102" s="53"/>
      <c r="VUC102" s="53"/>
      <c r="VUD102" s="53"/>
      <c r="VUE102" s="53"/>
      <c r="VUF102" s="53"/>
      <c r="VUG102" s="53"/>
      <c r="VUH102" s="53"/>
      <c r="VUI102" s="53"/>
      <c r="VUJ102" s="53"/>
      <c r="VUK102" s="53"/>
      <c r="VUL102" s="53"/>
      <c r="VUM102" s="53"/>
      <c r="VUN102" s="53"/>
      <c r="VUO102" s="53"/>
      <c r="VUP102" s="53"/>
      <c r="VUQ102" s="53"/>
      <c r="VUR102" s="53"/>
      <c r="VUS102" s="53"/>
      <c r="VUT102" s="53"/>
      <c r="VUU102" s="53"/>
      <c r="VUV102" s="53"/>
      <c r="VUW102" s="53"/>
      <c r="VUX102" s="53"/>
      <c r="VUY102" s="53"/>
      <c r="VUZ102" s="53"/>
      <c r="VVA102" s="53"/>
      <c r="VVB102" s="53"/>
      <c r="VVC102" s="53"/>
      <c r="VVD102" s="53"/>
      <c r="VVE102" s="53"/>
      <c r="VVF102" s="53"/>
      <c r="VVG102" s="53"/>
      <c r="VVH102" s="53"/>
      <c r="VVI102" s="53"/>
      <c r="VVJ102" s="53"/>
      <c r="VVK102" s="53"/>
      <c r="VVL102" s="53"/>
      <c r="VVM102" s="53"/>
      <c r="VVN102" s="53"/>
      <c r="VVO102" s="53"/>
      <c r="VVP102" s="53"/>
      <c r="VVQ102" s="53"/>
      <c r="VVR102" s="53"/>
      <c r="VVS102" s="53"/>
      <c r="VVT102" s="53"/>
      <c r="VVU102" s="53"/>
      <c r="VVV102" s="53"/>
      <c r="VVW102" s="53"/>
      <c r="VVX102" s="53"/>
      <c r="VVY102" s="53"/>
      <c r="VVZ102" s="53"/>
      <c r="VWA102" s="53"/>
      <c r="VWB102" s="53"/>
      <c r="VWC102" s="53"/>
      <c r="VWD102" s="53"/>
      <c r="VWE102" s="53"/>
      <c r="VWF102" s="53"/>
      <c r="VWG102" s="53"/>
      <c r="VWH102" s="53"/>
      <c r="VWI102" s="53"/>
      <c r="VWJ102" s="53"/>
      <c r="VWK102" s="53"/>
      <c r="VWL102" s="53"/>
      <c r="VWM102" s="53"/>
      <c r="VWN102" s="53"/>
      <c r="VWO102" s="53"/>
      <c r="VWP102" s="53"/>
      <c r="VWQ102" s="53"/>
      <c r="VWR102" s="53"/>
      <c r="VWS102" s="53"/>
      <c r="VWT102" s="53"/>
      <c r="VWU102" s="53"/>
      <c r="VWV102" s="53"/>
      <c r="VWW102" s="53"/>
      <c r="VWX102" s="53"/>
      <c r="VWY102" s="53"/>
      <c r="VWZ102" s="53"/>
      <c r="VXA102" s="53"/>
      <c r="VXB102" s="53"/>
      <c r="VXC102" s="53"/>
      <c r="VXD102" s="53"/>
      <c r="VXE102" s="53"/>
      <c r="VXF102" s="53"/>
      <c r="VXG102" s="53"/>
      <c r="VXH102" s="53"/>
      <c r="VXI102" s="53"/>
      <c r="VXJ102" s="53"/>
      <c r="VXK102" s="53"/>
      <c r="VXL102" s="53"/>
      <c r="VXM102" s="53"/>
      <c r="VXN102" s="53"/>
      <c r="VXO102" s="53"/>
      <c r="VXP102" s="53"/>
      <c r="VXQ102" s="53"/>
      <c r="VXR102" s="53"/>
      <c r="VXS102" s="53"/>
      <c r="VXT102" s="53"/>
      <c r="VXU102" s="53"/>
      <c r="VXV102" s="53"/>
      <c r="VXW102" s="53"/>
      <c r="VXX102" s="53"/>
      <c r="VXY102" s="53"/>
      <c r="VXZ102" s="53"/>
      <c r="VYA102" s="53"/>
      <c r="VYB102" s="53"/>
      <c r="VYC102" s="53"/>
      <c r="VYD102" s="53"/>
      <c r="VYE102" s="53"/>
      <c r="VYF102" s="53"/>
      <c r="VYG102" s="53"/>
      <c r="VYH102" s="53"/>
      <c r="VYI102" s="53"/>
      <c r="VYJ102" s="53"/>
      <c r="VYK102" s="53"/>
      <c r="VYL102" s="53"/>
      <c r="VYM102" s="53"/>
      <c r="VYN102" s="53"/>
      <c r="VYO102" s="53"/>
      <c r="VYP102" s="53"/>
      <c r="VYQ102" s="53"/>
      <c r="VYR102" s="53"/>
      <c r="VYS102" s="53"/>
      <c r="VYT102" s="53"/>
      <c r="VYU102" s="53"/>
      <c r="VYV102" s="53"/>
      <c r="VYW102" s="53"/>
      <c r="VYX102" s="53"/>
      <c r="VYY102" s="53"/>
      <c r="VYZ102" s="53"/>
      <c r="VZA102" s="53"/>
      <c r="VZB102" s="53"/>
      <c r="VZC102" s="53"/>
      <c r="VZD102" s="53"/>
      <c r="VZE102" s="53"/>
      <c r="VZF102" s="53"/>
      <c r="VZG102" s="53"/>
      <c r="VZH102" s="53"/>
      <c r="VZI102" s="53"/>
      <c r="VZJ102" s="53"/>
      <c r="VZK102" s="53"/>
      <c r="VZL102" s="53"/>
      <c r="VZM102" s="53"/>
      <c r="VZN102" s="53"/>
      <c r="VZO102" s="53"/>
      <c r="VZP102" s="53"/>
      <c r="VZQ102" s="53"/>
      <c r="VZR102" s="53"/>
      <c r="VZS102" s="53"/>
      <c r="VZT102" s="53"/>
      <c r="VZU102" s="53"/>
      <c r="VZV102" s="53"/>
      <c r="VZW102" s="53"/>
      <c r="VZX102" s="53"/>
      <c r="VZY102" s="53"/>
      <c r="VZZ102" s="53"/>
      <c r="WAA102" s="53"/>
      <c r="WAB102" s="53"/>
      <c r="WAC102" s="53"/>
      <c r="WAD102" s="53"/>
      <c r="WAE102" s="53"/>
      <c r="WAF102" s="53"/>
      <c r="WAG102" s="53"/>
      <c r="WAH102" s="53"/>
      <c r="WAI102" s="53"/>
      <c r="WAJ102" s="53"/>
      <c r="WAK102" s="53"/>
      <c r="WAL102" s="53"/>
      <c r="WAM102" s="53"/>
      <c r="WAN102" s="53"/>
      <c r="WAO102" s="53"/>
      <c r="WAP102" s="53"/>
      <c r="WAQ102" s="53"/>
      <c r="WAR102" s="53"/>
      <c r="WAS102" s="53"/>
      <c r="WAT102" s="53"/>
      <c r="WAU102" s="53"/>
      <c r="WAV102" s="53"/>
      <c r="WAW102" s="53"/>
      <c r="WAX102" s="53"/>
      <c r="WAY102" s="53"/>
      <c r="WAZ102" s="53"/>
      <c r="WBA102" s="53"/>
      <c r="WBB102" s="53"/>
      <c r="WBC102" s="53"/>
      <c r="WBD102" s="53"/>
      <c r="WBE102" s="53"/>
      <c r="WBF102" s="53"/>
      <c r="WBG102" s="53"/>
      <c r="WBH102" s="53"/>
      <c r="WBI102" s="53"/>
      <c r="WBJ102" s="53"/>
      <c r="WBK102" s="53"/>
      <c r="WBL102" s="53"/>
      <c r="WBM102" s="53"/>
      <c r="WBN102" s="53"/>
      <c r="WBO102" s="53"/>
      <c r="WBP102" s="53"/>
      <c r="WBQ102" s="53"/>
      <c r="WBR102" s="53"/>
      <c r="WBS102" s="53"/>
      <c r="WBT102" s="53"/>
      <c r="WBU102" s="53"/>
      <c r="WBV102" s="53"/>
      <c r="WBW102" s="53"/>
      <c r="WBX102" s="53"/>
      <c r="WBY102" s="53"/>
      <c r="WBZ102" s="53"/>
      <c r="WCA102" s="53"/>
      <c r="WCB102" s="53"/>
      <c r="WCC102" s="53"/>
      <c r="WCD102" s="53"/>
      <c r="WCE102" s="53"/>
      <c r="WCF102" s="53"/>
      <c r="WCG102" s="53"/>
      <c r="WCH102" s="53"/>
      <c r="WCI102" s="53"/>
      <c r="WCJ102" s="53"/>
      <c r="WCK102" s="53"/>
      <c r="WCL102" s="53"/>
      <c r="WCM102" s="53"/>
      <c r="WCN102" s="53"/>
      <c r="WCO102" s="53"/>
      <c r="WCP102" s="53"/>
      <c r="WCQ102" s="53"/>
      <c r="WCR102" s="53"/>
      <c r="WCS102" s="53"/>
      <c r="WCT102" s="53"/>
      <c r="WCU102" s="53"/>
      <c r="WCV102" s="53"/>
      <c r="WCW102" s="53"/>
      <c r="WCX102" s="53"/>
      <c r="WCY102" s="53"/>
      <c r="WCZ102" s="53"/>
      <c r="WDA102" s="53"/>
      <c r="WDB102" s="53"/>
      <c r="WDC102" s="53"/>
      <c r="WDD102" s="53"/>
      <c r="WDE102" s="53"/>
      <c r="WDF102" s="53"/>
      <c r="WDG102" s="53"/>
      <c r="WDH102" s="53"/>
      <c r="WDI102" s="53"/>
      <c r="WDJ102" s="53"/>
      <c r="WDK102" s="53"/>
      <c r="WDL102" s="53"/>
      <c r="WDM102" s="53"/>
      <c r="WDN102" s="53"/>
      <c r="WDO102" s="53"/>
      <c r="WDP102" s="53"/>
      <c r="WDQ102" s="53"/>
      <c r="WDR102" s="53"/>
      <c r="WDS102" s="53"/>
      <c r="WDT102" s="53"/>
      <c r="WDU102" s="53"/>
      <c r="WDV102" s="53"/>
      <c r="WDW102" s="53"/>
      <c r="WDX102" s="53"/>
      <c r="WDY102" s="53"/>
      <c r="WDZ102" s="53"/>
      <c r="WEA102" s="53"/>
      <c r="WEB102" s="53"/>
      <c r="WEC102" s="53"/>
      <c r="WED102" s="53"/>
      <c r="WEE102" s="53"/>
      <c r="WEF102" s="53"/>
      <c r="WEG102" s="53"/>
      <c r="WEH102" s="53"/>
      <c r="WEI102" s="53"/>
      <c r="WEJ102" s="53"/>
      <c r="WEK102" s="53"/>
      <c r="WEL102" s="53"/>
      <c r="WEM102" s="53"/>
      <c r="WEN102" s="53"/>
      <c r="WEO102" s="53"/>
      <c r="WEP102" s="53"/>
      <c r="WEQ102" s="53"/>
      <c r="WER102" s="53"/>
      <c r="WES102" s="53"/>
      <c r="WET102" s="53"/>
      <c r="WEU102" s="53"/>
      <c r="WEV102" s="53"/>
      <c r="WEW102" s="53"/>
      <c r="WEX102" s="53"/>
      <c r="WEY102" s="53"/>
      <c r="WEZ102" s="53"/>
      <c r="WFA102" s="53"/>
      <c r="WFB102" s="53"/>
      <c r="WFC102" s="53"/>
      <c r="WFD102" s="53"/>
      <c r="WFE102" s="53"/>
      <c r="WFF102" s="53"/>
      <c r="WFG102" s="53"/>
      <c r="WFH102" s="53"/>
      <c r="WFI102" s="53"/>
      <c r="WFJ102" s="53"/>
      <c r="WFK102" s="53"/>
      <c r="WFL102" s="53"/>
      <c r="WFM102" s="53"/>
      <c r="WFN102" s="53"/>
      <c r="WFO102" s="53"/>
      <c r="WFP102" s="53"/>
      <c r="WFQ102" s="53"/>
      <c r="WFR102" s="53"/>
      <c r="WFS102" s="53"/>
      <c r="WFT102" s="53"/>
      <c r="WFU102" s="53"/>
      <c r="WFV102" s="53"/>
      <c r="WFW102" s="53"/>
      <c r="WFX102" s="53"/>
      <c r="WFY102" s="53"/>
      <c r="WFZ102" s="53"/>
      <c r="WGA102" s="53"/>
      <c r="WGB102" s="53"/>
      <c r="WGC102" s="53"/>
      <c r="WGD102" s="53"/>
      <c r="WGE102" s="53"/>
      <c r="WGF102" s="53"/>
      <c r="WGG102" s="53"/>
      <c r="WGH102" s="53"/>
      <c r="WGI102" s="53"/>
      <c r="WGJ102" s="53"/>
      <c r="WGK102" s="53"/>
      <c r="WGL102" s="53"/>
      <c r="WGM102" s="53"/>
      <c r="WGN102" s="53"/>
      <c r="WGO102" s="53"/>
      <c r="WGP102" s="53"/>
      <c r="WGQ102" s="53"/>
      <c r="WGR102" s="53"/>
      <c r="WGS102" s="53"/>
      <c r="WGT102" s="53"/>
      <c r="WGU102" s="53"/>
      <c r="WGV102" s="53"/>
      <c r="WGW102" s="53"/>
      <c r="WGX102" s="53"/>
      <c r="WGY102" s="53"/>
      <c r="WGZ102" s="53"/>
      <c r="WHA102" s="53"/>
      <c r="WHB102" s="53"/>
      <c r="WHC102" s="53"/>
      <c r="WHD102" s="53"/>
      <c r="WHE102" s="53"/>
      <c r="WHF102" s="53"/>
      <c r="WHG102" s="53"/>
      <c r="WHH102" s="53"/>
      <c r="WHI102" s="53"/>
      <c r="WHJ102" s="53"/>
      <c r="WHK102" s="53"/>
      <c r="WHL102" s="53"/>
      <c r="WHM102" s="53"/>
      <c r="WHN102" s="53"/>
      <c r="WHO102" s="53"/>
      <c r="WHP102" s="53"/>
      <c r="WHQ102" s="53"/>
      <c r="WHR102" s="53"/>
      <c r="WHS102" s="53"/>
      <c r="WHT102" s="53"/>
      <c r="WHU102" s="53"/>
      <c r="WHV102" s="53"/>
      <c r="WHW102" s="53"/>
      <c r="WHX102" s="53"/>
      <c r="WHY102" s="53"/>
      <c r="WHZ102" s="53"/>
      <c r="WIA102" s="53"/>
      <c r="WIB102" s="53"/>
      <c r="WIC102" s="53"/>
      <c r="WID102" s="53"/>
      <c r="WIE102" s="53"/>
      <c r="WIF102" s="53"/>
      <c r="WIG102" s="53"/>
      <c r="WIH102" s="53"/>
      <c r="WII102" s="53"/>
      <c r="WIJ102" s="53"/>
      <c r="WIK102" s="53"/>
      <c r="WIL102" s="53"/>
      <c r="WIM102" s="53"/>
      <c r="WIN102" s="53"/>
      <c r="WIO102" s="53"/>
      <c r="WIP102" s="53"/>
      <c r="WIQ102" s="53"/>
      <c r="WIR102" s="53"/>
      <c r="WIS102" s="53"/>
      <c r="WIT102" s="53"/>
      <c r="WIU102" s="53"/>
      <c r="WIV102" s="53"/>
      <c r="WIW102" s="53"/>
      <c r="WIX102" s="53"/>
      <c r="WIY102" s="53"/>
      <c r="WIZ102" s="53"/>
      <c r="WJA102" s="53"/>
      <c r="WJB102" s="53"/>
      <c r="WJC102" s="53"/>
      <c r="WJD102" s="53"/>
      <c r="WJE102" s="53"/>
      <c r="WJF102" s="53"/>
      <c r="WJG102" s="53"/>
      <c r="WJH102" s="53"/>
      <c r="WJI102" s="53"/>
      <c r="WJJ102" s="53"/>
      <c r="WJK102" s="53"/>
      <c r="WJL102" s="53"/>
      <c r="WJM102" s="53"/>
      <c r="WJN102" s="53"/>
      <c r="WJO102" s="53"/>
      <c r="WJP102" s="53"/>
      <c r="WJQ102" s="53"/>
      <c r="WJR102" s="53"/>
      <c r="WJS102" s="53"/>
      <c r="WJT102" s="53"/>
      <c r="WJU102" s="53"/>
      <c r="WJV102" s="53"/>
      <c r="WJW102" s="53"/>
      <c r="WJX102" s="53"/>
      <c r="WJY102" s="53"/>
      <c r="WJZ102" s="53"/>
      <c r="WKA102" s="53"/>
      <c r="WKB102" s="53"/>
      <c r="WKC102" s="53"/>
      <c r="WKD102" s="53"/>
      <c r="WKE102" s="53"/>
      <c r="WKF102" s="53"/>
      <c r="WKG102" s="53"/>
      <c r="WKH102" s="53"/>
      <c r="WKI102" s="53"/>
      <c r="WKJ102" s="53"/>
      <c r="WKK102" s="53"/>
      <c r="WKL102" s="53"/>
      <c r="WKM102" s="53"/>
      <c r="WKN102" s="53"/>
      <c r="WKO102" s="53"/>
      <c r="WKP102" s="53"/>
      <c r="WKQ102" s="53"/>
      <c r="WKR102" s="53"/>
      <c r="WKS102" s="53"/>
      <c r="WKT102" s="53"/>
      <c r="WKU102" s="53"/>
      <c r="WKV102" s="53"/>
      <c r="WKW102" s="53"/>
      <c r="WKX102" s="53"/>
      <c r="WKY102" s="53"/>
      <c r="WKZ102" s="53"/>
      <c r="WLA102" s="53"/>
      <c r="WLB102" s="53"/>
      <c r="WLC102" s="53"/>
      <c r="WLD102" s="53"/>
      <c r="WLE102" s="53"/>
      <c r="WLF102" s="53"/>
      <c r="WLG102" s="53"/>
      <c r="WLH102" s="53"/>
      <c r="WLI102" s="53"/>
      <c r="WLJ102" s="53"/>
      <c r="WLK102" s="53"/>
      <c r="WLL102" s="53"/>
      <c r="WLM102" s="53"/>
      <c r="WLN102" s="53"/>
      <c r="WLO102" s="53"/>
      <c r="WLP102" s="53"/>
      <c r="WLQ102" s="53"/>
      <c r="WLR102" s="53"/>
      <c r="WLS102" s="53"/>
      <c r="WLT102" s="53"/>
      <c r="WLU102" s="53"/>
      <c r="WLV102" s="53"/>
      <c r="WLW102" s="53"/>
      <c r="WLX102" s="53"/>
      <c r="WLY102" s="53"/>
      <c r="WLZ102" s="53"/>
      <c r="WMA102" s="53"/>
      <c r="WMB102" s="53"/>
      <c r="WMC102" s="53"/>
      <c r="WMD102" s="53"/>
      <c r="WME102" s="53"/>
      <c r="WMF102" s="53"/>
      <c r="WMG102" s="53"/>
      <c r="WMH102" s="53"/>
      <c r="WMI102" s="53"/>
      <c r="WMJ102" s="53"/>
      <c r="WMK102" s="53"/>
      <c r="WML102" s="53"/>
      <c r="WMM102" s="53"/>
      <c r="WMN102" s="53"/>
      <c r="WMO102" s="53"/>
      <c r="WMP102" s="53"/>
      <c r="WMQ102" s="53"/>
      <c r="WMR102" s="53"/>
      <c r="WMS102" s="53"/>
      <c r="WMT102" s="53"/>
      <c r="WMU102" s="53"/>
      <c r="WMV102" s="53"/>
      <c r="WMW102" s="53"/>
      <c r="WMX102" s="53"/>
      <c r="WMY102" s="53"/>
      <c r="WMZ102" s="53"/>
      <c r="WNA102" s="53"/>
      <c r="WNB102" s="53"/>
      <c r="WNC102" s="53"/>
      <c r="WND102" s="53"/>
      <c r="WNE102" s="53"/>
      <c r="WNF102" s="53"/>
      <c r="WNG102" s="53"/>
      <c r="WNH102" s="53"/>
      <c r="WNI102" s="53"/>
      <c r="WNJ102" s="53"/>
      <c r="WNK102" s="53"/>
      <c r="WNL102" s="53"/>
      <c r="WNM102" s="53"/>
      <c r="WNN102" s="53"/>
      <c r="WNO102" s="53"/>
      <c r="WNP102" s="53"/>
      <c r="WNQ102" s="53"/>
      <c r="WNR102" s="53"/>
      <c r="WNS102" s="53"/>
      <c r="WNT102" s="53"/>
      <c r="WNU102" s="53"/>
      <c r="WNV102" s="53"/>
      <c r="WNW102" s="53"/>
      <c r="WNX102" s="53"/>
      <c r="WNY102" s="53"/>
      <c r="WNZ102" s="53"/>
      <c r="WOA102" s="53"/>
      <c r="WOB102" s="53"/>
      <c r="WOC102" s="53"/>
      <c r="WOD102" s="53"/>
      <c r="WOE102" s="53"/>
      <c r="WOF102" s="53"/>
      <c r="WOG102" s="53"/>
      <c r="WOH102" s="53"/>
      <c r="WOI102" s="53"/>
      <c r="WOJ102" s="53"/>
      <c r="WOK102" s="53"/>
      <c r="WOL102" s="53"/>
      <c r="WOM102" s="53"/>
      <c r="WON102" s="53"/>
      <c r="WOO102" s="53"/>
      <c r="WOP102" s="53"/>
      <c r="WOQ102" s="53"/>
      <c r="WOR102" s="53"/>
      <c r="WOS102" s="53"/>
      <c r="WOT102" s="53"/>
      <c r="WOU102" s="53"/>
      <c r="WOV102" s="53"/>
      <c r="WOW102" s="53"/>
      <c r="WOX102" s="53"/>
      <c r="WOY102" s="53"/>
      <c r="WOZ102" s="53"/>
      <c r="WPA102" s="53"/>
      <c r="WPB102" s="53"/>
      <c r="WPC102" s="53"/>
      <c r="WPD102" s="53"/>
      <c r="WPE102" s="53"/>
      <c r="WPF102" s="53"/>
      <c r="WPG102" s="53"/>
      <c r="WPH102" s="53"/>
      <c r="WPI102" s="53"/>
      <c r="WPJ102" s="53"/>
      <c r="WPK102" s="53"/>
      <c r="WPL102" s="53"/>
      <c r="WPM102" s="53"/>
      <c r="WPN102" s="53"/>
      <c r="WPO102" s="53"/>
      <c r="WPP102" s="53"/>
      <c r="WPQ102" s="53"/>
      <c r="WPR102" s="53"/>
      <c r="WPS102" s="53"/>
      <c r="WPT102" s="53"/>
      <c r="WPU102" s="53"/>
      <c r="WPV102" s="53"/>
      <c r="WPW102" s="53"/>
      <c r="WPX102" s="53"/>
      <c r="WPY102" s="53"/>
      <c r="WPZ102" s="53"/>
      <c r="WQA102" s="53"/>
      <c r="WQB102" s="53"/>
      <c r="WQC102" s="53"/>
      <c r="WQD102" s="53"/>
      <c r="WQE102" s="53"/>
      <c r="WQF102" s="53"/>
      <c r="WQG102" s="53"/>
      <c r="WQH102" s="53"/>
      <c r="WQI102" s="53"/>
      <c r="WQJ102" s="53"/>
      <c r="WQK102" s="53"/>
      <c r="WQL102" s="53"/>
      <c r="WQM102" s="53"/>
      <c r="WQN102" s="53"/>
      <c r="WQO102" s="53"/>
      <c r="WQP102" s="53"/>
      <c r="WQQ102" s="53"/>
      <c r="WQR102" s="53"/>
      <c r="WQS102" s="53"/>
      <c r="WQT102" s="53"/>
      <c r="WQU102" s="53"/>
      <c r="WQV102" s="53"/>
      <c r="WQW102" s="53"/>
      <c r="WQX102" s="53"/>
      <c r="WQY102" s="53"/>
      <c r="WQZ102" s="53"/>
      <c r="WRA102" s="53"/>
      <c r="WRB102" s="53"/>
      <c r="WRC102" s="53"/>
      <c r="WRD102" s="53"/>
      <c r="WRE102" s="53"/>
      <c r="WRF102" s="53"/>
      <c r="WRG102" s="53"/>
      <c r="WRH102" s="53"/>
      <c r="WRI102" s="53"/>
      <c r="WRJ102" s="53"/>
      <c r="WRK102" s="53"/>
      <c r="WRL102" s="53"/>
      <c r="WRM102" s="53"/>
      <c r="WRN102" s="53"/>
      <c r="WRO102" s="53"/>
      <c r="WRP102" s="53"/>
      <c r="WRQ102" s="53"/>
      <c r="WRR102" s="53"/>
      <c r="WRS102" s="53"/>
      <c r="WRT102" s="53"/>
      <c r="WRU102" s="53"/>
      <c r="WRV102" s="53"/>
      <c r="WRW102" s="53"/>
      <c r="WRX102" s="53"/>
      <c r="WRY102" s="53"/>
      <c r="WRZ102" s="53"/>
      <c r="WSA102" s="53"/>
      <c r="WSB102" s="53"/>
      <c r="WSC102" s="53"/>
      <c r="WSD102" s="53"/>
      <c r="WSE102" s="53"/>
      <c r="WSF102" s="53"/>
      <c r="WSG102" s="53"/>
      <c r="WSH102" s="53"/>
      <c r="WSI102" s="53"/>
      <c r="WSJ102" s="53"/>
      <c r="WSK102" s="53"/>
      <c r="WSL102" s="53"/>
      <c r="WSM102" s="53"/>
      <c r="WSN102" s="53"/>
      <c r="WSO102" s="53"/>
      <c r="WSP102" s="53"/>
      <c r="WSQ102" s="53"/>
      <c r="WSR102" s="53"/>
      <c r="WSS102" s="53"/>
      <c r="WST102" s="53"/>
      <c r="WSU102" s="53"/>
      <c r="WSV102" s="53"/>
      <c r="WSW102" s="53"/>
      <c r="WSX102" s="53"/>
      <c r="WSY102" s="53"/>
      <c r="WSZ102" s="53"/>
      <c r="WTA102" s="53"/>
      <c r="WTB102" s="53"/>
      <c r="WTC102" s="53"/>
      <c r="WTD102" s="53"/>
      <c r="WTE102" s="53"/>
      <c r="WTF102" s="53"/>
      <c r="WTG102" s="53"/>
      <c r="WTH102" s="53"/>
      <c r="WTI102" s="53"/>
      <c r="WTJ102" s="53"/>
      <c r="WTK102" s="53"/>
      <c r="WTL102" s="53"/>
      <c r="WTM102" s="53"/>
      <c r="WTN102" s="53"/>
      <c r="WTO102" s="53"/>
      <c r="WTP102" s="53"/>
      <c r="WTQ102" s="53"/>
      <c r="WTR102" s="53"/>
      <c r="WTS102" s="53"/>
      <c r="WTT102" s="53"/>
      <c r="WTU102" s="53"/>
      <c r="WTV102" s="53"/>
      <c r="WTW102" s="53"/>
      <c r="WTX102" s="53"/>
      <c r="WTY102" s="53"/>
      <c r="WTZ102" s="53"/>
      <c r="WUA102" s="53"/>
      <c r="WUB102" s="53"/>
      <c r="WUC102" s="53"/>
      <c r="WUD102" s="53"/>
      <c r="WUE102" s="53"/>
      <c r="WUF102" s="53"/>
      <c r="WUG102" s="53"/>
      <c r="WUH102" s="53"/>
      <c r="WUI102" s="53"/>
      <c r="WUJ102" s="53"/>
      <c r="WUK102" s="53"/>
      <c r="WUL102" s="53"/>
      <c r="WUM102" s="53"/>
      <c r="WUN102" s="53"/>
      <c r="WUO102" s="53"/>
      <c r="WUP102" s="53"/>
      <c r="WUQ102" s="53"/>
      <c r="WUR102" s="53"/>
      <c r="WUS102" s="53"/>
      <c r="WUT102" s="53"/>
      <c r="WUU102" s="53"/>
      <c r="WUV102" s="53"/>
      <c r="WUW102" s="53"/>
      <c r="WUX102" s="53"/>
      <c r="WUY102" s="53"/>
      <c r="WUZ102" s="53"/>
      <c r="WVA102" s="53"/>
      <c r="WVB102" s="53"/>
      <c r="WVC102" s="53"/>
      <c r="WVD102" s="53"/>
      <c r="WVE102" s="53"/>
      <c r="WVF102" s="53"/>
      <c r="WVG102" s="53"/>
      <c r="WVH102" s="53"/>
      <c r="WVI102" s="53"/>
      <c r="WVJ102" s="53"/>
      <c r="WVK102" s="53"/>
      <c r="WVL102" s="53"/>
      <c r="WVM102" s="53"/>
      <c r="WVN102" s="53"/>
      <c r="WVO102" s="53"/>
      <c r="WVP102" s="53"/>
      <c r="WVQ102" s="53"/>
      <c r="WVR102" s="53"/>
      <c r="WVS102" s="53"/>
      <c r="WVT102" s="53"/>
      <c r="WVU102" s="53"/>
      <c r="WVV102" s="53"/>
      <c r="WVW102" s="53"/>
      <c r="WVX102" s="53"/>
      <c r="WVY102" s="53"/>
      <c r="WVZ102" s="53"/>
      <c r="WWA102" s="53"/>
      <c r="WWB102" s="53"/>
      <c r="WWC102" s="53"/>
      <c r="WWD102" s="53"/>
      <c r="WWE102" s="53"/>
      <c r="WWF102" s="53"/>
      <c r="WWG102" s="53"/>
      <c r="WWH102" s="53"/>
      <c r="WWI102" s="53"/>
      <c r="WWJ102" s="53"/>
      <c r="WWK102" s="53"/>
      <c r="WWL102" s="53"/>
      <c r="WWM102" s="53"/>
      <c r="WWN102" s="53"/>
      <c r="WWO102" s="53"/>
      <c r="WWP102" s="53"/>
      <c r="WWQ102" s="53"/>
      <c r="WWR102" s="53"/>
      <c r="WWS102" s="53"/>
      <c r="WWT102" s="53"/>
      <c r="WWU102" s="53"/>
      <c r="WWV102" s="53"/>
      <c r="WWW102" s="53"/>
      <c r="WWX102" s="53"/>
      <c r="WWY102" s="53"/>
      <c r="WWZ102" s="53"/>
      <c r="WXA102" s="53"/>
      <c r="WXB102" s="53"/>
      <c r="WXC102" s="53"/>
      <c r="WXD102" s="53"/>
      <c r="WXE102" s="53"/>
      <c r="WXF102" s="53"/>
      <c r="WXG102" s="53"/>
      <c r="WXH102" s="53"/>
      <c r="WXI102" s="53"/>
      <c r="WXJ102" s="53"/>
      <c r="WXK102" s="53"/>
      <c r="WXL102" s="53"/>
      <c r="WXM102" s="53"/>
      <c r="WXN102" s="53"/>
      <c r="WXO102" s="53"/>
      <c r="WXP102" s="53"/>
      <c r="WXQ102" s="53"/>
      <c r="WXR102" s="53"/>
      <c r="WXS102" s="53"/>
      <c r="WXT102" s="53"/>
      <c r="WXU102" s="53"/>
      <c r="WXV102" s="53"/>
      <c r="WXW102" s="53"/>
      <c r="WXX102" s="53"/>
      <c r="WXY102" s="53"/>
      <c r="WXZ102" s="53"/>
      <c r="WYA102" s="53"/>
      <c r="WYB102" s="53"/>
      <c r="WYC102" s="53"/>
      <c r="WYD102" s="53"/>
      <c r="WYE102" s="53"/>
      <c r="WYF102" s="53"/>
      <c r="WYG102" s="53"/>
      <c r="WYH102" s="53"/>
      <c r="WYI102" s="53"/>
      <c r="WYJ102" s="53"/>
      <c r="WYK102" s="53"/>
      <c r="WYL102" s="53"/>
      <c r="WYM102" s="53"/>
      <c r="WYN102" s="53"/>
      <c r="WYO102" s="53"/>
      <c r="WYP102" s="53"/>
      <c r="WYQ102" s="53"/>
      <c r="WYR102" s="53"/>
      <c r="WYS102" s="53"/>
      <c r="WYT102" s="53"/>
      <c r="WYU102" s="53"/>
      <c r="WYV102" s="53"/>
      <c r="WYW102" s="53"/>
      <c r="WYX102" s="53"/>
      <c r="WYY102" s="53"/>
      <c r="WYZ102" s="53"/>
      <c r="WZA102" s="53"/>
      <c r="WZB102" s="53"/>
      <c r="WZC102" s="53"/>
      <c r="WZD102" s="53"/>
      <c r="WZE102" s="53"/>
      <c r="WZF102" s="53"/>
      <c r="WZG102" s="53"/>
      <c r="WZH102" s="53"/>
      <c r="WZI102" s="53"/>
      <c r="WZJ102" s="53"/>
      <c r="WZK102" s="53"/>
      <c r="WZL102" s="53"/>
      <c r="WZM102" s="53"/>
      <c r="WZN102" s="53"/>
      <c r="WZO102" s="53"/>
      <c r="WZP102" s="53"/>
      <c r="WZQ102" s="53"/>
      <c r="WZR102" s="53"/>
      <c r="WZS102" s="53"/>
      <c r="WZT102" s="53"/>
      <c r="WZU102" s="53"/>
      <c r="WZV102" s="53"/>
      <c r="WZW102" s="53"/>
      <c r="WZX102" s="53"/>
      <c r="WZY102" s="53"/>
      <c r="WZZ102" s="53"/>
      <c r="XAA102" s="53"/>
      <c r="XAB102" s="53"/>
      <c r="XAC102" s="53"/>
      <c r="XAD102" s="53"/>
      <c r="XAE102" s="53"/>
      <c r="XAF102" s="53"/>
      <c r="XAG102" s="53"/>
      <c r="XAH102" s="53"/>
      <c r="XAI102" s="53"/>
      <c r="XAJ102" s="53"/>
      <c r="XAK102" s="53"/>
      <c r="XAL102" s="53"/>
      <c r="XAM102" s="53"/>
      <c r="XAN102" s="53"/>
      <c r="XAO102" s="53"/>
      <c r="XAP102" s="53"/>
      <c r="XAQ102" s="53"/>
      <c r="XAR102" s="53"/>
      <c r="XAS102" s="53"/>
      <c r="XAT102" s="53"/>
      <c r="XAU102" s="53"/>
      <c r="XAV102" s="53"/>
      <c r="XAW102" s="53"/>
      <c r="XAX102" s="53"/>
      <c r="XAY102" s="53"/>
      <c r="XAZ102" s="53"/>
      <c r="XBA102" s="53"/>
      <c r="XBB102" s="53"/>
      <c r="XBC102" s="53"/>
      <c r="XBD102" s="53"/>
      <c r="XBE102" s="53"/>
      <c r="XBF102" s="53"/>
      <c r="XBG102" s="53"/>
      <c r="XBH102" s="53"/>
      <c r="XBI102" s="53"/>
      <c r="XBJ102" s="53"/>
      <c r="XBK102" s="53"/>
      <c r="XBL102" s="53"/>
      <c r="XBM102" s="53"/>
      <c r="XBN102" s="53"/>
      <c r="XBO102" s="53"/>
      <c r="XBP102" s="53"/>
      <c r="XBQ102" s="53"/>
      <c r="XBR102" s="53"/>
      <c r="XBS102" s="53"/>
      <c r="XBT102" s="53"/>
      <c r="XBU102" s="53"/>
      <c r="XBV102" s="53"/>
      <c r="XBW102" s="53"/>
      <c r="XBX102" s="53"/>
      <c r="XBY102" s="53"/>
      <c r="XBZ102" s="53"/>
      <c r="XCA102" s="53"/>
      <c r="XCB102" s="53"/>
      <c r="XCC102" s="53"/>
      <c r="XCD102" s="53"/>
      <c r="XCE102" s="53"/>
      <c r="XCF102" s="53"/>
      <c r="XCG102" s="53"/>
      <c r="XCH102" s="53"/>
      <c r="XCI102" s="53"/>
      <c r="XCJ102" s="53"/>
      <c r="XCK102" s="53"/>
      <c r="XCL102" s="53"/>
      <c r="XCM102" s="53"/>
      <c r="XCN102" s="53"/>
      <c r="XCO102" s="53"/>
      <c r="XCP102" s="53"/>
      <c r="XCQ102" s="53"/>
      <c r="XCR102" s="53"/>
      <c r="XCS102" s="53"/>
      <c r="XCT102" s="53"/>
      <c r="XCU102" s="53"/>
      <c r="XCV102" s="53"/>
      <c r="XCW102" s="53"/>
      <c r="XCX102" s="53"/>
      <c r="XCY102" s="53"/>
      <c r="XCZ102" s="53"/>
      <c r="XDA102" s="53"/>
      <c r="XDB102" s="53"/>
      <c r="XDC102" s="53"/>
      <c r="XDD102" s="53"/>
      <c r="XDE102" s="53"/>
      <c r="XDF102" s="53"/>
      <c r="XDG102" s="53"/>
      <c r="XDH102" s="53"/>
      <c r="XDI102" s="53"/>
      <c r="XDJ102" s="53"/>
      <c r="XDK102" s="53"/>
      <c r="XDL102" s="53"/>
      <c r="XDM102" s="53"/>
      <c r="XDN102" s="53"/>
      <c r="XDO102" s="53"/>
      <c r="XDP102" s="53"/>
      <c r="XDQ102" s="53"/>
      <c r="XDR102" s="53"/>
      <c r="XDS102" s="53"/>
      <c r="XDT102" s="53"/>
      <c r="XDU102" s="53"/>
      <c r="XDV102" s="53"/>
      <c r="XDW102" s="53"/>
      <c r="XDX102" s="53"/>
      <c r="XDY102" s="53"/>
      <c r="XDZ102" s="53"/>
      <c r="XEA102" s="53"/>
      <c r="XEB102" s="53"/>
      <c r="XEC102" s="53"/>
      <c r="XED102" s="53"/>
      <c r="XEE102" s="53"/>
      <c r="XEF102" s="53"/>
      <c r="XEG102" s="53"/>
      <c r="XEH102" s="53"/>
      <c r="XEI102" s="53"/>
      <c r="XEJ102" s="53"/>
      <c r="XEK102" s="53"/>
      <c r="XEL102" s="53"/>
      <c r="XEM102" s="53"/>
      <c r="XEN102" s="53"/>
      <c r="XEO102" s="53"/>
      <c r="XEP102" s="53"/>
      <c r="XEQ102" s="53"/>
      <c r="XER102" s="53"/>
      <c r="XES102" s="53"/>
      <c r="XET102" s="53"/>
      <c r="XEU102" s="53"/>
      <c r="XEV102" s="53"/>
      <c r="XEW102" s="53"/>
      <c r="XEX102" s="53"/>
      <c r="XEY102" s="53"/>
      <c r="XEZ102" s="53"/>
      <c r="XFA102" s="53"/>
      <c r="XFB102" s="53"/>
      <c r="XFC102" s="53"/>
      <c r="XFD102" s="53"/>
    </row>
    <row r="103" s="3" customFormat="1" customHeight="1" spans="1:18">
      <c r="A103" s="21" t="s">
        <v>974</v>
      </c>
      <c r="B103" s="22" t="s">
        <v>977</v>
      </c>
      <c r="C103" s="22" t="s">
        <v>898</v>
      </c>
      <c r="D103" s="18" t="s">
        <v>837</v>
      </c>
      <c r="E103" s="23"/>
      <c r="F103" s="24"/>
      <c r="G103" s="24"/>
      <c r="H103" s="24"/>
      <c r="I103" s="24"/>
      <c r="J103" s="24"/>
      <c r="K103" s="24"/>
      <c r="L103" s="43"/>
      <c r="M103" s="39"/>
      <c r="N103" s="40"/>
      <c r="O103" s="41">
        <f>VLOOKUP(B103,出勤汇总!C:S,17,0)</f>
        <v>19</v>
      </c>
      <c r="P103" s="42">
        <f t="shared" si="7"/>
        <v>19</v>
      </c>
      <c r="Q103" s="42">
        <f>VLOOKUP(B103,餐补次数!R:S,2,0)</f>
        <v>7</v>
      </c>
      <c r="R103" s="51">
        <f t="shared" si="6"/>
        <v>105</v>
      </c>
    </row>
    <row r="104" s="3" customFormat="1" customHeight="1" spans="1:18">
      <c r="A104" s="21" t="s">
        <v>974</v>
      </c>
      <c r="B104" s="22" t="s">
        <v>978</v>
      </c>
      <c r="C104" s="22" t="s">
        <v>898</v>
      </c>
      <c r="D104" s="18" t="s">
        <v>837</v>
      </c>
      <c r="E104" s="23"/>
      <c r="F104" s="24"/>
      <c r="G104" s="24"/>
      <c r="H104" s="24"/>
      <c r="I104" s="24"/>
      <c r="J104" s="24"/>
      <c r="K104" s="24"/>
      <c r="L104" s="43"/>
      <c r="M104" s="39"/>
      <c r="N104" s="40"/>
      <c r="O104" s="41">
        <f>VLOOKUP(B104,出勤汇总!C:S,17,0)</f>
        <v>19</v>
      </c>
      <c r="P104" s="42">
        <f t="shared" si="7"/>
        <v>19</v>
      </c>
      <c r="Q104" s="42">
        <f>VLOOKUP(B104,餐补次数!R:S,2,0)</f>
        <v>14</v>
      </c>
      <c r="R104" s="51">
        <f t="shared" si="6"/>
        <v>210</v>
      </c>
    </row>
    <row r="105" s="3" customFormat="1" customHeight="1" spans="1:18">
      <c r="A105" s="21" t="s">
        <v>979</v>
      </c>
      <c r="B105" s="22" t="s">
        <v>980</v>
      </c>
      <c r="C105" s="22" t="s">
        <v>898</v>
      </c>
      <c r="D105" s="18" t="s">
        <v>837</v>
      </c>
      <c r="E105" s="23"/>
      <c r="F105" s="24"/>
      <c r="G105" s="24"/>
      <c r="H105" s="24"/>
      <c r="I105" s="24"/>
      <c r="J105" s="24"/>
      <c r="K105" s="24"/>
      <c r="L105" s="43"/>
      <c r="M105" s="39"/>
      <c r="N105" s="40"/>
      <c r="O105" s="41">
        <f>VLOOKUP(B105,出勤汇总!C:S,17,0)</f>
        <v>19</v>
      </c>
      <c r="P105" s="42">
        <f t="shared" si="7"/>
        <v>19</v>
      </c>
      <c r="Q105" s="42">
        <f>VLOOKUP(B105,餐补次数!R:S,2,0)</f>
        <v>11</v>
      </c>
      <c r="R105" s="51">
        <f t="shared" si="6"/>
        <v>165</v>
      </c>
    </row>
    <row r="106" s="3" customFormat="1" customHeight="1" spans="1:18">
      <c r="A106" s="21" t="s">
        <v>979</v>
      </c>
      <c r="B106" s="22" t="s">
        <v>981</v>
      </c>
      <c r="C106" s="22" t="s">
        <v>898</v>
      </c>
      <c r="D106" s="18" t="s">
        <v>837</v>
      </c>
      <c r="E106" s="23"/>
      <c r="F106" s="24"/>
      <c r="G106" s="24"/>
      <c r="H106" s="24"/>
      <c r="I106" s="24"/>
      <c r="J106" s="24"/>
      <c r="K106" s="24"/>
      <c r="L106" s="43"/>
      <c r="M106" s="39"/>
      <c r="N106" s="40"/>
      <c r="O106" s="41">
        <f>VLOOKUP(B106,出勤汇总!C:S,17,0)</f>
        <v>19</v>
      </c>
      <c r="P106" s="42">
        <f t="shared" si="7"/>
        <v>19</v>
      </c>
      <c r="Q106" s="42">
        <f>VLOOKUP(B106,餐补次数!R:S,2,0)</f>
        <v>8</v>
      </c>
      <c r="R106" s="51">
        <f t="shared" si="6"/>
        <v>120</v>
      </c>
    </row>
    <row r="107" s="3" customFormat="1" customHeight="1" spans="1:18">
      <c r="A107" s="21" t="s">
        <v>982</v>
      </c>
      <c r="B107" s="22" t="s">
        <v>983</v>
      </c>
      <c r="C107" s="22" t="s">
        <v>948</v>
      </c>
      <c r="D107" s="18" t="s">
        <v>837</v>
      </c>
      <c r="E107" s="23"/>
      <c r="F107" s="24"/>
      <c r="G107" s="24"/>
      <c r="H107" s="24"/>
      <c r="I107" s="24"/>
      <c r="J107" s="24"/>
      <c r="K107" s="24"/>
      <c r="L107" s="43"/>
      <c r="M107" s="39">
        <f>VLOOKUP(B107,出勤汇总!C:AA,25,0)</f>
        <v>5</v>
      </c>
      <c r="N107" s="40"/>
      <c r="O107" s="41">
        <f>VLOOKUP(B107,出勤汇总!C:S,17,0)</f>
        <v>19</v>
      </c>
      <c r="P107" s="42">
        <f t="shared" si="7"/>
        <v>14</v>
      </c>
      <c r="Q107" s="42">
        <f>VLOOKUP(B107,餐补次数!R:S,2,0)</f>
        <v>6</v>
      </c>
      <c r="R107" s="51">
        <f t="shared" si="6"/>
        <v>90</v>
      </c>
    </row>
    <row r="108" s="3" customFormat="1" customHeight="1" spans="1:18">
      <c r="A108" s="21" t="s">
        <v>982</v>
      </c>
      <c r="B108" s="22" t="s">
        <v>984</v>
      </c>
      <c r="C108" s="22" t="s">
        <v>898</v>
      </c>
      <c r="D108" s="18" t="s">
        <v>837</v>
      </c>
      <c r="E108" s="23"/>
      <c r="F108" s="24"/>
      <c r="G108" s="24"/>
      <c r="H108" s="24"/>
      <c r="I108" s="24"/>
      <c r="J108" s="24"/>
      <c r="K108" s="24"/>
      <c r="L108" s="43"/>
      <c r="M108" s="39"/>
      <c r="N108" s="40">
        <f>VLOOKUP(B108,出勤汇总!C:AB,26,0)</f>
        <v>1</v>
      </c>
      <c r="O108" s="41">
        <f>VLOOKUP(B108,出勤汇总!C:S,17,0)</f>
        <v>19</v>
      </c>
      <c r="P108" s="42">
        <f t="shared" si="7"/>
        <v>18</v>
      </c>
      <c r="Q108" s="42">
        <f>VLOOKUP(B108,餐补次数!R:S,2,0)</f>
        <v>8</v>
      </c>
      <c r="R108" s="51">
        <f t="shared" si="6"/>
        <v>120</v>
      </c>
    </row>
    <row r="109" s="3" customFormat="1" customHeight="1" spans="1:18">
      <c r="A109" s="21" t="s">
        <v>982</v>
      </c>
      <c r="B109" s="22" t="s">
        <v>985</v>
      </c>
      <c r="C109" s="22" t="s">
        <v>898</v>
      </c>
      <c r="D109" s="18" t="s">
        <v>837</v>
      </c>
      <c r="E109" s="23"/>
      <c r="F109" s="24"/>
      <c r="G109" s="24"/>
      <c r="H109" s="24"/>
      <c r="I109" s="24"/>
      <c r="J109" s="24"/>
      <c r="K109" s="24"/>
      <c r="L109" s="43"/>
      <c r="M109" s="39"/>
      <c r="N109" s="40">
        <f>VLOOKUP(B109,出勤汇总!C:AB,26,0)</f>
        <v>0.5</v>
      </c>
      <c r="O109" s="41">
        <f>VLOOKUP(B109,出勤汇总!C:S,17,0)</f>
        <v>19</v>
      </c>
      <c r="P109" s="42">
        <f t="shared" si="7"/>
        <v>18.5</v>
      </c>
      <c r="Q109" s="42">
        <f>VLOOKUP(B109,餐补次数!R:S,2,0)</f>
        <v>7</v>
      </c>
      <c r="R109" s="51">
        <f t="shared" si="6"/>
        <v>105</v>
      </c>
    </row>
    <row r="110" s="3" customFormat="1" customHeight="1" spans="1:18">
      <c r="A110" s="21" t="s">
        <v>982</v>
      </c>
      <c r="B110" s="22" t="s">
        <v>986</v>
      </c>
      <c r="C110" s="22" t="s">
        <v>898</v>
      </c>
      <c r="D110" s="18" t="s">
        <v>837</v>
      </c>
      <c r="E110" s="23"/>
      <c r="F110" s="24"/>
      <c r="G110" s="24"/>
      <c r="H110" s="24"/>
      <c r="I110" s="24"/>
      <c r="J110" s="24"/>
      <c r="K110" s="24"/>
      <c r="L110" s="43"/>
      <c r="M110" s="39"/>
      <c r="N110" s="40">
        <f>VLOOKUP(B110,出勤汇总!C:AB,26,0)</f>
        <v>1</v>
      </c>
      <c r="O110" s="41">
        <f>VLOOKUP(B110,出勤汇总!C:S,17,0)</f>
        <v>19</v>
      </c>
      <c r="P110" s="42">
        <f t="shared" si="7"/>
        <v>18</v>
      </c>
      <c r="Q110" s="42">
        <f>VLOOKUP(B110,餐补次数!R:S,2,0)</f>
        <v>9.5</v>
      </c>
      <c r="R110" s="51">
        <f t="shared" si="6"/>
        <v>142.5</v>
      </c>
    </row>
    <row r="111" s="3" customFormat="1" customHeight="1" spans="1:18">
      <c r="A111" s="21" t="s">
        <v>987</v>
      </c>
      <c r="B111" s="22" t="s">
        <v>988</v>
      </c>
      <c r="C111" s="22" t="s">
        <v>877</v>
      </c>
      <c r="D111" s="18" t="s">
        <v>837</v>
      </c>
      <c r="E111" s="23"/>
      <c r="F111" s="24"/>
      <c r="G111" s="24"/>
      <c r="H111" s="24"/>
      <c r="I111" s="24"/>
      <c r="J111" s="24"/>
      <c r="K111" s="24" t="s">
        <v>852</v>
      </c>
      <c r="L111" s="43">
        <v>1</v>
      </c>
      <c r="M111" s="39"/>
      <c r="N111" s="40"/>
      <c r="O111" s="41">
        <f>VLOOKUP(B111,出勤汇总!C:S,17,0)</f>
        <v>19</v>
      </c>
      <c r="P111" s="42">
        <f t="shared" si="7"/>
        <v>18</v>
      </c>
      <c r="Q111" s="42">
        <f>VLOOKUP(B111,餐补次数!R:S,2,0)</f>
        <v>6</v>
      </c>
      <c r="R111" s="51">
        <f t="shared" si="6"/>
        <v>90</v>
      </c>
    </row>
    <row r="112" s="3" customFormat="1" customHeight="1" spans="1:18">
      <c r="A112" s="21" t="s">
        <v>987</v>
      </c>
      <c r="B112" s="22" t="s">
        <v>989</v>
      </c>
      <c r="C112" s="22" t="s">
        <v>848</v>
      </c>
      <c r="D112" s="18" t="s">
        <v>837</v>
      </c>
      <c r="E112" s="23"/>
      <c r="F112" s="24"/>
      <c r="G112" s="24"/>
      <c r="H112" s="24"/>
      <c r="I112" s="24"/>
      <c r="J112" s="24"/>
      <c r="K112" s="24"/>
      <c r="L112" s="43"/>
      <c r="M112" s="39"/>
      <c r="N112" s="40"/>
      <c r="O112" s="41">
        <f>VLOOKUP(B112,出勤汇总!C:S,17,0)</f>
        <v>19</v>
      </c>
      <c r="P112" s="42">
        <f t="shared" si="7"/>
        <v>19</v>
      </c>
      <c r="Q112" s="42">
        <f>VLOOKUP(B112,餐补次数!R:S,2,0)</f>
        <v>7</v>
      </c>
      <c r="R112" s="51">
        <f t="shared" si="6"/>
        <v>105</v>
      </c>
    </row>
    <row r="113" s="3" customFormat="1" customHeight="1" spans="1:18">
      <c r="A113" s="21" t="s">
        <v>987</v>
      </c>
      <c r="B113" s="22" t="s">
        <v>990</v>
      </c>
      <c r="C113" s="22" t="s">
        <v>991</v>
      </c>
      <c r="D113" s="18" t="s">
        <v>837</v>
      </c>
      <c r="E113" s="23"/>
      <c r="F113" s="24"/>
      <c r="G113" s="24"/>
      <c r="H113" s="24"/>
      <c r="I113" s="24"/>
      <c r="J113" s="24"/>
      <c r="K113" s="24"/>
      <c r="L113" s="43"/>
      <c r="M113" s="39"/>
      <c r="N113" s="40"/>
      <c r="O113" s="41">
        <f>VLOOKUP(B113,出勤汇总!C:S,17,0)</f>
        <v>19</v>
      </c>
      <c r="P113" s="42">
        <f t="shared" si="7"/>
        <v>19</v>
      </c>
      <c r="Q113" s="42">
        <f>VLOOKUP(B113,餐补次数!R:S,2,0)</f>
        <v>7</v>
      </c>
      <c r="R113" s="51">
        <f t="shared" si="6"/>
        <v>105</v>
      </c>
    </row>
    <row r="114" s="3" customFormat="1" customHeight="1" spans="1:18">
      <c r="A114" s="21" t="s">
        <v>987</v>
      </c>
      <c r="B114" s="22" t="s">
        <v>992</v>
      </c>
      <c r="C114" s="22" t="s">
        <v>993</v>
      </c>
      <c r="D114" s="18" t="s">
        <v>837</v>
      </c>
      <c r="E114" s="23"/>
      <c r="F114" s="24"/>
      <c r="G114" s="24"/>
      <c r="H114" s="24"/>
      <c r="I114" s="24"/>
      <c r="J114" s="24"/>
      <c r="K114" s="24"/>
      <c r="L114" s="43"/>
      <c r="M114" s="39"/>
      <c r="N114" s="40">
        <f>VLOOKUP(B114,出勤汇总!C:AB,26,0)</f>
        <v>0.5</v>
      </c>
      <c r="O114" s="41">
        <f>VLOOKUP(B114,出勤汇总!C:S,17,0)</f>
        <v>19</v>
      </c>
      <c r="P114" s="42">
        <f t="shared" si="7"/>
        <v>18.5</v>
      </c>
      <c r="Q114" s="42">
        <f>VLOOKUP(B114,餐补次数!R:S,2,0)</f>
        <v>7</v>
      </c>
      <c r="R114" s="51">
        <f t="shared" si="6"/>
        <v>105</v>
      </c>
    </row>
    <row r="115" s="3" customFormat="1" customHeight="1" spans="1:18">
      <c r="A115" s="21" t="s">
        <v>994</v>
      </c>
      <c r="B115" s="22" t="s">
        <v>995</v>
      </c>
      <c r="C115" s="25" t="s">
        <v>318</v>
      </c>
      <c r="D115" s="18" t="s">
        <v>837</v>
      </c>
      <c r="E115" s="23"/>
      <c r="F115" s="24"/>
      <c r="G115" s="24"/>
      <c r="H115" s="24"/>
      <c r="I115" s="24"/>
      <c r="J115" s="24"/>
      <c r="K115" s="24"/>
      <c r="L115" s="43"/>
      <c r="M115" s="39">
        <f>VLOOKUP(B115,出勤汇总!C:AA,25,0)</f>
        <v>4</v>
      </c>
      <c r="N115" s="40">
        <f>VLOOKUP(B115,出勤汇总!C:AB,26,0)</f>
        <v>1</v>
      </c>
      <c r="O115" s="41">
        <f>VLOOKUP(B115,出勤汇总!C:S,17,0)</f>
        <v>19</v>
      </c>
      <c r="P115" s="42">
        <f t="shared" si="7"/>
        <v>14</v>
      </c>
      <c r="Q115" s="42">
        <f>VLOOKUP(B115,餐补次数!R:S,2,0)</f>
        <v>5</v>
      </c>
      <c r="R115" s="51">
        <f t="shared" si="6"/>
        <v>75</v>
      </c>
    </row>
    <row r="116" s="3" customFormat="1" customHeight="1" spans="1:18">
      <c r="A116" s="21" t="s">
        <v>996</v>
      </c>
      <c r="B116" s="22" t="s">
        <v>997</v>
      </c>
      <c r="C116" s="22" t="s">
        <v>877</v>
      </c>
      <c r="D116" s="18" t="s">
        <v>837</v>
      </c>
      <c r="E116" s="23"/>
      <c r="F116" s="24"/>
      <c r="G116" s="24"/>
      <c r="H116" s="24"/>
      <c r="I116" s="24"/>
      <c r="J116" s="24"/>
      <c r="K116" s="24"/>
      <c r="L116" s="43"/>
      <c r="M116" s="39"/>
      <c r="N116" s="40"/>
      <c r="O116" s="41">
        <f>VLOOKUP(B116,出勤汇总!C:S,17,0)</f>
        <v>19</v>
      </c>
      <c r="P116" s="42">
        <f t="shared" si="7"/>
        <v>19</v>
      </c>
      <c r="Q116" s="42">
        <f>VLOOKUP(B116,餐补次数!R:S,2,0)</f>
        <v>6</v>
      </c>
      <c r="R116" s="51">
        <f t="shared" si="6"/>
        <v>90</v>
      </c>
    </row>
    <row r="117" s="3" customFormat="1" customHeight="1" spans="1:18">
      <c r="A117" s="21" t="s">
        <v>972</v>
      </c>
      <c r="B117" s="22" t="s">
        <v>998</v>
      </c>
      <c r="C117" s="22" t="s">
        <v>999</v>
      </c>
      <c r="D117" s="18" t="s">
        <v>837</v>
      </c>
      <c r="E117" s="23"/>
      <c r="F117" s="24"/>
      <c r="G117" s="24"/>
      <c r="H117" s="24"/>
      <c r="I117" s="24"/>
      <c r="J117" s="24"/>
      <c r="K117" s="24"/>
      <c r="L117" s="43"/>
      <c r="M117" s="39">
        <f>VLOOKUP(B117,出勤汇总!C:AA,25,0)</f>
        <v>2</v>
      </c>
      <c r="N117" s="40"/>
      <c r="O117" s="41">
        <f>VLOOKUP(B117,出勤汇总!C:S,17,0)</f>
        <v>19</v>
      </c>
      <c r="P117" s="42">
        <f t="shared" si="7"/>
        <v>17</v>
      </c>
      <c r="Q117" s="64">
        <f>VLOOKUP(B117,餐补次数!R:S,2,0)</f>
        <v>9</v>
      </c>
      <c r="R117" s="51">
        <f t="shared" si="6"/>
        <v>135</v>
      </c>
    </row>
    <row r="118" s="3" customFormat="1" customHeight="1" spans="1:18">
      <c r="A118" s="21" t="s">
        <v>1000</v>
      </c>
      <c r="B118" s="22" t="s">
        <v>1001</v>
      </c>
      <c r="C118" s="22" t="s">
        <v>1002</v>
      </c>
      <c r="D118" s="18" t="s">
        <v>837</v>
      </c>
      <c r="E118" s="23"/>
      <c r="F118" s="24"/>
      <c r="G118" s="24"/>
      <c r="H118" s="24"/>
      <c r="I118" s="24"/>
      <c r="J118" s="24"/>
      <c r="K118" s="24"/>
      <c r="L118" s="43"/>
      <c r="M118" s="39">
        <f>VLOOKUP(B118,出勤汇总!C:AA,25,0)</f>
        <v>2</v>
      </c>
      <c r="N118" s="40"/>
      <c r="O118" s="41">
        <f>VLOOKUP(B118,出勤汇总!C:S,17,0)</f>
        <v>19</v>
      </c>
      <c r="P118" s="42">
        <f t="shared" si="7"/>
        <v>17</v>
      </c>
      <c r="Q118" s="64">
        <f>VLOOKUP(B118,餐补次数!R:S,2,0)</f>
        <v>15</v>
      </c>
      <c r="R118" s="51">
        <f t="shared" si="6"/>
        <v>225</v>
      </c>
    </row>
    <row r="119" s="3" customFormat="1" customHeight="1" spans="1:18">
      <c r="A119" s="21" t="s">
        <v>1000</v>
      </c>
      <c r="B119" s="22" t="s">
        <v>1003</v>
      </c>
      <c r="C119" s="22" t="s">
        <v>1004</v>
      </c>
      <c r="D119" s="18" t="s">
        <v>837</v>
      </c>
      <c r="E119" s="23"/>
      <c r="F119" s="24"/>
      <c r="G119" s="24"/>
      <c r="H119" s="24"/>
      <c r="I119" s="24"/>
      <c r="J119" s="24"/>
      <c r="K119" s="24"/>
      <c r="L119" s="43"/>
      <c r="M119" s="39"/>
      <c r="N119" s="40"/>
      <c r="O119" s="41">
        <f>VLOOKUP(B119,出勤汇总!C:S,17,0)</f>
        <v>19</v>
      </c>
      <c r="P119" s="42">
        <f t="shared" si="7"/>
        <v>19</v>
      </c>
      <c r="Q119" s="64">
        <f>VLOOKUP(B119,餐补次数!R:S,2,0)</f>
        <v>7</v>
      </c>
      <c r="R119" s="51">
        <f t="shared" si="6"/>
        <v>105</v>
      </c>
    </row>
    <row r="120" s="3" customFormat="1" customHeight="1" spans="1:18">
      <c r="A120" s="21" t="s">
        <v>987</v>
      </c>
      <c r="B120" s="22" t="s">
        <v>1005</v>
      </c>
      <c r="C120" s="22" t="s">
        <v>904</v>
      </c>
      <c r="D120" s="18" t="s">
        <v>837</v>
      </c>
      <c r="E120" s="23"/>
      <c r="F120" s="24"/>
      <c r="G120" s="24"/>
      <c r="H120" s="24"/>
      <c r="I120" s="24"/>
      <c r="J120" s="24"/>
      <c r="K120" s="24"/>
      <c r="L120" s="43"/>
      <c r="M120" s="39"/>
      <c r="N120" s="40"/>
      <c r="O120" s="41">
        <f>VLOOKUP(B120,出勤汇总!C:S,17,0)</f>
        <v>19</v>
      </c>
      <c r="P120" s="42">
        <f t="shared" si="7"/>
        <v>19</v>
      </c>
      <c r="Q120" s="64">
        <f>VLOOKUP(B120,餐补次数!R:S,2,0)</f>
        <v>7</v>
      </c>
      <c r="R120" s="51">
        <f t="shared" si="6"/>
        <v>105</v>
      </c>
    </row>
    <row r="121" s="3" customFormat="1" customHeight="1" spans="1:18">
      <c r="A121" s="56" t="s">
        <v>1006</v>
      </c>
      <c r="B121" s="57" t="s">
        <v>1007</v>
      </c>
      <c r="C121" s="57" t="s">
        <v>882</v>
      </c>
      <c r="D121" s="18" t="s">
        <v>837</v>
      </c>
      <c r="E121" s="58"/>
      <c r="F121" s="59"/>
      <c r="G121" s="59"/>
      <c r="H121" s="59"/>
      <c r="I121" s="59"/>
      <c r="J121" s="59"/>
      <c r="K121" s="59"/>
      <c r="L121" s="62"/>
      <c r="M121" s="39"/>
      <c r="N121" s="40"/>
      <c r="O121" s="41">
        <f>VLOOKUP(B121,出勤汇总!C:S,17,0)</f>
        <v>19</v>
      </c>
      <c r="P121" s="42">
        <f t="shared" si="7"/>
        <v>19</v>
      </c>
      <c r="Q121" s="65">
        <f>VLOOKUP(B121,餐补次数!R:S,2,0)</f>
        <v>6</v>
      </c>
      <c r="R121" s="51">
        <f t="shared" si="6"/>
        <v>90</v>
      </c>
    </row>
    <row r="122" s="3" customFormat="1" customHeight="1" spans="1:18">
      <c r="A122" s="21" t="s">
        <v>905</v>
      </c>
      <c r="B122" s="22" t="s">
        <v>1008</v>
      </c>
      <c r="C122" s="22" t="s">
        <v>907</v>
      </c>
      <c r="D122" s="18" t="s">
        <v>837</v>
      </c>
      <c r="E122" s="24"/>
      <c r="F122" s="24"/>
      <c r="G122" s="24"/>
      <c r="H122" s="24"/>
      <c r="I122" s="24"/>
      <c r="J122" s="24"/>
      <c r="K122" s="24"/>
      <c r="L122" s="63"/>
      <c r="M122" s="39"/>
      <c r="N122" s="40">
        <f>VLOOKUP(B122,出勤汇总!C:AB,26,0)</f>
        <v>1</v>
      </c>
      <c r="O122" s="41">
        <f>VLOOKUP(B122,出勤汇总!C:S,17,0)</f>
        <v>19</v>
      </c>
      <c r="P122" s="42">
        <f t="shared" si="7"/>
        <v>18</v>
      </c>
      <c r="Q122" s="66">
        <f>VLOOKUP(B122,餐补次数!R:S,2,0)</f>
        <v>7</v>
      </c>
      <c r="R122" s="51">
        <f t="shared" si="6"/>
        <v>105</v>
      </c>
    </row>
    <row r="123" s="5" customFormat="1" customHeight="1" spans="1:19">
      <c r="A123" s="21" t="s">
        <v>813</v>
      </c>
      <c r="B123" s="22" t="s">
        <v>187</v>
      </c>
      <c r="C123" s="22" t="s">
        <v>166</v>
      </c>
      <c r="D123" s="18" t="s">
        <v>837</v>
      </c>
      <c r="E123" s="60"/>
      <c r="F123" s="60"/>
      <c r="G123" s="60"/>
      <c r="H123" s="60"/>
      <c r="I123" s="60"/>
      <c r="J123" s="60"/>
      <c r="K123" s="60"/>
      <c r="L123" s="63"/>
      <c r="M123" s="39"/>
      <c r="N123" s="40"/>
      <c r="O123" s="41">
        <f>VLOOKUP(B123,出勤汇总!C:S,17,0)</f>
        <v>19</v>
      </c>
      <c r="P123" s="42">
        <f t="shared" si="7"/>
        <v>19</v>
      </c>
      <c r="Q123" s="66">
        <f>VLOOKUP(B123,餐补次数!R:S,2,0)</f>
        <v>7</v>
      </c>
      <c r="R123" s="51">
        <f t="shared" si="6"/>
        <v>105</v>
      </c>
      <c r="S123" s="3"/>
    </row>
    <row r="124" s="5" customFormat="1" customHeight="1" spans="1:19">
      <c r="A124" s="61" t="s">
        <v>728</v>
      </c>
      <c r="B124" s="25" t="s">
        <v>466</v>
      </c>
      <c r="C124" s="25" t="s">
        <v>298</v>
      </c>
      <c r="D124" s="18" t="s">
        <v>837</v>
      </c>
      <c r="E124" s="60"/>
      <c r="F124" s="60"/>
      <c r="G124" s="60"/>
      <c r="H124" s="60"/>
      <c r="I124" s="60"/>
      <c r="J124" s="60"/>
      <c r="K124" s="60"/>
      <c r="L124" s="63"/>
      <c r="M124" s="39"/>
      <c r="N124" s="40"/>
      <c r="O124" s="41">
        <f>VLOOKUP(B124,出勤汇总!C:S,17,0)</f>
        <v>19</v>
      </c>
      <c r="P124" s="42">
        <f t="shared" si="7"/>
        <v>19</v>
      </c>
      <c r="Q124" s="66">
        <f>VLOOKUP(B124,餐补次数!R:S,2,0)</f>
        <v>7</v>
      </c>
      <c r="R124" s="51">
        <f t="shared" si="6"/>
        <v>105</v>
      </c>
      <c r="S124" s="3"/>
    </row>
    <row r="125" s="5" customFormat="1" customHeight="1" spans="1:19">
      <c r="A125" s="61" t="s">
        <v>728</v>
      </c>
      <c r="B125" s="25" t="s">
        <v>470</v>
      </c>
      <c r="C125" s="25" t="s">
        <v>298</v>
      </c>
      <c r="D125" s="18" t="s">
        <v>837</v>
      </c>
      <c r="E125" s="60"/>
      <c r="F125" s="60"/>
      <c r="G125" s="60"/>
      <c r="H125" s="60"/>
      <c r="I125" s="60"/>
      <c r="J125" s="60"/>
      <c r="K125" s="60"/>
      <c r="L125" s="63"/>
      <c r="M125" s="39"/>
      <c r="N125" s="40"/>
      <c r="O125" s="41">
        <f>VLOOKUP(B125,出勤汇总!C:S,17,0)</f>
        <v>19</v>
      </c>
      <c r="P125" s="42">
        <f t="shared" si="7"/>
        <v>19</v>
      </c>
      <c r="Q125" s="66">
        <f>VLOOKUP(B125,餐补次数!R:S,2,0)</f>
        <v>7</v>
      </c>
      <c r="R125" s="51">
        <f t="shared" si="6"/>
        <v>105</v>
      </c>
      <c r="S125" s="3"/>
    </row>
    <row r="126" s="5" customFormat="1" customHeight="1" spans="1:19">
      <c r="A126" s="61" t="s">
        <v>791</v>
      </c>
      <c r="B126" s="25" t="s">
        <v>518</v>
      </c>
      <c r="C126" s="25" t="s">
        <v>519</v>
      </c>
      <c r="D126" s="18" t="s">
        <v>837</v>
      </c>
      <c r="E126" s="60"/>
      <c r="F126" s="60"/>
      <c r="G126" s="60"/>
      <c r="H126" s="60"/>
      <c r="I126" s="60"/>
      <c r="J126" s="60"/>
      <c r="K126" s="60"/>
      <c r="L126" s="63"/>
      <c r="M126" s="39"/>
      <c r="N126" s="40"/>
      <c r="O126" s="41">
        <f>VLOOKUP(B126,出勤汇总!C:S,17,0)</f>
        <v>19</v>
      </c>
      <c r="P126" s="42">
        <f t="shared" si="7"/>
        <v>19</v>
      </c>
      <c r="Q126" s="66">
        <f>VLOOKUP(B126,餐补次数!R:S,2,0)</f>
        <v>7</v>
      </c>
      <c r="R126" s="51">
        <f t="shared" si="6"/>
        <v>105</v>
      </c>
      <c r="S126" s="3"/>
    </row>
    <row r="127" s="5" customFormat="1" customHeight="1" spans="1:19">
      <c r="A127" s="61" t="s">
        <v>651</v>
      </c>
      <c r="B127" s="25" t="s">
        <v>307</v>
      </c>
      <c r="C127" s="25" t="s">
        <v>308</v>
      </c>
      <c r="D127" s="18" t="s">
        <v>837</v>
      </c>
      <c r="E127" s="60"/>
      <c r="F127" s="60"/>
      <c r="G127" s="60"/>
      <c r="H127" s="60"/>
      <c r="I127" s="60"/>
      <c r="J127" s="60"/>
      <c r="K127" s="60"/>
      <c r="L127" s="63"/>
      <c r="M127" s="39"/>
      <c r="N127" s="40"/>
      <c r="O127" s="41">
        <f>VLOOKUP(B127,出勤汇总!C:S,17,0)</f>
        <v>11</v>
      </c>
      <c r="P127" s="42">
        <f t="shared" si="7"/>
        <v>11</v>
      </c>
      <c r="Q127" s="66">
        <f>VLOOKUP(B127,餐补次数!R:S,2,0)</f>
        <v>1</v>
      </c>
      <c r="R127" s="51">
        <f t="shared" si="6"/>
        <v>15</v>
      </c>
      <c r="S127" s="3"/>
    </row>
    <row r="128" s="5" customFormat="1" customHeight="1" spans="1:19">
      <c r="A128" s="61" t="s">
        <v>816</v>
      </c>
      <c r="B128" s="25" t="s">
        <v>203</v>
      </c>
      <c r="C128" s="25" t="s">
        <v>166</v>
      </c>
      <c r="D128" s="18" t="s">
        <v>837</v>
      </c>
      <c r="E128" s="60"/>
      <c r="F128" s="60"/>
      <c r="G128" s="60"/>
      <c r="H128" s="60"/>
      <c r="I128" s="60"/>
      <c r="J128" s="60"/>
      <c r="K128" s="60"/>
      <c r="L128" s="63"/>
      <c r="M128" s="39"/>
      <c r="N128" s="40"/>
      <c r="O128" s="41">
        <f>VLOOKUP(B128,出勤汇总!C:S,17,0)</f>
        <v>7</v>
      </c>
      <c r="P128" s="42">
        <f t="shared" si="7"/>
        <v>7</v>
      </c>
      <c r="Q128" s="66">
        <f>VLOOKUP(B128,餐补次数!R:S,2,0)</f>
        <v>1</v>
      </c>
      <c r="R128" s="51">
        <f t="shared" si="6"/>
        <v>15</v>
      </c>
      <c r="S128" s="3"/>
    </row>
    <row r="129" s="5" customFormat="1" customHeight="1" spans="1:19">
      <c r="A129" s="67"/>
      <c r="B129" s="68"/>
      <c r="C129" s="68"/>
      <c r="D129" s="68"/>
      <c r="E129" s="69"/>
      <c r="F129" s="69"/>
      <c r="G129" s="69"/>
      <c r="H129" s="69"/>
      <c r="I129" s="69"/>
      <c r="J129" s="69"/>
      <c r="K129" s="69"/>
      <c r="L129" s="74">
        <f>SUM(L3:L123)</f>
        <v>2</v>
      </c>
      <c r="M129" s="75">
        <f t="shared" ref="M129:R129" si="8">SUM(M3:M128)</f>
        <v>41</v>
      </c>
      <c r="N129" s="76">
        <f t="shared" si="8"/>
        <v>67</v>
      </c>
      <c r="O129" s="77">
        <f t="shared" si="8"/>
        <v>2374</v>
      </c>
      <c r="P129" s="78">
        <f t="shared" si="8"/>
        <v>2264</v>
      </c>
      <c r="Q129" s="75">
        <f t="shared" si="8"/>
        <v>924</v>
      </c>
      <c r="R129" s="81">
        <f t="shared" si="8"/>
        <v>14595</v>
      </c>
      <c r="S129" s="3"/>
    </row>
    <row r="130" s="1" customFormat="1" customHeight="1" spans="3:18">
      <c r="C130" s="70"/>
      <c r="F130" s="3"/>
      <c r="G130" s="3"/>
      <c r="H130" s="3"/>
      <c r="I130" s="3"/>
      <c r="J130" s="3"/>
      <c r="K130" s="3"/>
      <c r="M130" s="8"/>
      <c r="N130" s="8"/>
      <c r="Q130" s="8"/>
      <c r="R130" s="8"/>
    </row>
    <row r="131" s="6" customFormat="1" customHeight="1" spans="2:18">
      <c r="B131" s="71"/>
      <c r="C131" s="72" t="s">
        <v>1009</v>
      </c>
      <c r="D131" s="73"/>
      <c r="E131" s="73"/>
      <c r="F131" s="73"/>
      <c r="G131" s="73"/>
      <c r="M131" s="79" t="s">
        <v>1010</v>
      </c>
      <c r="N131" s="80"/>
      <c r="Q131" s="80"/>
      <c r="R131" s="80"/>
    </row>
  </sheetData>
  <autoFilter xmlns:etc="http://www.wps.cn/officeDocument/2017/etCustomData" ref="A1:R129" etc:filterBottomFollowUsedRange="0">
    <extLst/>
  </autoFilter>
  <mergeCells count="2">
    <mergeCell ref="A1:R1"/>
    <mergeCell ref="A129:D129"/>
  </mergeCells>
  <pageMargins left="0.751388888888889" right="0.751388888888889" top="1" bottom="1" header="0.5" footer="0.5"/>
  <pageSetup paperSize="9" scale="80" fitToHeight="0" orientation="landscape" horizontalDpi="600"/>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考勤记录</vt:lpstr>
      <vt:lpstr>餐补次数</vt:lpstr>
      <vt:lpstr>出勤汇总</vt:lpstr>
      <vt:lpstr>打印版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ccc</dc:creator>
  <cp:lastModifiedBy>DELL</cp:lastModifiedBy>
  <dcterms:created xsi:type="dcterms:W3CDTF">2016-07-25T06:07:00Z</dcterms:created>
  <cp:lastPrinted>2024-11-05T09:25:00Z</cp:lastPrinted>
  <dcterms:modified xsi:type="dcterms:W3CDTF">2025-03-04T06:15:39Z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ubyTemplateID" linkTarget="0">
    <vt:lpwstr>11</vt:lpwstr>
  </property>
  <property fmtid="{D5CDD505-2E9C-101B-9397-08002B2CF9AE}" pid="3" name="KSOProductBuildVer">
    <vt:lpwstr>2052-12.8.2.18205</vt:lpwstr>
  </property>
  <property fmtid="{D5CDD505-2E9C-101B-9397-08002B2CF9AE}" pid="4" name="ICV">
    <vt:lpwstr>229075118691460F8D798140FB2F6B2E</vt:lpwstr>
  </property>
</Properties>
</file>